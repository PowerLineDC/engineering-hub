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Сергей\Desktop\"/>
    </mc:Choice>
  </mc:AlternateContent>
  <xr:revisionPtr revIDLastSave="0" documentId="13_ncr:1_{883D5DCB-5DB1-4DD6-AEDD-A5845BAFA02B}" xr6:coauthVersionLast="47" xr6:coauthVersionMax="47" xr10:uidLastSave="{00000000-0000-0000-0000-000000000000}"/>
  <bookViews>
    <workbookView xWindow="38280" yWindow="-120" windowWidth="38640" windowHeight="21120" tabRatio="500" xr2:uid="{00000000-000D-0000-FFFF-FFFF00000000}"/>
  </bookViews>
  <sheets>
    <sheet name="Лист1" sheetId="1" r:id="rId1"/>
  </sheets>
  <definedNames>
    <definedName name="_xlnm._FilterDatabase" localSheetId="0" hidden="1">Лист1!$A$15:$Q$921</definedName>
    <definedName name="_xlnm.Print_Area" localSheetId="0">Лист1!$A$1:$R$925</definedName>
  </definedNames>
  <calcPr calcId="191029" iterateDelta="1E-4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918" i="1" l="1"/>
  <c r="I917" i="1"/>
  <c r="N917" i="1" s="1"/>
  <c r="I916" i="1"/>
  <c r="N916" i="1" s="1"/>
  <c r="I915" i="1"/>
  <c r="I914" i="1"/>
  <c r="N914" i="1" s="1"/>
  <c r="I913" i="1"/>
  <c r="N913" i="1" s="1"/>
  <c r="I912" i="1"/>
  <c r="I911" i="1"/>
  <c r="N911" i="1" s="1"/>
  <c r="I910" i="1"/>
  <c r="I909" i="1"/>
  <c r="N909" i="1" s="1"/>
  <c r="I908" i="1"/>
  <c r="N907" i="1"/>
  <c r="I907" i="1"/>
  <c r="I906" i="1"/>
  <c r="I905" i="1"/>
  <c r="I904" i="1"/>
  <c r="I903" i="1"/>
  <c r="N903" i="1" s="1"/>
  <c r="I902" i="1"/>
  <c r="M900" i="1"/>
  <c r="I901" i="1"/>
  <c r="I900" i="1"/>
  <c r="I899" i="1"/>
  <c r="N899" i="1" s="1"/>
  <c r="I898" i="1"/>
  <c r="O898" i="1" s="1"/>
  <c r="I897" i="1"/>
  <c r="N897" i="1" s="1"/>
  <c r="I896" i="1"/>
  <c r="N896" i="1" s="1"/>
  <c r="I895" i="1"/>
  <c r="O895" i="1" s="1"/>
  <c r="I894" i="1"/>
  <c r="N894" i="1" s="1"/>
  <c r="I893" i="1"/>
  <c r="N893" i="1" s="1"/>
  <c r="I892" i="1"/>
  <c r="N892" i="1" s="1"/>
  <c r="I891" i="1"/>
  <c r="I890" i="1"/>
  <c r="I889" i="1"/>
  <c r="I888" i="1"/>
  <c r="N888" i="1" s="1"/>
  <c r="I887" i="1"/>
  <c r="I886" i="1"/>
  <c r="N886" i="1" s="1"/>
  <c r="I885" i="1"/>
  <c r="I884" i="1"/>
  <c r="I883" i="1"/>
  <c r="I882" i="1"/>
  <c r="I881" i="1"/>
  <c r="I880" i="1"/>
  <c r="N880" i="1" s="1"/>
  <c r="I879" i="1"/>
  <c r="I878" i="1"/>
  <c r="I877" i="1"/>
  <c r="I876" i="1"/>
  <c r="I875" i="1"/>
  <c r="I874" i="1"/>
  <c r="N874" i="1" s="1"/>
  <c r="O873" i="1"/>
  <c r="I873" i="1"/>
  <c r="M873" i="1" s="1"/>
  <c r="I872" i="1"/>
  <c r="N872" i="1" s="1"/>
  <c r="I871" i="1"/>
  <c r="O871" i="1" s="1"/>
  <c r="I870" i="1"/>
  <c r="N870" i="1" s="1"/>
  <c r="I869" i="1"/>
  <c r="I868" i="1"/>
  <c r="I867" i="1"/>
  <c r="N867" i="1" s="1"/>
  <c r="I866" i="1"/>
  <c r="N866" i="1" s="1"/>
  <c r="I865" i="1"/>
  <c r="N865" i="1" s="1"/>
  <c r="I864" i="1"/>
  <c r="I863" i="1"/>
  <c r="N863" i="1" s="1"/>
  <c r="I862" i="1"/>
  <c r="I861" i="1"/>
  <c r="I860" i="1"/>
  <c r="I859" i="1"/>
  <c r="I858" i="1"/>
  <c r="I857" i="1"/>
  <c r="I856" i="1"/>
  <c r="I855" i="1"/>
  <c r="N855" i="1" s="1"/>
  <c r="I854" i="1"/>
  <c r="O854" i="1" s="1"/>
  <c r="I853" i="1"/>
  <c r="N853" i="1" s="1"/>
  <c r="I852" i="1"/>
  <c r="I851" i="1"/>
  <c r="N851" i="1" s="1"/>
  <c r="I850" i="1"/>
  <c r="O850" i="1" s="1"/>
  <c r="I849" i="1"/>
  <c r="I848" i="1"/>
  <c r="I847" i="1"/>
  <c r="N847" i="1" s="1"/>
  <c r="I846" i="1"/>
  <c r="O846" i="1" s="1"/>
  <c r="I845" i="1"/>
  <c r="N845" i="1" s="1"/>
  <c r="I844" i="1"/>
  <c r="I843" i="1"/>
  <c r="M841" i="1"/>
  <c r="I842" i="1"/>
  <c r="I841" i="1"/>
  <c r="I840" i="1"/>
  <c r="N840" i="1" s="1"/>
  <c r="I839" i="1"/>
  <c r="I838" i="1"/>
  <c r="I837" i="1"/>
  <c r="N837" i="1" s="1"/>
  <c r="I836" i="1"/>
  <c r="I835" i="1"/>
  <c r="I834" i="1"/>
  <c r="N834" i="1" s="1"/>
  <c r="I833" i="1"/>
  <c r="I832" i="1"/>
  <c r="O832" i="1" s="1"/>
  <c r="I831" i="1"/>
  <c r="N831" i="1" s="1"/>
  <c r="I830" i="1"/>
  <c r="I829" i="1"/>
  <c r="N829" i="1" s="1"/>
  <c r="I828" i="1"/>
  <c r="N827" i="1"/>
  <c r="I827" i="1"/>
  <c r="I826" i="1"/>
  <c r="N826" i="1" s="1"/>
  <c r="I825" i="1"/>
  <c r="N825" i="1" s="1"/>
  <c r="I824" i="1"/>
  <c r="O824" i="1" s="1"/>
  <c r="M822" i="1"/>
  <c r="I822" i="1"/>
  <c r="I821" i="1"/>
  <c r="N821" i="1" s="1"/>
  <c r="I820" i="1"/>
  <c r="I819" i="1"/>
  <c r="O819" i="1" s="1"/>
  <c r="I818" i="1"/>
  <c r="N818" i="1" s="1"/>
  <c r="I817" i="1"/>
  <c r="O816" i="1"/>
  <c r="I816" i="1"/>
  <c r="I815" i="1"/>
  <c r="I814" i="1"/>
  <c r="I813" i="1"/>
  <c r="I812" i="1"/>
  <c r="O812" i="1" s="1"/>
  <c r="N811" i="1"/>
  <c r="I811" i="1"/>
  <c r="I810" i="1"/>
  <c r="I809" i="1"/>
  <c r="I808" i="1"/>
  <c r="I807" i="1"/>
  <c r="N807" i="1" s="1"/>
  <c r="I806" i="1"/>
  <c r="I805" i="1"/>
  <c r="I804" i="1"/>
  <c r="I803" i="1"/>
  <c r="I802" i="1"/>
  <c r="I801" i="1"/>
  <c r="I800" i="1"/>
  <c r="I799" i="1"/>
  <c r="N799" i="1" s="1"/>
  <c r="I798" i="1"/>
  <c r="N797" i="1"/>
  <c r="I797" i="1"/>
  <c r="I796" i="1"/>
  <c r="N796" i="1" s="1"/>
  <c r="I795" i="1"/>
  <c r="O795" i="1" s="1"/>
  <c r="I794" i="1"/>
  <c r="I793" i="1"/>
  <c r="O793" i="1" s="1"/>
  <c r="N792" i="1"/>
  <c r="I792" i="1"/>
  <c r="I791" i="1"/>
  <c r="N791" i="1" s="1"/>
  <c r="I790" i="1"/>
  <c r="O790" i="1" s="1"/>
  <c r="I789" i="1"/>
  <c r="N789" i="1" s="1"/>
  <c r="I788" i="1"/>
  <c r="I787" i="1"/>
  <c r="I786" i="1"/>
  <c r="O786" i="1" s="1"/>
  <c r="I785" i="1"/>
  <c r="N785" i="1" s="1"/>
  <c r="I784" i="1"/>
  <c r="I783" i="1"/>
  <c r="I782" i="1"/>
  <c r="O781" i="1"/>
  <c r="I781" i="1"/>
  <c r="I780" i="1"/>
  <c r="I779" i="1"/>
  <c r="I778" i="1"/>
  <c r="I777" i="1"/>
  <c r="N777" i="1" s="1"/>
  <c r="I776" i="1"/>
  <c r="I775" i="1"/>
  <c r="I774" i="1"/>
  <c r="O774" i="1" s="1"/>
  <c r="I773" i="1"/>
  <c r="N773" i="1" s="1"/>
  <c r="I772" i="1"/>
  <c r="N772" i="1" s="1"/>
  <c r="I771" i="1"/>
  <c r="N770" i="1"/>
  <c r="I770" i="1"/>
  <c r="I769" i="1"/>
  <c r="N769" i="1" s="1"/>
  <c r="I768" i="1"/>
  <c r="I767" i="1"/>
  <c r="N767" i="1" s="1"/>
  <c r="I766" i="1"/>
  <c r="I765" i="1"/>
  <c r="I764" i="1"/>
  <c r="O764" i="1" s="1"/>
  <c r="I763" i="1"/>
  <c r="N763" i="1" s="1"/>
  <c r="I762" i="1"/>
  <c r="N761" i="1"/>
  <c r="I761" i="1"/>
  <c r="I760" i="1"/>
  <c r="I759" i="1"/>
  <c r="I758" i="1"/>
  <c r="I757" i="1"/>
  <c r="I756" i="1"/>
  <c r="N756" i="1" s="1"/>
  <c r="O755" i="1"/>
  <c r="I755" i="1"/>
  <c r="I754" i="1"/>
  <c r="I753" i="1"/>
  <c r="O753" i="1" s="1"/>
  <c r="I752" i="1"/>
  <c r="N752" i="1" s="1"/>
  <c r="I751" i="1"/>
  <c r="M749" i="1"/>
  <c r="P749" i="1" s="1"/>
  <c r="I750" i="1"/>
  <c r="I749" i="1"/>
  <c r="O749" i="1" s="1"/>
  <c r="I748" i="1"/>
  <c r="N748" i="1" s="1"/>
  <c r="I747" i="1"/>
  <c r="N747" i="1" s="1"/>
  <c r="N746" i="1"/>
  <c r="I746" i="1"/>
  <c r="I745" i="1"/>
  <c r="I744" i="1"/>
  <c r="N744" i="1" s="1"/>
  <c r="I743" i="1"/>
  <c r="O743" i="1" s="1"/>
  <c r="O741" i="1"/>
  <c r="M741" i="1"/>
  <c r="P741" i="1" s="1"/>
  <c r="I741" i="1"/>
  <c r="I740" i="1"/>
  <c r="N740" i="1" s="1"/>
  <c r="I739" i="1"/>
  <c r="N739" i="1" s="1"/>
  <c r="I738" i="1"/>
  <c r="N738" i="1" s="1"/>
  <c r="I737" i="1"/>
  <c r="O737" i="1" s="1"/>
  <c r="I736" i="1"/>
  <c r="N736" i="1" s="1"/>
  <c r="I735" i="1"/>
  <c r="I734" i="1"/>
  <c r="I733" i="1"/>
  <c r="N733" i="1" s="1"/>
  <c r="I732" i="1"/>
  <c r="N732" i="1" s="1"/>
  <c r="I731" i="1"/>
  <c r="M731" i="1" s="1"/>
  <c r="P731" i="1" s="1"/>
  <c r="I730" i="1"/>
  <c r="I729" i="1"/>
  <c r="N729" i="1" s="1"/>
  <c r="I728" i="1"/>
  <c r="I727" i="1"/>
  <c r="N727" i="1" s="1"/>
  <c r="I726" i="1"/>
  <c r="N725" i="1"/>
  <c r="I725" i="1"/>
  <c r="I724" i="1"/>
  <c r="I723" i="1"/>
  <c r="N723" i="1" s="1"/>
  <c r="I722" i="1"/>
  <c r="I721" i="1"/>
  <c r="N721" i="1" s="1"/>
  <c r="I720" i="1"/>
  <c r="I719" i="1"/>
  <c r="N719" i="1" s="1"/>
  <c r="I718" i="1"/>
  <c r="I717" i="1"/>
  <c r="N717" i="1" s="1"/>
  <c r="I716" i="1"/>
  <c r="I715" i="1"/>
  <c r="N715" i="1" s="1"/>
  <c r="I714" i="1"/>
  <c r="I713" i="1"/>
  <c r="N713" i="1" s="1"/>
  <c r="I712" i="1"/>
  <c r="N711" i="1"/>
  <c r="I711" i="1"/>
  <c r="I710" i="1"/>
  <c r="I709" i="1"/>
  <c r="N709" i="1" s="1"/>
  <c r="I708" i="1"/>
  <c r="N707" i="1"/>
  <c r="I707" i="1"/>
  <c r="I706" i="1"/>
  <c r="I705" i="1"/>
  <c r="I704" i="1"/>
  <c r="I703" i="1"/>
  <c r="N703" i="1" s="1"/>
  <c r="I702" i="1"/>
  <c r="I701" i="1"/>
  <c r="N701" i="1" s="1"/>
  <c r="I700" i="1"/>
  <c r="I699" i="1"/>
  <c r="N699" i="1" s="1"/>
  <c r="I698" i="1"/>
  <c r="I697" i="1"/>
  <c r="I696" i="1"/>
  <c r="I695" i="1"/>
  <c r="N695" i="1" s="1"/>
  <c r="I694" i="1"/>
  <c r="I693" i="1"/>
  <c r="N693" i="1" s="1"/>
  <c r="I692" i="1"/>
  <c r="I691" i="1"/>
  <c r="N691" i="1" s="1"/>
  <c r="I690" i="1"/>
  <c r="I689" i="1"/>
  <c r="N689" i="1" s="1"/>
  <c r="I688" i="1"/>
  <c r="I687" i="1"/>
  <c r="N687" i="1" s="1"/>
  <c r="I686" i="1"/>
  <c r="N685" i="1"/>
  <c r="I685" i="1"/>
  <c r="I684" i="1"/>
  <c r="I683" i="1"/>
  <c r="N683" i="1" s="1"/>
  <c r="I682" i="1"/>
  <c r="N682" i="1" s="1"/>
  <c r="I681" i="1"/>
  <c r="I680" i="1"/>
  <c r="I679" i="1"/>
  <c r="N679" i="1" s="1"/>
  <c r="I678" i="1"/>
  <c r="O678" i="1" s="1"/>
  <c r="I677" i="1"/>
  <c r="I676" i="1"/>
  <c r="N675" i="1"/>
  <c r="I675" i="1"/>
  <c r="I674" i="1"/>
  <c r="I673" i="1"/>
  <c r="N673" i="1" s="1"/>
  <c r="I672" i="1"/>
  <c r="I671" i="1"/>
  <c r="N671" i="1" s="1"/>
  <c r="I670" i="1"/>
  <c r="I669" i="1"/>
  <c r="I668" i="1"/>
  <c r="I667" i="1"/>
  <c r="N667" i="1" s="1"/>
  <c r="I666" i="1"/>
  <c r="O666" i="1" s="1"/>
  <c r="I665" i="1"/>
  <c r="I664" i="1"/>
  <c r="I663" i="1"/>
  <c r="N663" i="1" s="1"/>
  <c r="I662" i="1"/>
  <c r="N662" i="1" s="1"/>
  <c r="I661" i="1"/>
  <c r="N661" i="1" s="1"/>
  <c r="I660" i="1"/>
  <c r="O660" i="1" s="1"/>
  <c r="I659" i="1"/>
  <c r="N659" i="1" s="1"/>
  <c r="I658" i="1"/>
  <c r="I657" i="1"/>
  <c r="O656" i="1"/>
  <c r="I656" i="1"/>
  <c r="I655" i="1"/>
  <c r="N655" i="1" s="1"/>
  <c r="I654" i="1"/>
  <c r="M654" i="1" s="1"/>
  <c r="P654" i="1" s="1"/>
  <c r="I653" i="1"/>
  <c r="N653" i="1" s="1"/>
  <c r="I652" i="1"/>
  <c r="N652" i="1" s="1"/>
  <c r="I651" i="1"/>
  <c r="N651" i="1" s="1"/>
  <c r="I650" i="1"/>
  <c r="I649" i="1"/>
  <c r="N649" i="1" s="1"/>
  <c r="I648" i="1"/>
  <c r="N647" i="1"/>
  <c r="I647" i="1"/>
  <c r="I646" i="1"/>
  <c r="I645" i="1"/>
  <c r="N645" i="1" s="1"/>
  <c r="I644" i="1"/>
  <c r="I643" i="1"/>
  <c r="N643" i="1" s="1"/>
  <c r="I642" i="1"/>
  <c r="I641" i="1"/>
  <c r="N641" i="1" s="1"/>
  <c r="I640" i="1"/>
  <c r="N639" i="1"/>
  <c r="I639" i="1"/>
  <c r="I638" i="1"/>
  <c r="M638" i="1" s="1"/>
  <c r="N637" i="1"/>
  <c r="I637" i="1"/>
  <c r="I636" i="1"/>
  <c r="N635" i="1"/>
  <c r="I635" i="1"/>
  <c r="I634" i="1"/>
  <c r="I633" i="1"/>
  <c r="I632" i="1"/>
  <c r="I631" i="1"/>
  <c r="N631" i="1" s="1"/>
  <c r="I630" i="1"/>
  <c r="M630" i="1" s="1"/>
  <c r="P630" i="1" s="1"/>
  <c r="I629" i="1"/>
  <c r="N629" i="1" s="1"/>
  <c r="O628" i="1"/>
  <c r="I628" i="1"/>
  <c r="I627" i="1"/>
  <c r="N627" i="1" s="1"/>
  <c r="I626" i="1"/>
  <c r="M626" i="1" s="1"/>
  <c r="N625" i="1"/>
  <c r="I625" i="1"/>
  <c r="I624" i="1"/>
  <c r="I623" i="1"/>
  <c r="N623" i="1" s="1"/>
  <c r="I622" i="1"/>
  <c r="I621" i="1"/>
  <c r="N621" i="1" s="1"/>
  <c r="I620" i="1"/>
  <c r="I618" i="1"/>
  <c r="N618" i="1" s="1"/>
  <c r="I617" i="1"/>
  <c r="N617" i="1" s="1"/>
  <c r="I616" i="1"/>
  <c r="N616" i="1" s="1"/>
  <c r="I615" i="1"/>
  <c r="I614" i="1"/>
  <c r="O614" i="1" s="1"/>
  <c r="I613" i="1"/>
  <c r="I612" i="1"/>
  <c r="N611" i="1"/>
  <c r="I611" i="1"/>
  <c r="I610" i="1"/>
  <c r="I609" i="1"/>
  <c r="N609" i="1" s="1"/>
  <c r="I608" i="1"/>
  <c r="N608" i="1" s="1"/>
  <c r="I607" i="1"/>
  <c r="N607" i="1" s="1"/>
  <c r="I606" i="1"/>
  <c r="N605" i="1"/>
  <c r="I605" i="1"/>
  <c r="I604" i="1"/>
  <c r="N604" i="1" s="1"/>
  <c r="I603" i="1"/>
  <c r="N603" i="1" s="1"/>
  <c r="I602" i="1"/>
  <c r="N602" i="1" s="1"/>
  <c r="I601" i="1"/>
  <c r="O600" i="1"/>
  <c r="I600" i="1"/>
  <c r="I599" i="1"/>
  <c r="N599" i="1" s="1"/>
  <c r="I598" i="1"/>
  <c r="I597" i="1"/>
  <c r="I596" i="1"/>
  <c r="N596" i="1" s="1"/>
  <c r="I595" i="1"/>
  <c r="N595" i="1" s="1"/>
  <c r="I594" i="1"/>
  <c r="N594" i="1" s="1"/>
  <c r="I593" i="1"/>
  <c r="N593" i="1" s="1"/>
  <c r="I592" i="1"/>
  <c r="I591" i="1"/>
  <c r="N591" i="1" s="1"/>
  <c r="N590" i="1"/>
  <c r="I590" i="1"/>
  <c r="I589" i="1"/>
  <c r="I588" i="1"/>
  <c r="N588" i="1" s="1"/>
  <c r="I587" i="1"/>
  <c r="I586" i="1"/>
  <c r="N586" i="1" s="1"/>
  <c r="I585" i="1"/>
  <c r="I584" i="1"/>
  <c r="I583" i="1"/>
  <c r="N583" i="1" s="1"/>
  <c r="I582" i="1"/>
  <c r="I581" i="1"/>
  <c r="N581" i="1" s="1"/>
  <c r="I580" i="1"/>
  <c r="O580" i="1" s="1"/>
  <c r="N579" i="1"/>
  <c r="I579" i="1"/>
  <c r="I578" i="1"/>
  <c r="N578" i="1" s="1"/>
  <c r="I577" i="1"/>
  <c r="N577" i="1" s="1"/>
  <c r="I576" i="1"/>
  <c r="N576" i="1" s="1"/>
  <c r="I575" i="1"/>
  <c r="N575" i="1" s="1"/>
  <c r="N574" i="1"/>
  <c r="I574" i="1"/>
  <c r="I573" i="1"/>
  <c r="N573" i="1" s="1"/>
  <c r="I572" i="1"/>
  <c r="N572" i="1" s="1"/>
  <c r="I571" i="1"/>
  <c r="I570" i="1"/>
  <c r="I569" i="1"/>
  <c r="I568" i="1"/>
  <c r="I567" i="1"/>
  <c r="I566" i="1"/>
  <c r="O566" i="1" s="1"/>
  <c r="I565" i="1"/>
  <c r="N565" i="1" s="1"/>
  <c r="I564" i="1"/>
  <c r="N564" i="1" s="1"/>
  <c r="N563" i="1"/>
  <c r="I563" i="1"/>
  <c r="I562" i="1"/>
  <c r="N562" i="1" s="1"/>
  <c r="I561" i="1"/>
  <c r="I560" i="1"/>
  <c r="I559" i="1"/>
  <c r="I558" i="1"/>
  <c r="N557" i="1"/>
  <c r="I557" i="1"/>
  <c r="I556" i="1"/>
  <c r="N556" i="1" s="1"/>
  <c r="I555" i="1"/>
  <c r="I554" i="1"/>
  <c r="I553" i="1"/>
  <c r="I552" i="1"/>
  <c r="N552" i="1" s="1"/>
  <c r="I551" i="1"/>
  <c r="I550" i="1"/>
  <c r="N550" i="1" s="1"/>
  <c r="I549" i="1"/>
  <c r="I548" i="1"/>
  <c r="I547" i="1"/>
  <c r="N547" i="1" s="1"/>
  <c r="I546" i="1"/>
  <c r="I545" i="1"/>
  <c r="I544" i="1"/>
  <c r="N544" i="1" s="1"/>
  <c r="I543" i="1"/>
  <c r="N543" i="1" s="1"/>
  <c r="N542" i="1"/>
  <c r="I542" i="1"/>
  <c r="I541" i="1"/>
  <c r="I540" i="1"/>
  <c r="N539" i="1"/>
  <c r="I539" i="1"/>
  <c r="I538" i="1"/>
  <c r="N538" i="1" s="1"/>
  <c r="O537" i="1"/>
  <c r="I537" i="1"/>
  <c r="I536" i="1"/>
  <c r="N536" i="1" s="1"/>
  <c r="I535" i="1"/>
  <c r="N535" i="1" s="1"/>
  <c r="N534" i="1"/>
  <c r="I534" i="1"/>
  <c r="I533" i="1"/>
  <c r="I532" i="1"/>
  <c r="I531" i="1"/>
  <c r="N531" i="1" s="1"/>
  <c r="I530" i="1"/>
  <c r="I529" i="1"/>
  <c r="I528" i="1"/>
  <c r="N528" i="1" s="1"/>
  <c r="I527" i="1"/>
  <c r="N527" i="1" s="1"/>
  <c r="I526" i="1"/>
  <c r="I525" i="1"/>
  <c r="N525" i="1" s="1"/>
  <c r="I524" i="1"/>
  <c r="I523" i="1"/>
  <c r="I522" i="1"/>
  <c r="I521" i="1"/>
  <c r="I520" i="1"/>
  <c r="N520" i="1" s="1"/>
  <c r="I519" i="1"/>
  <c r="N519" i="1" s="1"/>
  <c r="I518" i="1"/>
  <c r="N518" i="1" s="1"/>
  <c r="I517" i="1"/>
  <c r="I516" i="1"/>
  <c r="I515" i="1"/>
  <c r="I514" i="1"/>
  <c r="N514" i="1" s="1"/>
  <c r="I513" i="1"/>
  <c r="N513" i="1" s="1"/>
  <c r="I512" i="1"/>
  <c r="N512" i="1" s="1"/>
  <c r="N511" i="1"/>
  <c r="I511" i="1"/>
  <c r="I510" i="1"/>
  <c r="I509" i="1"/>
  <c r="O509" i="1" s="1"/>
  <c r="N508" i="1"/>
  <c r="I508" i="1"/>
  <c r="I507" i="1"/>
  <c r="N507" i="1" s="1"/>
  <c r="I506" i="1"/>
  <c r="N506" i="1" s="1"/>
  <c r="I505" i="1"/>
  <c r="I504" i="1"/>
  <c r="N504" i="1" s="1"/>
  <c r="I503" i="1"/>
  <c r="N503" i="1" s="1"/>
  <c r="I502" i="1"/>
  <c r="N501" i="1"/>
  <c r="I501" i="1"/>
  <c r="I500" i="1"/>
  <c r="N500" i="1" s="1"/>
  <c r="I499" i="1"/>
  <c r="N499" i="1" s="1"/>
  <c r="I498" i="1"/>
  <c r="N498" i="1" s="1"/>
  <c r="I497" i="1"/>
  <c r="I496" i="1"/>
  <c r="O495" i="1"/>
  <c r="I495" i="1"/>
  <c r="I494" i="1"/>
  <c r="N494" i="1" s="1"/>
  <c r="I493" i="1"/>
  <c r="N493" i="1" s="1"/>
  <c r="I492" i="1"/>
  <c r="N492" i="1" s="1"/>
  <c r="I491" i="1"/>
  <c r="O490" i="1"/>
  <c r="I490" i="1"/>
  <c r="I489" i="1"/>
  <c r="I488" i="1"/>
  <c r="I487" i="1"/>
  <c r="N487" i="1" s="1"/>
  <c r="I486" i="1"/>
  <c r="N486" i="1" s="1"/>
  <c r="N485" i="1"/>
  <c r="I485" i="1"/>
  <c r="I484" i="1"/>
  <c r="N484" i="1" s="1"/>
  <c r="I483" i="1"/>
  <c r="N483" i="1" s="1"/>
  <c r="I482" i="1"/>
  <c r="N482" i="1" s="1"/>
  <c r="I481" i="1"/>
  <c r="N481" i="1" s="1"/>
  <c r="I480" i="1"/>
  <c r="N480" i="1" s="1"/>
  <c r="I479" i="1"/>
  <c r="N479" i="1" s="1"/>
  <c r="I478" i="1"/>
  <c r="N478" i="1" s="1"/>
  <c r="I477" i="1"/>
  <c r="I476" i="1"/>
  <c r="I475" i="1"/>
  <c r="N474" i="1"/>
  <c r="I474" i="1"/>
  <c r="I473" i="1"/>
  <c r="O473" i="1" s="1"/>
  <c r="I472" i="1"/>
  <c r="N472" i="1" s="1"/>
  <c r="I471" i="1"/>
  <c r="N471" i="1" s="1"/>
  <c r="I470" i="1"/>
  <c r="N470" i="1" s="1"/>
  <c r="I469" i="1"/>
  <c r="N469" i="1" s="1"/>
  <c r="N468" i="1"/>
  <c r="I468" i="1"/>
  <c r="I467" i="1"/>
  <c r="N467" i="1" s="1"/>
  <c r="I466" i="1"/>
  <c r="N466" i="1" s="1"/>
  <c r="I465" i="1"/>
  <c r="I464" i="1"/>
  <c r="N464" i="1" s="1"/>
  <c r="I463" i="1"/>
  <c r="N463" i="1" s="1"/>
  <c r="I462" i="1"/>
  <c r="N462" i="1" s="1"/>
  <c r="I461" i="1"/>
  <c r="I460" i="1"/>
  <c r="N460" i="1" s="1"/>
  <c r="I459" i="1"/>
  <c r="N459" i="1" s="1"/>
  <c r="N458" i="1"/>
  <c r="I458" i="1"/>
  <c r="I457" i="1"/>
  <c r="N457" i="1" s="1"/>
  <c r="I456" i="1"/>
  <c r="N456" i="1" s="1"/>
  <c r="I455" i="1"/>
  <c r="N455" i="1" s="1"/>
  <c r="I454" i="1"/>
  <c r="N453" i="1"/>
  <c r="I453" i="1"/>
  <c r="I452" i="1"/>
  <c r="N452" i="1" s="1"/>
  <c r="I451" i="1"/>
  <c r="N451" i="1" s="1"/>
  <c r="I450" i="1"/>
  <c r="N450" i="1" s="1"/>
  <c r="I449" i="1"/>
  <c r="N449" i="1" s="1"/>
  <c r="I448" i="1"/>
  <c r="O447" i="1"/>
  <c r="I447" i="1"/>
  <c r="I446" i="1"/>
  <c r="N446" i="1" s="1"/>
  <c r="I445" i="1"/>
  <c r="I444" i="1"/>
  <c r="I443" i="1"/>
  <c r="N443" i="1" s="1"/>
  <c r="N442" i="1"/>
  <c r="I442" i="1"/>
  <c r="I441" i="1"/>
  <c r="O441" i="1" s="1"/>
  <c r="I440" i="1"/>
  <c r="N440" i="1" s="1"/>
  <c r="I439" i="1"/>
  <c r="I438" i="1"/>
  <c r="N438" i="1" s="1"/>
  <c r="I437" i="1"/>
  <c r="N437" i="1" s="1"/>
  <c r="I436" i="1"/>
  <c r="N436" i="1" s="1"/>
  <c r="O435" i="1"/>
  <c r="I435" i="1"/>
  <c r="I433" i="1"/>
  <c r="I432" i="1"/>
  <c r="N432" i="1" s="1"/>
  <c r="I431" i="1"/>
  <c r="N431" i="1" s="1"/>
  <c r="I430" i="1"/>
  <c r="O430" i="1" s="1"/>
  <c r="I429" i="1"/>
  <c r="N429" i="1" s="1"/>
  <c r="I428" i="1"/>
  <c r="I427" i="1"/>
  <c r="I426" i="1"/>
  <c r="N426" i="1" s="1"/>
  <c r="I425" i="1"/>
  <c r="I424" i="1"/>
  <c r="N424" i="1" s="1"/>
  <c r="I423" i="1"/>
  <c r="I422" i="1"/>
  <c r="I421" i="1"/>
  <c r="I420" i="1"/>
  <c r="I419" i="1"/>
  <c r="I418" i="1"/>
  <c r="I417" i="1"/>
  <c r="I416" i="1"/>
  <c r="I415" i="1"/>
  <c r="I414" i="1"/>
  <c r="I413" i="1"/>
  <c r="I412" i="1"/>
  <c r="N412" i="1" s="1"/>
  <c r="I411" i="1"/>
  <c r="I410" i="1"/>
  <c r="O410" i="1" s="1"/>
  <c r="I409" i="1"/>
  <c r="N409" i="1" s="1"/>
  <c r="I408" i="1"/>
  <c r="O408" i="1" s="1"/>
  <c r="N407" i="1"/>
  <c r="I407" i="1"/>
  <c r="I406" i="1"/>
  <c r="O406" i="1" s="1"/>
  <c r="I405" i="1"/>
  <c r="N405" i="1" s="1"/>
  <c r="I404" i="1"/>
  <c r="I403" i="1"/>
  <c r="N403" i="1" s="1"/>
  <c r="I402" i="1"/>
  <c r="I401" i="1"/>
  <c r="N401" i="1" s="1"/>
  <c r="I400" i="1"/>
  <c r="I399" i="1"/>
  <c r="I398" i="1"/>
  <c r="I397" i="1"/>
  <c r="N397" i="1" s="1"/>
  <c r="O396" i="1"/>
  <c r="I396" i="1"/>
  <c r="I394" i="1"/>
  <c r="I393" i="1"/>
  <c r="N393" i="1" s="1"/>
  <c r="I392" i="1"/>
  <c r="O391" i="1"/>
  <c r="I391" i="1"/>
  <c r="I390" i="1"/>
  <c r="N390" i="1" s="1"/>
  <c r="I389" i="1"/>
  <c r="I388" i="1"/>
  <c r="I387" i="1"/>
  <c r="I386" i="1"/>
  <c r="I385" i="1"/>
  <c r="I384" i="1"/>
  <c r="I383" i="1"/>
  <c r="N383" i="1" s="1"/>
  <c r="I382" i="1"/>
  <c r="N381" i="1"/>
  <c r="I381" i="1"/>
  <c r="I380" i="1"/>
  <c r="I379" i="1"/>
  <c r="I378" i="1"/>
  <c r="I377" i="1"/>
  <c r="N377" i="1" s="1"/>
  <c r="I376" i="1"/>
  <c r="I375" i="1"/>
  <c r="N375" i="1" s="1"/>
  <c r="I374" i="1"/>
  <c r="I373" i="1"/>
  <c r="N373" i="1" s="1"/>
  <c r="I372" i="1"/>
  <c r="I371" i="1"/>
  <c r="N371" i="1" s="1"/>
  <c r="I370" i="1"/>
  <c r="I369" i="1"/>
  <c r="N369" i="1" s="1"/>
  <c r="I368" i="1"/>
  <c r="I367" i="1"/>
  <c r="I366" i="1"/>
  <c r="I365" i="1"/>
  <c r="N365" i="1" s="1"/>
  <c r="I364" i="1"/>
  <c r="I363" i="1"/>
  <c r="N363" i="1" s="1"/>
  <c r="O362" i="1"/>
  <c r="I362" i="1"/>
  <c r="I361" i="1"/>
  <c r="N361" i="1" s="1"/>
  <c r="I360" i="1"/>
  <c r="N360" i="1" s="1"/>
  <c r="I359" i="1"/>
  <c r="I358" i="1"/>
  <c r="N358" i="1" s="1"/>
  <c r="I357" i="1"/>
  <c r="O357" i="1" s="1"/>
  <c r="N356" i="1"/>
  <c r="I356" i="1"/>
  <c r="I355" i="1"/>
  <c r="I354" i="1"/>
  <c r="I353" i="1"/>
  <c r="I352" i="1"/>
  <c r="I351" i="1"/>
  <c r="O351" i="1" s="1"/>
  <c r="M349" i="1"/>
  <c r="I349" i="1"/>
  <c r="N349" i="1" s="1"/>
  <c r="I348" i="1"/>
  <c r="N348" i="1" s="1"/>
  <c r="I347" i="1"/>
  <c r="I346" i="1"/>
  <c r="I345" i="1"/>
  <c r="I344" i="1"/>
  <c r="N344" i="1" s="1"/>
  <c r="I343" i="1"/>
  <c r="O343" i="1" s="1"/>
  <c r="I342" i="1"/>
  <c r="N342" i="1" s="1"/>
  <c r="I341" i="1"/>
  <c r="O340" i="1"/>
  <c r="I340" i="1"/>
  <c r="I339" i="1"/>
  <c r="N339" i="1" s="1"/>
  <c r="I338" i="1"/>
  <c r="I337" i="1"/>
  <c r="I336" i="1"/>
  <c r="I335" i="1"/>
  <c r="N335" i="1" s="1"/>
  <c r="I334" i="1"/>
  <c r="I333" i="1"/>
  <c r="N333" i="1" s="1"/>
  <c r="I332" i="1"/>
  <c r="I331" i="1"/>
  <c r="N331" i="1" s="1"/>
  <c r="I330" i="1"/>
  <c r="I329" i="1"/>
  <c r="N329" i="1" s="1"/>
  <c r="I328" i="1"/>
  <c r="I327" i="1"/>
  <c r="N327" i="1" s="1"/>
  <c r="I326" i="1"/>
  <c r="I325" i="1"/>
  <c r="N325" i="1" s="1"/>
  <c r="I324" i="1"/>
  <c r="I323" i="1"/>
  <c r="N323" i="1" s="1"/>
  <c r="I322" i="1"/>
  <c r="I321" i="1"/>
  <c r="N321" i="1" s="1"/>
  <c r="I320" i="1"/>
  <c r="I319" i="1"/>
  <c r="I318" i="1"/>
  <c r="I317" i="1"/>
  <c r="N317" i="1" s="1"/>
  <c r="I316" i="1"/>
  <c r="I315" i="1"/>
  <c r="N315" i="1" s="1"/>
  <c r="I314" i="1"/>
  <c r="I313" i="1"/>
  <c r="N313" i="1" s="1"/>
  <c r="I312" i="1"/>
  <c r="N310" i="1"/>
  <c r="I311" i="1"/>
  <c r="I310" i="1"/>
  <c r="I309" i="1"/>
  <c r="N309" i="1" s="1"/>
  <c r="I308" i="1"/>
  <c r="O308" i="1" s="1"/>
  <c r="I307" i="1"/>
  <c r="I306" i="1"/>
  <c r="I305" i="1"/>
  <c r="I304" i="1"/>
  <c r="I303" i="1"/>
  <c r="I302" i="1"/>
  <c r="O302" i="1" s="1"/>
  <c r="I301" i="1"/>
  <c r="N301" i="1" s="1"/>
  <c r="I300" i="1"/>
  <c r="I299" i="1"/>
  <c r="I298" i="1"/>
  <c r="I297" i="1"/>
  <c r="N297" i="1" s="1"/>
  <c r="I296" i="1"/>
  <c r="M296" i="1" s="1"/>
  <c r="I295" i="1"/>
  <c r="I294" i="1"/>
  <c r="N293" i="1"/>
  <c r="I293" i="1"/>
  <c r="I292" i="1"/>
  <c r="I291" i="1"/>
  <c r="N291" i="1" s="1"/>
  <c r="I290" i="1"/>
  <c r="I289" i="1"/>
  <c r="N289" i="1" s="1"/>
  <c r="I288" i="1"/>
  <c r="I287" i="1"/>
  <c r="N287" i="1" s="1"/>
  <c r="I286" i="1"/>
  <c r="I285" i="1"/>
  <c r="N285" i="1" s="1"/>
  <c r="I284" i="1"/>
  <c r="M282" i="1"/>
  <c r="I283" i="1"/>
  <c r="I282" i="1"/>
  <c r="I281" i="1"/>
  <c r="N281" i="1" s="1"/>
  <c r="I280" i="1"/>
  <c r="M280" i="1" s="1"/>
  <c r="I279" i="1"/>
  <c r="N279" i="1" s="1"/>
  <c r="I278" i="1"/>
  <c r="N278" i="1" s="1"/>
  <c r="O277" i="1"/>
  <c r="I277" i="1"/>
  <c r="I276" i="1"/>
  <c r="N276" i="1" s="1"/>
  <c r="I275" i="1"/>
  <c r="O275" i="1" s="1"/>
  <c r="I274" i="1"/>
  <c r="O273" i="1"/>
  <c r="I273" i="1"/>
  <c r="I272" i="1"/>
  <c r="N272" i="1" s="1"/>
  <c r="I271" i="1"/>
  <c r="I270" i="1"/>
  <c r="N270" i="1" s="1"/>
  <c r="I269" i="1"/>
  <c r="I268" i="1"/>
  <c r="N268" i="1" s="1"/>
  <c r="I267" i="1"/>
  <c r="I266" i="1"/>
  <c r="N266" i="1" s="1"/>
  <c r="I265" i="1"/>
  <c r="I264" i="1"/>
  <c r="N264" i="1" s="1"/>
  <c r="I263" i="1"/>
  <c r="O263" i="1" s="1"/>
  <c r="N261" i="1"/>
  <c r="O261" i="1"/>
  <c r="I261" i="1"/>
  <c r="I260" i="1"/>
  <c r="N260" i="1" s="1"/>
  <c r="I259" i="1"/>
  <c r="I258" i="1"/>
  <c r="O258" i="1" s="1"/>
  <c r="I257" i="1"/>
  <c r="N257" i="1" s="1"/>
  <c r="I256" i="1"/>
  <c r="I255" i="1"/>
  <c r="O255" i="1" s="1"/>
  <c r="I254" i="1"/>
  <c r="N254" i="1" s="1"/>
  <c r="I253" i="1"/>
  <c r="I252" i="1"/>
  <c r="I251" i="1"/>
  <c r="I250" i="1"/>
  <c r="N250" i="1" s="1"/>
  <c r="I249" i="1"/>
  <c r="I248" i="1"/>
  <c r="I247" i="1"/>
  <c r="I246" i="1"/>
  <c r="N246" i="1" s="1"/>
  <c r="O245" i="1"/>
  <c r="I245" i="1"/>
  <c r="I244" i="1"/>
  <c r="I243" i="1"/>
  <c r="N241" i="1"/>
  <c r="I241" i="1"/>
  <c r="I240" i="1"/>
  <c r="I239" i="1"/>
  <c r="I238" i="1"/>
  <c r="I237" i="1"/>
  <c r="I236" i="1"/>
  <c r="N236" i="1" s="1"/>
  <c r="I235" i="1"/>
  <c r="I234" i="1"/>
  <c r="N234" i="1" s="1"/>
  <c r="I233" i="1"/>
  <c r="I232" i="1"/>
  <c r="I231" i="1"/>
  <c r="I230" i="1"/>
  <c r="N230" i="1" s="1"/>
  <c r="I229" i="1"/>
  <c r="I228" i="1"/>
  <c r="I227" i="1"/>
  <c r="I226" i="1"/>
  <c r="N226" i="1" s="1"/>
  <c r="I225" i="1"/>
  <c r="I224" i="1"/>
  <c r="I223" i="1"/>
  <c r="I222" i="1"/>
  <c r="N222" i="1" s="1"/>
  <c r="I221" i="1"/>
  <c r="I220" i="1"/>
  <c r="I219" i="1"/>
  <c r="I218" i="1"/>
  <c r="N218" i="1" s="1"/>
  <c r="I217" i="1"/>
  <c r="I216" i="1"/>
  <c r="I215" i="1"/>
  <c r="I214" i="1"/>
  <c r="N214" i="1" s="1"/>
  <c r="I213" i="1"/>
  <c r="I212" i="1"/>
  <c r="I211" i="1"/>
  <c r="O211" i="1" s="1"/>
  <c r="I210" i="1"/>
  <c r="N210" i="1" s="1"/>
  <c r="I209" i="1"/>
  <c r="I208" i="1"/>
  <c r="O208" i="1" s="1"/>
  <c r="I207" i="1"/>
  <c r="N207" i="1" s="1"/>
  <c r="O206" i="1"/>
  <c r="I206" i="1"/>
  <c r="N205" i="1"/>
  <c r="I205" i="1"/>
  <c r="I204" i="1"/>
  <c r="I203" i="1"/>
  <c r="N203" i="1" s="1"/>
  <c r="I202" i="1"/>
  <c r="M202" i="1" s="1"/>
  <c r="P202" i="1" s="1"/>
  <c r="N201" i="1"/>
  <c r="I201" i="1"/>
  <c r="I200" i="1"/>
  <c r="N200" i="1" s="1"/>
  <c r="I199" i="1"/>
  <c r="I198" i="1"/>
  <c r="N198" i="1" s="1"/>
  <c r="I197" i="1"/>
  <c r="O197" i="1" s="1"/>
  <c r="M195" i="1"/>
  <c r="P195" i="1" s="1"/>
  <c r="I196" i="1"/>
  <c r="I195" i="1"/>
  <c r="I194" i="1"/>
  <c r="I193" i="1"/>
  <c r="I192" i="1"/>
  <c r="I191" i="1"/>
  <c r="I190" i="1"/>
  <c r="O189" i="1"/>
  <c r="I189" i="1"/>
  <c r="I188" i="1"/>
  <c r="N188" i="1" s="1"/>
  <c r="I187" i="1"/>
  <c r="N187" i="1" s="1"/>
  <c r="I186" i="1"/>
  <c r="I185" i="1"/>
  <c r="N185" i="1" s="1"/>
  <c r="N184" i="1"/>
  <c r="I184" i="1"/>
  <c r="I183" i="1"/>
  <c r="I182" i="1"/>
  <c r="N182" i="1" s="1"/>
  <c r="I181" i="1"/>
  <c r="I180" i="1"/>
  <c r="I179" i="1"/>
  <c r="O179" i="1" s="1"/>
  <c r="I178" i="1"/>
  <c r="I177" i="1"/>
  <c r="O177" i="1" s="1"/>
  <c r="I176" i="1"/>
  <c r="I175" i="1"/>
  <c r="I174" i="1"/>
  <c r="N174" i="1" s="1"/>
  <c r="O173" i="1"/>
  <c r="I173" i="1"/>
  <c r="I172" i="1"/>
  <c r="I171" i="1"/>
  <c r="O171" i="1" s="1"/>
  <c r="I170" i="1"/>
  <c r="N170" i="1" s="1"/>
  <c r="I169" i="1"/>
  <c r="I168" i="1"/>
  <c r="I167" i="1"/>
  <c r="I166" i="1"/>
  <c r="N166" i="1" s="1"/>
  <c r="I165" i="1"/>
  <c r="I164" i="1"/>
  <c r="I163" i="1"/>
  <c r="O163" i="1" s="1"/>
  <c r="I162" i="1"/>
  <c r="N162" i="1" s="1"/>
  <c r="I161" i="1"/>
  <c r="I160" i="1"/>
  <c r="I159" i="1"/>
  <c r="I157" i="1"/>
  <c r="N156" i="1"/>
  <c r="I156" i="1"/>
  <c r="I155" i="1"/>
  <c r="I154" i="1"/>
  <c r="I153" i="1"/>
  <c r="M153" i="1" s="1"/>
  <c r="I152" i="1"/>
  <c r="N152" i="1" s="1"/>
  <c r="I151" i="1"/>
  <c r="N151" i="1" s="1"/>
  <c r="I150" i="1"/>
  <c r="I149" i="1"/>
  <c r="I148" i="1"/>
  <c r="N148" i="1" s="1"/>
  <c r="I147" i="1"/>
  <c r="I146" i="1"/>
  <c r="I145" i="1"/>
  <c r="I144" i="1"/>
  <c r="I143" i="1"/>
  <c r="N143" i="1" s="1"/>
  <c r="I142" i="1"/>
  <c r="I141" i="1"/>
  <c r="I140" i="1"/>
  <c r="I139" i="1"/>
  <c r="N139" i="1" s="1"/>
  <c r="I138" i="1"/>
  <c r="N137" i="1"/>
  <c r="I137" i="1"/>
  <c r="I136" i="1"/>
  <c r="I135" i="1"/>
  <c r="N135" i="1" s="1"/>
  <c r="I134" i="1"/>
  <c r="O134" i="1" s="1"/>
  <c r="I133" i="1"/>
  <c r="N133" i="1" s="1"/>
  <c r="I132" i="1"/>
  <c r="I131" i="1"/>
  <c r="N131" i="1" s="1"/>
  <c r="I130" i="1"/>
  <c r="O130" i="1" s="1"/>
  <c r="I129" i="1"/>
  <c r="N129" i="1" s="1"/>
  <c r="I128" i="1"/>
  <c r="I127" i="1"/>
  <c r="N127" i="1" s="1"/>
  <c r="I126" i="1"/>
  <c r="I125" i="1"/>
  <c r="N125" i="1" s="1"/>
  <c r="I124" i="1"/>
  <c r="I123" i="1"/>
  <c r="O123" i="1" s="1"/>
  <c r="I122" i="1"/>
  <c r="N122" i="1" s="1"/>
  <c r="I121" i="1"/>
  <c r="I120" i="1"/>
  <c r="N120" i="1" s="1"/>
  <c r="I119" i="1"/>
  <c r="I118" i="1"/>
  <c r="N118" i="1" s="1"/>
  <c r="I117" i="1"/>
  <c r="N117" i="1" s="1"/>
  <c r="I116" i="1"/>
  <c r="N116" i="1" s="1"/>
  <c r="O115" i="1"/>
  <c r="I115" i="1"/>
  <c r="I114" i="1"/>
  <c r="N114" i="1" s="1"/>
  <c r="I113" i="1"/>
  <c r="O113" i="1" s="1"/>
  <c r="I112" i="1"/>
  <c r="N112" i="1" s="1"/>
  <c r="I111" i="1"/>
  <c r="N111" i="1" s="1"/>
  <c r="I110" i="1"/>
  <c r="I109" i="1"/>
  <c r="I108" i="1"/>
  <c r="I107" i="1"/>
  <c r="N107" i="1" s="1"/>
  <c r="I106" i="1"/>
  <c r="I105" i="1"/>
  <c r="O104" i="1"/>
  <c r="I104" i="1"/>
  <c r="I103" i="1"/>
  <c r="N103" i="1" s="1"/>
  <c r="I102" i="1"/>
  <c r="I101" i="1"/>
  <c r="I100" i="1"/>
  <c r="I99" i="1"/>
  <c r="I98" i="1"/>
  <c r="I97" i="1"/>
  <c r="N97" i="1" s="1"/>
  <c r="I96" i="1"/>
  <c r="N96" i="1" s="1"/>
  <c r="I95" i="1"/>
  <c r="N95" i="1" s="1"/>
  <c r="I94" i="1"/>
  <c r="N94" i="1" s="1"/>
  <c r="I93" i="1"/>
  <c r="N93" i="1" s="1"/>
  <c r="I92" i="1"/>
  <c r="N92" i="1" s="1"/>
  <c r="I91" i="1"/>
  <c r="N91" i="1" s="1"/>
  <c r="I90" i="1"/>
  <c r="N90" i="1" s="1"/>
  <c r="I89" i="1"/>
  <c r="N89" i="1" s="1"/>
  <c r="I88" i="1"/>
  <c r="N88" i="1" s="1"/>
  <c r="I87" i="1"/>
  <c r="I86" i="1"/>
  <c r="N86" i="1" s="1"/>
  <c r="O85" i="1"/>
  <c r="I85" i="1"/>
  <c r="I84" i="1"/>
  <c r="N84" i="1" s="1"/>
  <c r="I83" i="1"/>
  <c r="I82" i="1"/>
  <c r="N82" i="1" s="1"/>
  <c r="I81" i="1"/>
  <c r="I80" i="1"/>
  <c r="N80" i="1" s="1"/>
  <c r="I79" i="1"/>
  <c r="O79" i="1" s="1"/>
  <c r="I78" i="1"/>
  <c r="N78" i="1" s="1"/>
  <c r="I77" i="1"/>
  <c r="N77" i="1" s="1"/>
  <c r="N76" i="1"/>
  <c r="I76" i="1"/>
  <c r="I75" i="1"/>
  <c r="N75" i="1" s="1"/>
  <c r="I74" i="1"/>
  <c r="O74" i="1" s="1"/>
  <c r="N73" i="1"/>
  <c r="I73" i="1"/>
  <c r="I72" i="1"/>
  <c r="I71" i="1"/>
  <c r="N71" i="1" s="1"/>
  <c r="I70" i="1"/>
  <c r="I69" i="1"/>
  <c r="N69" i="1" s="1"/>
  <c r="I68" i="1"/>
  <c r="M68" i="1" s="1"/>
  <c r="P68" i="1" s="1"/>
  <c r="I67" i="1"/>
  <c r="N67" i="1" s="1"/>
  <c r="I66" i="1"/>
  <c r="N66" i="1" s="1"/>
  <c r="I65" i="1"/>
  <c r="I64" i="1"/>
  <c r="O64" i="1" s="1"/>
  <c r="I63" i="1"/>
  <c r="N63" i="1" s="1"/>
  <c r="I62" i="1"/>
  <c r="I61" i="1"/>
  <c r="N61" i="1" s="1"/>
  <c r="I60" i="1"/>
  <c r="N60" i="1" s="1"/>
  <c r="I59" i="1"/>
  <c r="N59" i="1" s="1"/>
  <c r="I58" i="1"/>
  <c r="N58" i="1" s="1"/>
  <c r="I57" i="1"/>
  <c r="N56" i="1"/>
  <c r="I56" i="1"/>
  <c r="I55" i="1"/>
  <c r="I54" i="1"/>
  <c r="N54" i="1" s="1"/>
  <c r="I53" i="1"/>
  <c r="N53" i="1" s="1"/>
  <c r="I52" i="1"/>
  <c r="N52" i="1" s="1"/>
  <c r="I51" i="1"/>
  <c r="I50" i="1"/>
  <c r="M48" i="1"/>
  <c r="I48" i="1"/>
  <c r="I47" i="1"/>
  <c r="N47" i="1" s="1"/>
  <c r="I46" i="1"/>
  <c r="O46" i="1" s="1"/>
  <c r="N45" i="1"/>
  <c r="I45" i="1"/>
  <c r="I44" i="1"/>
  <c r="N44" i="1" s="1"/>
  <c r="I43" i="1"/>
  <c r="I42" i="1"/>
  <c r="N42" i="1" s="1"/>
  <c r="I41" i="1"/>
  <c r="I40" i="1"/>
  <c r="N40" i="1" s="1"/>
  <c r="I39" i="1"/>
  <c r="I38" i="1"/>
  <c r="I37" i="1"/>
  <c r="I36" i="1"/>
  <c r="I35" i="1"/>
  <c r="I34" i="1"/>
  <c r="N34" i="1" s="1"/>
  <c r="I33" i="1"/>
  <c r="N33" i="1" s="1"/>
  <c r="I32" i="1"/>
  <c r="O32" i="1" s="1"/>
  <c r="N30" i="1"/>
  <c r="I31" i="1"/>
  <c r="I30" i="1"/>
  <c r="I29" i="1"/>
  <c r="N29" i="1" s="1"/>
  <c r="N27" i="1"/>
  <c r="I28" i="1"/>
  <c r="I27" i="1"/>
  <c r="I26" i="1"/>
  <c r="I25" i="1"/>
  <c r="I24" i="1"/>
  <c r="I23" i="1"/>
  <c r="I22" i="1"/>
  <c r="I21" i="1"/>
  <c r="O21" i="1" s="1"/>
  <c r="N19" i="1"/>
  <c r="I20" i="1"/>
  <c r="I19" i="1"/>
  <c r="I18" i="1"/>
  <c r="N18" i="1" s="1"/>
  <c r="N17" i="1"/>
  <c r="I17" i="1"/>
  <c r="N145" i="1" l="1"/>
  <c r="M912" i="1"/>
  <c r="N532" i="1"/>
  <c r="M388" i="1"/>
  <c r="P388" i="1" s="1"/>
  <c r="N284" i="1"/>
  <c r="O284" i="1"/>
  <c r="M357" i="1"/>
  <c r="P357" i="1" s="1"/>
  <c r="N766" i="1"/>
  <c r="O353" i="1"/>
  <c r="O751" i="1"/>
  <c r="N347" i="1"/>
  <c r="M600" i="1"/>
  <c r="P600" i="1" s="1"/>
  <c r="N857" i="1"/>
  <c r="N676" i="1"/>
  <c r="M835" i="1"/>
  <c r="P835" i="1" s="1"/>
  <c r="N57" i="1"/>
  <c r="M167" i="1"/>
  <c r="P167" i="1" s="1"/>
  <c r="N601" i="1"/>
  <c r="O27" i="1"/>
  <c r="N157" i="1"/>
  <c r="O157" i="1"/>
  <c r="N741" i="1"/>
  <c r="N22" i="1"/>
  <c r="M157" i="1"/>
  <c r="P157" i="1" s="1"/>
  <c r="O202" i="1"/>
  <c r="N299" i="1"/>
  <c r="M191" i="1"/>
  <c r="O312" i="1"/>
  <c r="N454" i="1"/>
  <c r="N569" i="1"/>
  <c r="N585" i="1"/>
  <c r="O757" i="1"/>
  <c r="O838" i="1"/>
  <c r="O858" i="1"/>
  <c r="O17" i="1"/>
  <c r="N422" i="1"/>
  <c r="O551" i="1"/>
  <c r="N757" i="1"/>
  <c r="N758" i="1"/>
  <c r="N99" i="1"/>
  <c r="N104" i="1"/>
  <c r="M233" i="1"/>
  <c r="P233" i="1" s="1"/>
  <c r="M294" i="1"/>
  <c r="P294" i="1" s="1"/>
  <c r="M306" i="1"/>
  <c r="P306" i="1" s="1"/>
  <c r="M396" i="1"/>
  <c r="P396" i="1" s="1"/>
  <c r="N402" i="1"/>
  <c r="M408" i="1"/>
  <c r="P408" i="1" s="1"/>
  <c r="N465" i="1"/>
  <c r="N545" i="1"/>
  <c r="N597" i="1"/>
  <c r="O652" i="1"/>
  <c r="N656" i="1"/>
  <c r="N805" i="1"/>
  <c r="O828" i="1"/>
  <c r="N876" i="1"/>
  <c r="N147" i="1"/>
  <c r="M208" i="1"/>
  <c r="M273" i="1"/>
  <c r="P273" i="1" s="1"/>
  <c r="M288" i="1"/>
  <c r="P288" i="1" s="1"/>
  <c r="M391" i="1"/>
  <c r="P391" i="1" s="1"/>
  <c r="N540" i="1"/>
  <c r="N559" i="1"/>
  <c r="O798" i="1"/>
  <c r="M871" i="1"/>
  <c r="P871" i="1" s="1"/>
  <c r="O100" i="1"/>
  <c r="N154" i="1"/>
  <c r="N209" i="1"/>
  <c r="M213" i="1"/>
  <c r="P213" i="1" s="1"/>
  <c r="O269" i="1"/>
  <c r="N524" i="1"/>
  <c r="N530" i="1"/>
  <c r="N546" i="1"/>
  <c r="N553" i="1"/>
  <c r="N592" i="1"/>
  <c r="N705" i="1"/>
  <c r="N55" i="1"/>
  <c r="M237" i="1"/>
  <c r="P237" i="1" s="1"/>
  <c r="M275" i="1"/>
  <c r="P275" i="1" s="1"/>
  <c r="M398" i="1"/>
  <c r="P398" i="1" s="1"/>
  <c r="N445" i="1"/>
  <c r="M781" i="1"/>
  <c r="P781" i="1" s="1"/>
  <c r="N100" i="1"/>
  <c r="N124" i="1"/>
  <c r="N628" i="1"/>
  <c r="O766" i="1"/>
  <c r="N813" i="1"/>
  <c r="N26" i="1"/>
  <c r="N31" i="1"/>
  <c r="N38" i="1"/>
  <c r="O62" i="1"/>
  <c r="N190" i="1"/>
  <c r="N216" i="1"/>
  <c r="N224" i="1"/>
  <c r="N232" i="1"/>
  <c r="N238" i="1"/>
  <c r="O265" i="1"/>
  <c r="N341" i="1"/>
  <c r="N491" i="1"/>
  <c r="N497" i="1"/>
  <c r="N548" i="1"/>
  <c r="O644" i="1"/>
  <c r="N665" i="1"/>
  <c r="N784" i="1"/>
  <c r="N868" i="1"/>
  <c r="O108" i="1"/>
  <c r="O193" i="1"/>
  <c r="M753" i="1"/>
  <c r="P753" i="1" s="1"/>
  <c r="M521" i="1"/>
  <c r="P521" i="1" s="1"/>
  <c r="N533" i="1"/>
  <c r="M664" i="1"/>
  <c r="P664" i="1" s="1"/>
  <c r="O759" i="1"/>
  <c r="N815" i="1"/>
  <c r="O19" i="1"/>
  <c r="M108" i="1"/>
  <c r="P108" i="1" s="1"/>
  <c r="N171" i="1"/>
  <c r="N193" i="1"/>
  <c r="M302" i="1"/>
  <c r="P302" i="1" s="1"/>
  <c r="P349" i="1"/>
  <c r="O433" i="1"/>
  <c r="N523" i="1"/>
  <c r="N568" i="1"/>
  <c r="M668" i="1"/>
  <c r="P668" i="1" s="1"/>
  <c r="N730" i="1"/>
  <c r="N760" i="1"/>
  <c r="M768" i="1"/>
  <c r="P768" i="1" s="1"/>
  <c r="N775" i="1"/>
  <c r="O841" i="1"/>
  <c r="N801" i="1"/>
  <c r="M353" i="1"/>
  <c r="P353" i="1" s="1"/>
  <c r="N477" i="1"/>
  <c r="N505" i="1"/>
  <c r="N582" i="1"/>
  <c r="N23" i="1"/>
  <c r="N240" i="1"/>
  <c r="N461" i="1"/>
  <c r="N745" i="1"/>
  <c r="N81" i="1"/>
  <c r="N98" i="1"/>
  <c r="N110" i="1"/>
  <c r="N150" i="1"/>
  <c r="M161" i="1"/>
  <c r="P161" i="1" s="1"/>
  <c r="N178" i="1"/>
  <c r="M199" i="1"/>
  <c r="P199" i="1" s="1"/>
  <c r="N220" i="1"/>
  <c r="N228" i="1"/>
  <c r="N345" i="1"/>
  <c r="N385" i="1"/>
  <c r="N428" i="1"/>
  <c r="N529" i="1"/>
  <c r="M537" i="1"/>
  <c r="P537" i="1" s="1"/>
  <c r="N584" i="1"/>
  <c r="N610" i="1"/>
  <c r="M624" i="1"/>
  <c r="O664" i="1"/>
  <c r="N697" i="1"/>
  <c r="M734" i="1"/>
  <c r="P734" i="1" s="1"/>
  <c r="N750" i="1"/>
  <c r="M786" i="1"/>
  <c r="P786" i="1" s="1"/>
  <c r="N836" i="1"/>
  <c r="N842" i="1"/>
  <c r="N861" i="1"/>
  <c r="O875" i="1"/>
  <c r="N901" i="1"/>
  <c r="M757" i="1"/>
  <c r="P757" i="1" s="1"/>
  <c r="N302" i="1"/>
  <c r="M676" i="1"/>
  <c r="P676" i="1" s="1"/>
  <c r="M27" i="1"/>
  <c r="P27" i="1" s="1"/>
  <c r="M284" i="1"/>
  <c r="P284" i="1" s="1"/>
  <c r="M682" i="1"/>
  <c r="P682" i="1" s="1"/>
  <c r="N638" i="1"/>
  <c r="M826" i="1"/>
  <c r="P826" i="1" s="1"/>
  <c r="N749" i="1"/>
  <c r="N891" i="1"/>
  <c r="M891" i="1"/>
  <c r="P891" i="1" s="1"/>
  <c r="M580" i="1"/>
  <c r="P580" i="1" s="1"/>
  <c r="N580" i="1"/>
  <c r="N212" i="1"/>
  <c r="M211" i="1"/>
  <c r="P211" i="1" s="1"/>
  <c r="M793" i="1"/>
  <c r="P793" i="1" s="1"/>
  <c r="N793" i="1"/>
  <c r="N337" i="1"/>
  <c r="N65" i="1"/>
  <c r="M64" i="1"/>
  <c r="P64" i="1" s="1"/>
  <c r="N657" i="1"/>
  <c r="N787" i="1"/>
  <c r="N833" i="1"/>
  <c r="O181" i="1"/>
  <c r="O646" i="1"/>
  <c r="M656" i="1"/>
  <c r="P656" i="1" s="1"/>
  <c r="M473" i="1"/>
  <c r="P473" i="1" s="1"/>
  <c r="N476" i="1"/>
  <c r="N164" i="1"/>
  <c r="O658" i="1"/>
  <c r="M87" i="1"/>
  <c r="P87" i="1" s="1"/>
  <c r="M165" i="1"/>
  <c r="P165" i="1" s="1"/>
  <c r="O165" i="1"/>
  <c r="M788" i="1"/>
  <c r="P788" i="1" s="1"/>
  <c r="N788" i="1"/>
  <c r="O43" i="1"/>
  <c r="N411" i="1"/>
  <c r="M410" i="1"/>
  <c r="P410" i="1" s="1"/>
  <c r="M181" i="1"/>
  <c r="P181" i="1" s="1"/>
  <c r="N202" i="1"/>
  <c r="O267" i="1"/>
  <c r="O23" i="1"/>
  <c r="M23" i="1"/>
  <c r="P23" i="1" s="1"/>
  <c r="N51" i="1"/>
  <c r="M126" i="1"/>
  <c r="P126" i="1" s="1"/>
  <c r="N196" i="1"/>
  <c r="N258" i="1"/>
  <c r="M258" i="1"/>
  <c r="P258" i="1" s="1"/>
  <c r="M267" i="1"/>
  <c r="P267" i="1" s="1"/>
  <c r="N522" i="1"/>
  <c r="N819" i="1"/>
  <c r="M819" i="1"/>
  <c r="P819" i="1" s="1"/>
  <c r="N828" i="1"/>
  <c r="M828" i="1"/>
  <c r="P828" i="1" s="1"/>
  <c r="M17" i="1"/>
  <c r="P17" i="1" s="1"/>
  <c r="N132" i="1"/>
  <c r="M132" i="1"/>
  <c r="P132" i="1" s="1"/>
  <c r="N399" i="1"/>
  <c r="N587" i="1"/>
  <c r="O688" i="1"/>
  <c r="M737" i="1"/>
  <c r="P737" i="1" s="1"/>
  <c r="O776" i="1"/>
  <c r="N782" i="1"/>
  <c r="N820" i="1"/>
  <c r="O146" i="1"/>
  <c r="N153" i="1"/>
  <c r="N259" i="1"/>
  <c r="O355" i="1"/>
  <c r="O400" i="1"/>
  <c r="N489" i="1"/>
  <c r="O634" i="1"/>
  <c r="O83" i="1"/>
  <c r="N105" i="1"/>
  <c r="M119" i="1"/>
  <c r="P119" i="1" s="1"/>
  <c r="O153" i="1"/>
  <c r="O175" i="1"/>
  <c r="M355" i="1"/>
  <c r="P355" i="1" s="1"/>
  <c r="N392" i="1"/>
  <c r="M634" i="1"/>
  <c r="P634" i="1" s="1"/>
  <c r="O768" i="1"/>
  <c r="M32" i="1"/>
  <c r="P32" i="1" s="1"/>
  <c r="M83" i="1"/>
  <c r="P83" i="1" s="1"/>
  <c r="M106" i="1"/>
  <c r="P106" i="1" s="1"/>
  <c r="O106" i="1"/>
  <c r="O126" i="1"/>
  <c r="P153" i="1"/>
  <c r="N168" i="1"/>
  <c r="N379" i="1"/>
  <c r="N798" i="1"/>
  <c r="M798" i="1"/>
  <c r="P798" i="1" s="1"/>
  <c r="P900" i="1"/>
  <c r="N900" i="1"/>
  <c r="O900" i="1"/>
  <c r="M186" i="1"/>
  <c r="P186" i="1" s="1"/>
  <c r="M300" i="1"/>
  <c r="P300" i="1" s="1"/>
  <c r="N418" i="1"/>
  <c r="N109" i="1"/>
  <c r="O243" i="1"/>
  <c r="O242" i="1" s="1"/>
  <c r="M206" i="1"/>
  <c r="P206" i="1" s="1"/>
  <c r="M658" i="1"/>
  <c r="P658" i="1" s="1"/>
  <c r="M66" i="1"/>
  <c r="P66" i="1" s="1"/>
  <c r="M441" i="1"/>
  <c r="P441" i="1" s="1"/>
  <c r="N441" i="1"/>
  <c r="M652" i="1"/>
  <c r="P652" i="1" s="1"/>
  <c r="M688" i="1"/>
  <c r="P688" i="1" s="1"/>
  <c r="O159" i="1"/>
  <c r="M646" i="1"/>
  <c r="P646" i="1" s="1"/>
  <c r="O121" i="1"/>
  <c r="O169" i="1"/>
  <c r="O191" i="1"/>
  <c r="N191" i="1"/>
  <c r="M640" i="1"/>
  <c r="P640" i="1" s="1"/>
  <c r="N814" i="1"/>
  <c r="N878" i="1"/>
  <c r="O636" i="1"/>
  <c r="O670" i="1"/>
  <c r="M670" i="1"/>
  <c r="P670" i="1" s="1"/>
  <c r="N677" i="1"/>
  <c r="M100" i="1"/>
  <c r="P100" i="1" s="1"/>
  <c r="P191" i="1"/>
  <c r="N416" i="1"/>
  <c r="M636" i="1"/>
  <c r="P636" i="1" s="1"/>
  <c r="N839" i="1"/>
  <c r="O624" i="1"/>
  <c r="P624" i="1"/>
  <c r="P48" i="1"/>
  <c r="O48" i="1"/>
  <c r="N48" i="1"/>
  <c r="N235" i="1"/>
  <c r="N794" i="1"/>
  <c r="O87" i="1"/>
  <c r="O186" i="1"/>
  <c r="O237" i="1"/>
  <c r="M43" i="1"/>
  <c r="P43" i="1" s="1"/>
  <c r="M79" i="1"/>
  <c r="P79" i="1" s="1"/>
  <c r="N295" i="1"/>
  <c r="M104" i="1"/>
  <c r="P104" i="1" s="1"/>
  <c r="P296" i="1"/>
  <c r="O296" i="1"/>
  <c r="N296" i="1"/>
  <c r="M146" i="1"/>
  <c r="P146" i="1" s="1"/>
  <c r="M121" i="1"/>
  <c r="P121" i="1" s="1"/>
  <c r="N141" i="1"/>
  <c r="N290" i="1"/>
  <c r="O622" i="1"/>
  <c r="M622" i="1"/>
  <c r="P622" i="1" s="1"/>
  <c r="M343" i="1"/>
  <c r="P343" i="1" s="1"/>
  <c r="N669" i="1"/>
  <c r="N307" i="1"/>
  <c r="N108" i="1"/>
  <c r="M169" i="1"/>
  <c r="P169" i="1" s="1"/>
  <c r="N192" i="1"/>
  <c r="O349" i="1"/>
  <c r="O672" i="1"/>
  <c r="O394" i="1"/>
  <c r="N394" i="1"/>
  <c r="M848" i="1"/>
  <c r="P848" i="1" s="1"/>
  <c r="N848" i="1"/>
  <c r="O915" i="1"/>
  <c r="N28" i="1"/>
  <c r="M62" i="1"/>
  <c r="P62" i="1" s="1"/>
  <c r="M72" i="1"/>
  <c r="P72" i="1" s="1"/>
  <c r="N101" i="1"/>
  <c r="O204" i="1"/>
  <c r="M243" i="1"/>
  <c r="P243" i="1" s="1"/>
  <c r="M261" i="1"/>
  <c r="P261" i="1" s="1"/>
  <c r="N303" i="1"/>
  <c r="N387" i="1"/>
  <c r="M400" i="1"/>
  <c r="P400" i="1" s="1"/>
  <c r="M433" i="1"/>
  <c r="P433" i="1" s="1"/>
  <c r="N433" i="1"/>
  <c r="O648" i="1"/>
  <c r="M678" i="1"/>
  <c r="P678" i="1" s="1"/>
  <c r="N849" i="1"/>
  <c r="M854" i="1"/>
  <c r="P854" i="1" s="1"/>
  <c r="M862" i="1"/>
  <c r="P862" i="1" s="1"/>
  <c r="O902" i="1"/>
  <c r="M915" i="1"/>
  <c r="P915" i="1" s="1"/>
  <c r="O149" i="1"/>
  <c r="M171" i="1"/>
  <c r="P171" i="1" s="1"/>
  <c r="M204" i="1"/>
  <c r="P204" i="1" s="1"/>
  <c r="N244" i="1"/>
  <c r="O286" i="1"/>
  <c r="O388" i="1"/>
  <c r="M648" i="1"/>
  <c r="P648" i="1" s="1"/>
  <c r="O684" i="1"/>
  <c r="O771" i="1"/>
  <c r="M776" i="1"/>
  <c r="P776" i="1" s="1"/>
  <c r="O783" i="1"/>
  <c r="N809" i="1"/>
  <c r="O869" i="1"/>
  <c r="M902" i="1"/>
  <c r="P902" i="1" s="1"/>
  <c r="M19" i="1"/>
  <c r="P19" i="1" s="1"/>
  <c r="O128" i="1"/>
  <c r="M149" i="1"/>
  <c r="P149" i="1" s="1"/>
  <c r="O199" i="1"/>
  <c r="N280" i="1"/>
  <c r="O298" i="1"/>
  <c r="M310" i="1"/>
  <c r="P310" i="1" s="1"/>
  <c r="N420" i="1"/>
  <c r="O502" i="1"/>
  <c r="O515" i="1"/>
  <c r="N561" i="1"/>
  <c r="M560" i="1"/>
  <c r="P560" i="1" s="1"/>
  <c r="M684" i="1"/>
  <c r="P684" i="1" s="1"/>
  <c r="N753" i="1"/>
  <c r="N765" i="1"/>
  <c r="M771" i="1"/>
  <c r="P771" i="1" s="1"/>
  <c r="O856" i="1"/>
  <c r="M869" i="1"/>
  <c r="P869" i="1" s="1"/>
  <c r="N24" i="1"/>
  <c r="M123" i="1"/>
  <c r="P123" i="1" s="1"/>
  <c r="O161" i="1"/>
  <c r="N161" i="1"/>
  <c r="N274" i="1"/>
  <c r="O280" i="1"/>
  <c r="N352" i="1"/>
  <c r="M351" i="1"/>
  <c r="P351" i="1" s="1"/>
  <c r="N516" i="1"/>
  <c r="M515" i="1"/>
  <c r="P515" i="1" s="1"/>
  <c r="O620" i="1"/>
  <c r="O844" i="1"/>
  <c r="O862" i="1"/>
  <c r="O50" i="1"/>
  <c r="O68" i="1"/>
  <c r="N68" i="1"/>
  <c r="P280" i="1"/>
  <c r="M292" i="1"/>
  <c r="P292" i="1" s="1"/>
  <c r="N292" i="1"/>
  <c r="O304" i="1"/>
  <c r="N311" i="1"/>
  <c r="M346" i="1"/>
  <c r="P346" i="1" s="1"/>
  <c r="N346" i="1"/>
  <c r="O626" i="1"/>
  <c r="P626" i="1"/>
  <c r="N626" i="1"/>
  <c r="M672" i="1"/>
  <c r="P672" i="1" s="1"/>
  <c r="O830" i="1"/>
  <c r="M830" i="1"/>
  <c r="P830" i="1" s="1"/>
  <c r="N882" i="1"/>
  <c r="N172" i="1"/>
  <c r="M304" i="1"/>
  <c r="P304" i="1" s="1"/>
  <c r="N414" i="1"/>
  <c r="O632" i="1"/>
  <c r="O674" i="1"/>
  <c r="N817" i="1"/>
  <c r="O904" i="1"/>
  <c r="M30" i="1"/>
  <c r="P30" i="1" s="1"/>
  <c r="N305" i="1"/>
  <c r="N510" i="1"/>
  <c r="N613" i="1"/>
  <c r="N754" i="1"/>
  <c r="M766" i="1"/>
  <c r="P766" i="1" s="1"/>
  <c r="M173" i="1"/>
  <c r="P173" i="1" s="1"/>
  <c r="N606" i="1"/>
  <c r="O680" i="1"/>
  <c r="N780" i="1"/>
  <c r="M779" i="1"/>
  <c r="P779" i="1" s="1"/>
  <c r="O30" i="1"/>
  <c r="O167" i="1"/>
  <c r="O288" i="1"/>
  <c r="O398" i="1"/>
  <c r="M662" i="1"/>
  <c r="P662" i="1" s="1"/>
  <c r="N890" i="1"/>
  <c r="O822" i="1"/>
  <c r="P822" i="1"/>
  <c r="N822" i="1"/>
  <c r="O72" i="1"/>
  <c r="M175" i="1"/>
  <c r="P175" i="1" s="1"/>
  <c r="N176" i="1"/>
  <c r="N20" i="1"/>
  <c r="O102" i="1"/>
  <c r="M128" i="1"/>
  <c r="P128" i="1" s="1"/>
  <c r="O183" i="1"/>
  <c r="N194" i="1"/>
  <c r="O215" i="1"/>
  <c r="M502" i="1"/>
  <c r="P502" i="1" s="1"/>
  <c r="O119" i="1"/>
  <c r="M674" i="1"/>
  <c r="P674" i="1" s="1"/>
  <c r="N167" i="1"/>
  <c r="O294" i="1"/>
  <c r="N306" i="1"/>
  <c r="O306" i="1"/>
  <c r="O668" i="1"/>
  <c r="O25" i="1"/>
  <c r="N36" i="1"/>
  <c r="M183" i="1"/>
  <c r="P183" i="1" s="1"/>
  <c r="N252" i="1"/>
  <c r="N283" i="1"/>
  <c r="O300" i="1"/>
  <c r="N354" i="1"/>
  <c r="N496" i="1"/>
  <c r="M632" i="1"/>
  <c r="P632" i="1" s="1"/>
  <c r="N884" i="1"/>
  <c r="M904" i="1"/>
  <c r="P904" i="1" s="1"/>
  <c r="O560" i="1"/>
  <c r="M159" i="1"/>
  <c r="P159" i="1" s="1"/>
  <c r="P282" i="1"/>
  <c r="O282" i="1"/>
  <c r="N282" i="1"/>
  <c r="O427" i="1"/>
  <c r="M566" i="1"/>
  <c r="P566" i="1" s="1"/>
  <c r="O762" i="1"/>
  <c r="M762" i="1"/>
  <c r="P762" i="1" s="1"/>
  <c r="O852" i="1"/>
  <c r="N160" i="1"/>
  <c r="P208" i="1"/>
  <c r="N208" i="1"/>
  <c r="O213" i="1"/>
  <c r="O233" i="1"/>
  <c r="N319" i="1"/>
  <c r="N389" i="1"/>
  <c r="N554" i="1"/>
  <c r="N567" i="1"/>
  <c r="N633" i="1"/>
  <c r="M783" i="1"/>
  <c r="P783" i="1" s="1"/>
  <c r="N841" i="1"/>
  <c r="N905" i="1"/>
  <c r="N521" i="1"/>
  <c r="O521" i="1"/>
  <c r="O734" i="1"/>
  <c r="N734" i="1"/>
  <c r="O70" i="1"/>
  <c r="O132" i="1"/>
  <c r="M298" i="1"/>
  <c r="P298" i="1" s="1"/>
  <c r="O310" i="1"/>
  <c r="M340" i="1"/>
  <c r="P340" i="1" s="1"/>
  <c r="N353" i="1"/>
  <c r="O640" i="1"/>
  <c r="O650" i="1"/>
  <c r="P841" i="1"/>
  <c r="N918" i="1"/>
  <c r="M918" i="1"/>
  <c r="P918" i="1" s="1"/>
  <c r="O195" i="1"/>
  <c r="N195" i="1"/>
  <c r="M427" i="1"/>
  <c r="P427" i="1" s="1"/>
  <c r="M680" i="1"/>
  <c r="P680" i="1" s="1"/>
  <c r="N681" i="1"/>
  <c r="O728" i="1"/>
  <c r="N803" i="1"/>
  <c r="M858" i="1"/>
  <c r="P858" i="1" s="1"/>
  <c r="N859" i="1"/>
  <c r="O66" i="1"/>
  <c r="N180" i="1"/>
  <c r="N256" i="1"/>
  <c r="N448" i="1"/>
  <c r="N570" i="1"/>
  <c r="P912" i="1"/>
  <c r="O912" i="1"/>
  <c r="N912" i="1"/>
  <c r="N541" i="1"/>
  <c r="N589" i="1"/>
  <c r="N615" i="1"/>
  <c r="O642" i="1"/>
  <c r="O779" i="1"/>
  <c r="O860" i="1"/>
  <c r="N155" i="1"/>
  <c r="N475" i="1"/>
  <c r="M660" i="1"/>
  <c r="P660" i="1" s="1"/>
  <c r="O676" i="1"/>
  <c r="M394" i="1"/>
  <c r="P394" i="1" s="1"/>
  <c r="N444" i="1"/>
  <c r="N517" i="1"/>
  <c r="N537" i="1"/>
  <c r="O630" i="1"/>
  <c r="N630" i="1"/>
  <c r="O662" i="1"/>
  <c r="N735" i="1"/>
  <c r="O271" i="1"/>
  <c r="O292" i="1"/>
  <c r="O404" i="1"/>
  <c r="O526" i="1"/>
  <c r="O686" i="1"/>
  <c r="N778" i="1"/>
  <c r="O848" i="1"/>
  <c r="O918" i="1"/>
  <c r="N239" i="1"/>
  <c r="N248" i="1"/>
  <c r="N367" i="1"/>
  <c r="N571" i="1"/>
  <c r="O654" i="1"/>
  <c r="N654" i="1"/>
  <c r="O682" i="1"/>
  <c r="N843" i="1"/>
  <c r="M362" i="1"/>
  <c r="P362" i="1" s="1"/>
  <c r="O402" i="1"/>
  <c r="O638" i="1"/>
  <c r="O731" i="1"/>
  <c r="N731" i="1"/>
  <c r="O788" i="1"/>
  <c r="P873" i="1"/>
  <c r="N873" i="1"/>
  <c r="O346" i="1"/>
  <c r="O359" i="1"/>
  <c r="P638" i="1"/>
  <c r="O826" i="1"/>
  <c r="O891" i="1"/>
  <c r="N555" i="1"/>
  <c r="O835" i="1"/>
  <c r="N835" i="1"/>
  <c r="O864" i="1"/>
  <c r="N786" i="1" l="1"/>
  <c r="N294" i="1"/>
  <c r="M402" i="1"/>
  <c r="P402" i="1" s="1"/>
  <c r="N199" i="1"/>
  <c r="N275" i="1"/>
  <c r="N664" i="1"/>
  <c r="N624" i="1"/>
  <c r="N600" i="1"/>
  <c r="M628" i="1"/>
  <c r="P628" i="1" s="1"/>
  <c r="N871" i="1"/>
  <c r="N396" i="1"/>
  <c r="M193" i="1"/>
  <c r="P193" i="1" s="1"/>
  <c r="N233" i="1"/>
  <c r="N781" i="1"/>
  <c r="N388" i="1"/>
  <c r="N398" i="1"/>
  <c r="N273" i="1"/>
  <c r="N357" i="1"/>
  <c r="N288" i="1"/>
  <c r="N768" i="1"/>
  <c r="N408" i="1"/>
  <c r="N213" i="1"/>
  <c r="N668" i="1"/>
  <c r="N237" i="1"/>
  <c r="N391" i="1"/>
  <c r="N300" i="1"/>
  <c r="N830" i="1"/>
  <c r="N267" i="1"/>
  <c r="N106" i="1"/>
  <c r="N400" i="1"/>
  <c r="N674" i="1"/>
  <c r="N672" i="1"/>
  <c r="N169" i="1"/>
  <c r="N186" i="1"/>
  <c r="N658" i="1"/>
  <c r="N660" i="1"/>
  <c r="N678" i="1"/>
  <c r="N915" i="1"/>
  <c r="N904" i="1"/>
  <c r="N298" i="1"/>
  <c r="N646" i="1"/>
  <c r="O350" i="1"/>
  <c r="N79" i="1"/>
  <c r="N771" i="1"/>
  <c r="N243" i="1"/>
  <c r="N670" i="1"/>
  <c r="N181" i="1"/>
  <c r="O823" i="1"/>
  <c r="O434" i="1"/>
  <c r="N183" i="1"/>
  <c r="N473" i="1"/>
  <c r="N502" i="1"/>
  <c r="N211" i="1"/>
  <c r="O16" i="1"/>
  <c r="N173" i="1"/>
  <c r="N175" i="1"/>
  <c r="N159" i="1"/>
  <c r="N862" i="1"/>
  <c r="N622" i="1"/>
  <c r="N165" i="1"/>
  <c r="O262" i="1"/>
  <c r="N351" i="1"/>
  <c r="O395" i="1"/>
  <c r="N72" i="1"/>
  <c r="O742" i="1"/>
  <c r="N854" i="1"/>
  <c r="N362" i="1"/>
  <c r="N119" i="1"/>
  <c r="N149" i="1"/>
  <c r="N902" i="1"/>
  <c r="N648" i="1"/>
  <c r="N204" i="1"/>
  <c r="N783" i="1"/>
  <c r="N121" i="1"/>
  <c r="N32" i="1"/>
  <c r="N755" i="1"/>
  <c r="M755" i="1"/>
  <c r="P755" i="1" s="1"/>
  <c r="N146" i="1"/>
  <c r="N115" i="1"/>
  <c r="M115" i="1"/>
  <c r="P115" i="1" s="1"/>
  <c r="N215" i="1"/>
  <c r="M215" i="1"/>
  <c r="P215" i="1" s="1"/>
  <c r="N644" i="1"/>
  <c r="M644" i="1"/>
  <c r="P644" i="1" s="1"/>
  <c r="M614" i="1"/>
  <c r="P614" i="1" s="1"/>
  <c r="N614" i="1"/>
  <c r="M642" i="1"/>
  <c r="P642" i="1" s="1"/>
  <c r="N642" i="1"/>
  <c r="N177" i="1"/>
  <c r="M177" i="1"/>
  <c r="P177" i="1" s="1"/>
  <c r="N277" i="1"/>
  <c r="M277" i="1"/>
  <c r="P277" i="1" s="1"/>
  <c r="N64" i="1"/>
  <c r="N206" i="1"/>
  <c r="N427" i="1"/>
  <c r="M844" i="1"/>
  <c r="P844" i="1" s="1"/>
  <c r="N844" i="1"/>
  <c r="N74" i="1"/>
  <c r="M74" i="1"/>
  <c r="P74" i="1" s="1"/>
  <c r="M189" i="1"/>
  <c r="P189" i="1" s="1"/>
  <c r="N189" i="1"/>
  <c r="N759" i="1"/>
  <c r="M759" i="1"/>
  <c r="P759" i="1" s="1"/>
  <c r="N87" i="1"/>
  <c r="M864" i="1"/>
  <c r="P864" i="1" s="1"/>
  <c r="N864" i="1"/>
  <c r="M179" i="1"/>
  <c r="P179" i="1" s="1"/>
  <c r="N179" i="1"/>
  <c r="M263" i="1"/>
  <c r="P263" i="1" s="1"/>
  <c r="N263" i="1"/>
  <c r="N128" i="1"/>
  <c r="N515" i="1"/>
  <c r="M50" i="1"/>
  <c r="P50" i="1" s="1"/>
  <c r="N50" i="1"/>
  <c r="M832" i="1"/>
  <c r="P832" i="1" s="1"/>
  <c r="N832" i="1"/>
  <c r="N620" i="1"/>
  <c r="M620" i="1"/>
  <c r="P620" i="1" s="1"/>
  <c r="N762" i="1"/>
  <c r="N526" i="1"/>
  <c r="M526" i="1"/>
  <c r="P526" i="1" s="1"/>
  <c r="M812" i="1"/>
  <c r="P812" i="1" s="1"/>
  <c r="N812" i="1"/>
  <c r="N359" i="1"/>
  <c r="M359" i="1"/>
  <c r="P359" i="1" s="1"/>
  <c r="N495" i="1"/>
  <c r="M495" i="1"/>
  <c r="P495" i="1" s="1"/>
  <c r="N680" i="1"/>
  <c r="N85" i="1"/>
  <c r="M85" i="1"/>
  <c r="P85" i="1" s="1"/>
  <c r="M816" i="1"/>
  <c r="P816" i="1" s="1"/>
  <c r="N816" i="1"/>
  <c r="N435" i="1"/>
  <c r="M435" i="1"/>
  <c r="P435" i="1" s="1"/>
  <c r="N632" i="1"/>
  <c r="N560" i="1"/>
  <c r="M895" i="1"/>
  <c r="P895" i="1" s="1"/>
  <c r="N895" i="1"/>
  <c r="N126" i="1"/>
  <c r="N774" i="1"/>
  <c r="M774" i="1"/>
  <c r="P774" i="1" s="1"/>
  <c r="N340" i="1"/>
  <c r="N410" i="1"/>
  <c r="O49" i="1"/>
  <c r="M46" i="1"/>
  <c r="P46" i="1" s="1"/>
  <c r="N46" i="1"/>
  <c r="N404" i="1"/>
  <c r="M404" i="1"/>
  <c r="P404" i="1" s="1"/>
  <c r="N83" i="1"/>
  <c r="N688" i="1"/>
  <c r="M163" i="1"/>
  <c r="P163" i="1" s="1"/>
  <c r="N163" i="1"/>
  <c r="N898" i="1"/>
  <c r="M898" i="1"/>
  <c r="P898" i="1" s="1"/>
  <c r="M490" i="1"/>
  <c r="P490" i="1" s="1"/>
  <c r="N490" i="1"/>
  <c r="N355" i="1"/>
  <c r="N850" i="1"/>
  <c r="M850" i="1"/>
  <c r="P850" i="1" s="1"/>
  <c r="M846" i="1"/>
  <c r="P846" i="1" s="1"/>
  <c r="N846" i="1"/>
  <c r="O619" i="1"/>
  <c r="M130" i="1"/>
  <c r="P130" i="1" s="1"/>
  <c r="N130" i="1"/>
  <c r="N269" i="1"/>
  <c r="M269" i="1"/>
  <c r="P269" i="1" s="1"/>
  <c r="M25" i="1"/>
  <c r="P25" i="1" s="1"/>
  <c r="N25" i="1"/>
  <c r="N255" i="1"/>
  <c r="M255" i="1"/>
  <c r="P255" i="1" s="1"/>
  <c r="N684" i="1"/>
  <c r="N102" i="1"/>
  <c r="M102" i="1"/>
  <c r="P102" i="1" s="1"/>
  <c r="M21" i="1"/>
  <c r="P21" i="1" s="1"/>
  <c r="N21" i="1"/>
  <c r="M751" i="1"/>
  <c r="P751" i="1" s="1"/>
  <c r="N751" i="1"/>
  <c r="N858" i="1"/>
  <c r="N875" i="1"/>
  <c r="M875" i="1"/>
  <c r="P875" i="1" s="1"/>
  <c r="M860" i="1"/>
  <c r="P860" i="1" s="1"/>
  <c r="N860" i="1"/>
  <c r="M113" i="1"/>
  <c r="P113" i="1" s="1"/>
  <c r="N113" i="1"/>
  <c r="M764" i="1"/>
  <c r="P764" i="1" s="1"/>
  <c r="N764" i="1"/>
  <c r="M838" i="1"/>
  <c r="P838" i="1" s="1"/>
  <c r="N838" i="1"/>
  <c r="N636" i="1"/>
  <c r="M856" i="1"/>
  <c r="P856" i="1" s="1"/>
  <c r="N856" i="1"/>
  <c r="N634" i="1"/>
  <c r="N779" i="1"/>
  <c r="N123" i="1"/>
  <c r="N737" i="1"/>
  <c r="N566" i="1"/>
  <c r="N43" i="1"/>
  <c r="N197" i="1"/>
  <c r="M197" i="1"/>
  <c r="P197" i="1" s="1"/>
  <c r="N70" i="1"/>
  <c r="M70" i="1"/>
  <c r="P70" i="1" s="1"/>
  <c r="N551" i="1"/>
  <c r="M551" i="1"/>
  <c r="P551" i="1" s="1"/>
  <c r="M265" i="1"/>
  <c r="P265" i="1" s="1"/>
  <c r="N265" i="1"/>
  <c r="M650" i="1"/>
  <c r="P650" i="1" s="1"/>
  <c r="N650" i="1"/>
  <c r="N312" i="1"/>
  <c r="M312" i="1"/>
  <c r="P312" i="1" s="1"/>
  <c r="N447" i="1"/>
  <c r="M447" i="1"/>
  <c r="P447" i="1" s="1"/>
  <c r="N430" i="1"/>
  <c r="M430" i="1"/>
  <c r="P430" i="1" s="1"/>
  <c r="N666" i="1"/>
  <c r="M666" i="1"/>
  <c r="P666" i="1" s="1"/>
  <c r="M824" i="1"/>
  <c r="P824" i="1" s="1"/>
  <c r="N824" i="1"/>
  <c r="M308" i="1"/>
  <c r="P308" i="1" s="1"/>
  <c r="N308" i="1"/>
  <c r="M271" i="1"/>
  <c r="P271" i="1" s="1"/>
  <c r="N271" i="1"/>
  <c r="N795" i="1"/>
  <c r="M795" i="1"/>
  <c r="P795" i="1" s="1"/>
  <c r="M743" i="1"/>
  <c r="P743" i="1" s="1"/>
  <c r="N743" i="1"/>
  <c r="N62" i="1"/>
  <c r="N406" i="1"/>
  <c r="M406" i="1"/>
  <c r="P406" i="1" s="1"/>
  <c r="M134" i="1"/>
  <c r="P134" i="1" s="1"/>
  <c r="N134" i="1"/>
  <c r="N686" i="1"/>
  <c r="M686" i="1"/>
  <c r="P686" i="1" s="1"/>
  <c r="N790" i="1"/>
  <c r="M790" i="1"/>
  <c r="P790" i="1" s="1"/>
  <c r="M852" i="1"/>
  <c r="P852" i="1" s="1"/>
  <c r="N852" i="1"/>
  <c r="N286" i="1"/>
  <c r="M286" i="1"/>
  <c r="P286" i="1" s="1"/>
  <c r="N640" i="1"/>
  <c r="N728" i="1"/>
  <c r="M728" i="1"/>
  <c r="P728" i="1" s="1"/>
  <c r="N509" i="1"/>
  <c r="M509" i="1"/>
  <c r="P509" i="1" s="1"/>
  <c r="N304" i="1"/>
  <c r="N245" i="1"/>
  <c r="M245" i="1"/>
  <c r="P245" i="1" s="1"/>
  <c r="N869" i="1"/>
  <c r="N776" i="1"/>
  <c r="N343" i="1"/>
  <c r="N350" i="1" l="1"/>
  <c r="P395" i="1"/>
  <c r="P16" i="1"/>
  <c r="N242" i="1"/>
  <c r="N395" i="1"/>
  <c r="N158" i="1"/>
  <c r="P242" i="1"/>
  <c r="P350" i="1"/>
  <c r="P49" i="1"/>
  <c r="P742" i="1"/>
  <c r="N742" i="1"/>
  <c r="P823" i="1"/>
  <c r="P434" i="1"/>
  <c r="P619" i="1"/>
  <c r="N619" i="1"/>
  <c r="N49" i="1"/>
  <c r="N262" i="1"/>
  <c r="P262" i="1"/>
  <c r="N823" i="1"/>
  <c r="N16" i="1"/>
  <c r="N434" i="1"/>
  <c r="N15" i="1" l="1"/>
  <c r="N919" i="1" s="1"/>
  <c r="N921" i="1" s="1"/>
  <c r="M241" i="1"/>
  <c r="P241" i="1" s="1"/>
  <c r="P158" i="1" s="1"/>
  <c r="P15" i="1" s="1"/>
  <c r="P919" i="1" s="1"/>
  <c r="P921" i="1" s="1"/>
  <c r="O241" i="1"/>
  <c r="O158" i="1" s="1"/>
  <c r="O15" i="1" s="1"/>
  <c r="O919" i="1" s="1"/>
  <c r="O921" i="1" s="1"/>
</calcChain>
</file>

<file path=xl/sharedStrings.xml><?xml version="1.0" encoding="utf-8"?>
<sst xmlns="http://schemas.openxmlformats.org/spreadsheetml/2006/main" count="3464" uniqueCount="1569">
  <si>
    <t xml:space="preserve"> </t>
  </si>
  <si>
    <t xml:space="preserve">Предмет закупки: </t>
  </si>
  <si>
    <t xml:space="preserve">Объект: </t>
  </si>
  <si>
    <t>ПБ_ф13_к1</t>
  </si>
  <si>
    <t>Адрес объекта</t>
  </si>
  <si>
    <t>Г. МОСКВА, ПОС. ВНУКОВСКОЕ, Д. РАССКАЗОВКА, 13 КВАРТАЛ. ЖИЛОЙ КОРПУС 1</t>
  </si>
  <si>
    <t xml:space="preserve">Требуется применение электронной подписи </t>
  </si>
  <si>
    <t>Без использования ЭП</t>
  </si>
  <si>
    <t>Пояснения к заполнению таблицы:</t>
  </si>
  <si>
    <t>Поля для заполнения участником</t>
  </si>
  <si>
    <t>Поля, редактирование которых запрещено</t>
  </si>
  <si>
    <t>Наименование контрагента</t>
  </si>
  <si>
    <t>ИНН</t>
  </si>
  <si>
    <t>Номер предложения</t>
  </si>
  <si>
    <t>№ п/п</t>
  </si>
  <si>
    <t>№ раздела</t>
  </si>
  <si>
    <t>Наименование работ</t>
  </si>
  <si>
    <t>Тип материала</t>
  </si>
  <si>
    <t>Комментарий</t>
  </si>
  <si>
    <t xml:space="preserve">Ед. изм </t>
  </si>
  <si>
    <t>Коэф.нормы расхода</t>
  </si>
  <si>
    <t>Количество с учетом коэф.нормы расхода</t>
  </si>
  <si>
    <t>Материалы</t>
  </si>
  <si>
    <t>СМР</t>
  </si>
  <si>
    <t>Всего</t>
  </si>
  <si>
    <t>1</t>
  </si>
  <si>
    <t>Лот №1 - Лот: ВОР_ПБ_ПБ_ф13_к1_ВИС. СС_Внутренние инженерные системы (СС)</t>
  </si>
  <si>
    <t>Система радиотрансляции и оповещения (РТ)</t>
  </si>
  <si>
    <t>2</t>
  </si>
  <si>
    <t xml:space="preserve">Монтаж шкафа телекоммуникационного, </t>
  </si>
  <si>
    <t>ДП: Позиции взяты из проекта аналога РС 6.1, 6.2. в соответствии с протоколом №3 от 23.04.2026. Объемы приняты с учетом коэффициента различия по общей площади - 1,175;</t>
  </si>
  <si>
    <t>шт</t>
  </si>
  <si>
    <t>3</t>
  </si>
  <si>
    <t>Шкаф телекоммуникационный антивандальный ШТА Е-29 19", 14U 625x525x700, 00453, ООО  «СКС»</t>
  </si>
  <si>
    <t>Прочие</t>
  </si>
  <si>
    <t>4</t>
  </si>
  <si>
    <t xml:space="preserve">Монтаж оборудования в телекоммуникационный шкаф, </t>
  </si>
  <si>
    <t>5</t>
  </si>
  <si>
    <t>Источник бесперебойного питания 36В 3х9Ач SNR-UPS-ONRM-1000-S36, ООО  «НАГ»</t>
  </si>
  <si>
    <t>6</t>
  </si>
  <si>
    <t>7</t>
  </si>
  <si>
    <t>Модуль проводного вещания выносной Отзвук-ПВ-30 IP УКВ+FM, ООО  «Отзвук»</t>
  </si>
  <si>
    <t>8</t>
  </si>
  <si>
    <t>9</t>
  </si>
  <si>
    <t>Блок розеток 19" SNR-PDU-08S-2, ООО  «НАГ»</t>
  </si>
  <si>
    <t>10</t>
  </si>
  <si>
    <t xml:space="preserve">Монтаж радиорозетки накладной, </t>
  </si>
  <si>
    <t>11</t>
  </si>
  <si>
    <t>Радиорозетка накладная РПВ-1, ООО «БелТИЗ»</t>
  </si>
  <si>
    <t>12</t>
  </si>
  <si>
    <t xml:space="preserve">Поставка материалов и оборудования (без монтажа), </t>
  </si>
  <si>
    <t>13</t>
  </si>
  <si>
    <t>Коробка распределительная абонентская КРА-4 (75 Ом), ООО  «СЛТ»</t>
  </si>
  <si>
    <t>14</t>
  </si>
  <si>
    <t>Коробка распределительная абонентская РОН-2 (75 Ом), ООО «МЭК Электрика»</t>
  </si>
  <si>
    <t>15</t>
  </si>
  <si>
    <t>16</t>
  </si>
  <si>
    <t>Комплект маркировочный пластмассовый КМП 120808-00041, ЗАО  «ССД»</t>
  </si>
  <si>
    <t>17</t>
  </si>
  <si>
    <t>18</t>
  </si>
  <si>
    <t>Патч-корд волоконно-оптический (шнур) SNR-UU4-5E-050-LST-GY, 37009, ООО «НАГ»</t>
  </si>
  <si>
    <t>19</t>
  </si>
  <si>
    <t>Патч-корд волоконно-оптический (шнур) SNR-UU4-5E-015-LST-GY, 37001, ООО  «НАГ»</t>
  </si>
  <si>
    <t>20</t>
  </si>
  <si>
    <t xml:space="preserve">Прокладка кабеля слаботочных систем, в лотке, сечением до 10 мм2 вкл., </t>
  </si>
  <si>
    <t>пог.м</t>
  </si>
  <si>
    <t>21</t>
  </si>
  <si>
    <t>Кабель КСВВнг(А)-LS 1х2х1,38 ООО «ТПД Паритет»</t>
  </si>
  <si>
    <t>22</t>
  </si>
  <si>
    <t xml:space="preserve">Прокладка кабеля слаботочных систем, в гофрированной трубе, сечением до 10 мм2 вкл., </t>
  </si>
  <si>
    <t>23</t>
  </si>
  <si>
    <t>24</t>
  </si>
  <si>
    <t>25</t>
  </si>
  <si>
    <t>Кабель КСВВнг(А)-LS 1х2х0,80 ООО «ТПД Паритет»</t>
  </si>
  <si>
    <t>26</t>
  </si>
  <si>
    <t xml:space="preserve">Прокладка кабеля, в гофрированной трубе, сечением до 10 мм2 вкл., </t>
  </si>
  <si>
    <t>27</t>
  </si>
  <si>
    <t xml:space="preserve">Провод ПуГВнг(А)-LS 1х4 </t>
  </si>
  <si>
    <t>28</t>
  </si>
  <si>
    <t>Устройство кабеленесущих конструкций из труб полимерных гофрированных, D, мм - 20</t>
  </si>
  <si>
    <t>29</t>
  </si>
  <si>
    <t>Труба гофрированная ПВХ D20 с протяжкой 91920, ЗАО  «ДКС»</t>
  </si>
  <si>
    <t>30</t>
  </si>
  <si>
    <t xml:space="preserve">Крепления (шт) Дюбель-хомут "клоп", однолапковый,  21-22  мм, 262781, ООО «Гефест» - 8упак. по 100шт. 
Хомут P6.6 стандартный, черный, 3.6х200, 25314, ЗАО  «ДКС» - 13упак. по 100шт.
</t>
  </si>
  <si>
    <t>31</t>
  </si>
  <si>
    <t>Заделка отверстий в местах прохода инженерных коммуникаций, ЗАПОЛНЕНИЕ СТОЯКА СС</t>
  </si>
  <si>
    <t>32</t>
  </si>
  <si>
    <t>Пена двухкомпонентная огнезащитная DN1201, ЗАО  «ДКС»</t>
  </si>
  <si>
    <t>33</t>
  </si>
  <si>
    <t xml:space="preserve">Пусконаладочные работы, РТ, </t>
  </si>
  <si>
    <t>комп</t>
  </si>
  <si>
    <t>34</t>
  </si>
  <si>
    <t>Система охранного телевидения (СОТ)</t>
  </si>
  <si>
    <t>35</t>
  </si>
  <si>
    <t>Монтаж шкафа телекоммуникационного, напольного</t>
  </si>
  <si>
    <t>ДП: шкаф  ВМТСС;</t>
  </si>
  <si>
    <t>36</t>
  </si>
  <si>
    <t>Шкаф телекоммуникационный вандалостойкий 42U 600х1000, ШТК-42.1000-М-А, ReDGeN</t>
  </si>
  <si>
    <t>37</t>
  </si>
  <si>
    <t>Ввод щеточный для напольных/настенных шкафов BS, ReDGeN</t>
  </si>
  <si>
    <t>38</t>
  </si>
  <si>
    <t>Панель заземления ПЗ-1000.200А, ЦМО</t>
  </si>
  <si>
    <t>39</t>
  </si>
  <si>
    <t>Комплект элементов заземления шкафа ПЗ-6-0,5,	ReDGeN</t>
  </si>
  <si>
    <t>40</t>
  </si>
  <si>
    <t>Модуль вентиляторный на 6 вентиляторов 19" ВМ-В-6-ТР, ReDGeN</t>
  </si>
  <si>
    <t>41</t>
  </si>
  <si>
    <t>Блок розеток 19"  6  розеток,  фильтр, выключатель, SNR-SMART-UPS, SNR</t>
  </si>
  <si>
    <t>42</t>
  </si>
  <si>
    <t>Панель 19" с DIN-рейкой КП-АВ, ЦМО</t>
  </si>
  <si>
    <t>43</t>
  </si>
  <si>
    <t>Органайзер кабельный 19" JRP2, ReDGeN</t>
  </si>
  <si>
    <t>44</t>
  </si>
  <si>
    <t>Комплект уголков для напольных шкафов УО-58/62У, ЦМО</t>
  </si>
  <si>
    <t>45</t>
  </si>
  <si>
    <t xml:space="preserve">Провод ПуГВ 1х4 </t>
  </si>
  <si>
    <t>46</t>
  </si>
  <si>
    <t xml:space="preserve">Кабель ВВГнг(А)-FRLS 3х1,5 </t>
  </si>
  <si>
    <t>ДП: Объемы предоставлены ДП;</t>
  </si>
  <si>
    <t>47</t>
  </si>
  <si>
    <t xml:space="preserve">Монтаж розетки на DIN-рейку, </t>
  </si>
  <si>
    <t>48</t>
  </si>
  <si>
    <t>Розетка под евровилку с заземлением на DIN-рейку РАр10-3-ОП, MRD10-16, IEK</t>
  </si>
  <si>
    <t>49</t>
  </si>
  <si>
    <t>Монтаж коммутатора, в шкаф</t>
  </si>
  <si>
    <t>50</t>
  </si>
  <si>
    <t>Коммутатор управляемый уровня 2 24 порта SNR-S2982G-24TE, SNR</t>
  </si>
  <si>
    <t>51</t>
  </si>
  <si>
    <t>52</t>
  </si>
  <si>
    <t>Коммутатор управляемый уровня 3 28 портов SNR-S2995G-24FX, SNR</t>
  </si>
  <si>
    <t>53</t>
  </si>
  <si>
    <t>54</t>
  </si>
  <si>
    <t>IP-видеорегистратор NeuroStation 9800R/64, TRASSIR</t>
  </si>
  <si>
    <t>55</t>
  </si>
  <si>
    <t>56</t>
  </si>
  <si>
    <t>Кросс оптический 19" КРС-24-FC, ЦМО</t>
  </si>
  <si>
    <t>57</t>
  </si>
  <si>
    <t>58</t>
  </si>
  <si>
    <t>Модуль SFP SNR-SFP-W53-20, SNR</t>
  </si>
  <si>
    <t>59</t>
  </si>
  <si>
    <t>60</t>
  </si>
  <si>
    <t>Источник бесперебойного питания 72В 6х9Ач SNR-UPS-ONRT-3000-S72, SNR</t>
  </si>
  <si>
    <t>61</t>
  </si>
  <si>
    <t>Блок батарей для ИБП 72В 18Ач SNR-UPS-BCRT-S72, SNR</t>
  </si>
  <si>
    <t>62</t>
  </si>
  <si>
    <t>Модуль SNMP для ИБП DL801, SNR</t>
  </si>
  <si>
    <t>63</t>
  </si>
  <si>
    <t>Салазки для крепления в стойку ИБП SNR-UPS-RK-CS, SNR</t>
  </si>
  <si>
    <t>64</t>
  </si>
  <si>
    <t>65</t>
  </si>
  <si>
    <t>Патч-корд медный Cat.5e PC-LPM-UTP-RJ45-RJ45-C5e-1M-LS ZH-BL, Hyperline</t>
  </si>
  <si>
    <t>66</t>
  </si>
  <si>
    <t>Патч-корд медный Cat.5e PC-LPM-UTP-RJ45-RJ45-C5e-1.5M-L SZH-BL, Hyperline</t>
  </si>
  <si>
    <t>67</t>
  </si>
  <si>
    <t>Патч-корд волоконно-оптический (шнур) SNR-PC-FC/UPC-SC/UPC-1m, SNR</t>
  </si>
  <si>
    <t>68</t>
  </si>
  <si>
    <t>69</t>
  </si>
  <si>
    <t>Диск жесткий SATA 12TB WD122PURP, WD</t>
  </si>
  <si>
    <t>70</t>
  </si>
  <si>
    <t>71</t>
  </si>
  <si>
    <t>Наконечник кабельный ТМЛ  4-6-3, КВТ Калуга</t>
  </si>
  <si>
    <t>72</t>
  </si>
  <si>
    <t>ДП: шкафы ТШ.СБ.1, ТШ.СБ.2-3, ТШ.СБ.4, ТШ.СБ.5-6;</t>
  </si>
  <si>
    <t>73</t>
  </si>
  <si>
    <t>Шкаф телекоммуникационный вандалостойкий 42U 600х800, ШТК-42.800-М-А, ReDGeN по 1шт. в шкаф</t>
  </si>
  <si>
    <t>74</t>
  </si>
  <si>
    <t>Ввод щеточный для напольных/настенных шкафов BS, ReDGeN по 1шт. в шкаф</t>
  </si>
  <si>
    <t>75</t>
  </si>
  <si>
    <t>Панель заземления ПЗ-1000.200А, ЦМО по 1шт. в шкаф</t>
  </si>
  <si>
    <t>76</t>
  </si>
  <si>
    <t>Комплект элементов заземления шкафа ПЗ-6-0,5, ReDGeN по 1шт. в шкаф</t>
  </si>
  <si>
    <t>77</t>
  </si>
  <si>
    <t>Модуль вентиляторный на 6 вентиляторов 19" ВМ-В-6-ТР, ReDGeN по 1шт. в шкаф</t>
  </si>
  <si>
    <t>78</t>
  </si>
  <si>
    <t>Блок розеток 19" 6 розеток,  фильтр, выключатель, SNR-SMART-UPS, SNR по 1шт. в шкаф</t>
  </si>
  <si>
    <t>79</t>
  </si>
  <si>
    <t>Панель 19" с DIN-рейкой КП-АВ, ЦМО по 2шт. в шкаф</t>
  </si>
  <si>
    <t>80</t>
  </si>
  <si>
    <t xml:space="preserve">Органайзер кабельный 19" ГКО-1-6-9005, ЦМО в шкафы ТШ.СБ.2-3 - 3шт., ТШ.СБ.5-6 - 2шт.; по 1шт. в шкафы ТШ.СБ.1, ТШ.СБ.4, </t>
  </si>
  <si>
    <t>81</t>
  </si>
  <si>
    <t>Патч-панель 19" 1U PP3-19-24-8P8C-C5E-110D, Hyperline  в шкафы ТШ.СБ.2-3 - 3шт., ТШ.СБ.5-6 - 2шт.; по 1шт. в шкафы ТШ.СБ.1, ТШ.СБ.4</t>
  </si>
  <si>
    <t>82</t>
  </si>
  <si>
    <t>Комплект уголков для напольных шкафов УО-58/62У, ЦМО по 3 компл. в шкаф</t>
  </si>
  <si>
    <t>83</t>
  </si>
  <si>
    <t>Провод ПуГВ 1х4 Кольчугино по 10м в шкаф</t>
  </si>
  <si>
    <t>84</t>
  </si>
  <si>
    <t>Кабель ВВГнг(А)-FRLS 3х1,5 по 10м в шкаф</t>
  </si>
  <si>
    <t>85</t>
  </si>
  <si>
    <t>86</t>
  </si>
  <si>
    <t>Розетка под евровилку с заземлением на DIN-рейку РАр10-3-ОП, MRD10-16, IEK по 2шт. в шкаф</t>
  </si>
  <si>
    <t>87</t>
  </si>
  <si>
    <t>88</t>
  </si>
  <si>
    <t>Коммутатор управляемый уровня 2 24 порта SNR-S2982G-24T-POE, SNR 2шт. в шкаф ТШ.СБ.5-6; 1шт. в шкаф ТШ.СБ.1,ТШ.СБ.4; 3шт. в шкаф ТШ.СБ.2-3</t>
  </si>
  <si>
    <t>89</t>
  </si>
  <si>
    <t>90</t>
  </si>
  <si>
    <t>Кросс оптический 19" КРС-16-FC, ЦМО по 1шт. в шкаф</t>
  </si>
  <si>
    <t>91</t>
  </si>
  <si>
    <t>92</t>
  </si>
  <si>
    <t>Модуль SFP оптический SNR-SFP-W35-20, SNR по 1шт. в шкаф</t>
  </si>
  <si>
    <t>93</t>
  </si>
  <si>
    <t>94</t>
  </si>
  <si>
    <t>Источник бесперебойного питания 48В 4х9Ач SNR-UPS-ONRT-3000-S72, SNR по 1шт. в шкаф</t>
  </si>
  <si>
    <t>95</t>
  </si>
  <si>
    <t>Блок батарей для ИБП 48В 9Ач SNR-UPS-BCRT-S72, SNR по 3шт. в шкафы ТШ.СБ.2-3, ТШ.СБ.5-6; по 2шт. в шкафы ТШ.СБ.1, ТШ.СБ.4</t>
  </si>
  <si>
    <t>96</t>
  </si>
  <si>
    <t>Модуль SNMP для ИБП DL801, SNR по 1шт. в шкаф</t>
  </si>
  <si>
    <t>97</t>
  </si>
  <si>
    <t>Салазки для крепления в стойку ИБП SNR-UPS-RK-CS, SNR по 1шт. в шкаф</t>
  </si>
  <si>
    <t>98</t>
  </si>
  <si>
    <t>99</t>
  </si>
  <si>
    <t xml:space="preserve">Блок грозозащиты для сети Ethernet NSBon-15, NSGate по 2шт. в шкафы ТШ.СБ.2-3, ТШ.СБ.5-6; по 1шт. в шкафы ТШ.СБ.1, ТШ.СБ.4, </t>
  </si>
  <si>
    <t>100</t>
  </si>
  <si>
    <t>101</t>
  </si>
  <si>
    <t xml:space="preserve">Патч-корд медный Cat.5e PC-LPM-UTP-RJ45-RJ45-C5e-1M-LS ZH-BL, Hyperline:
26шт. в шкаф ТШ.СБ.1; 
56шт. в шкаф ТШ.СБ.2-3; 
24шт. в шкаф ТШ.СБ.4;
51шт. в шкаф ТШ.СБ.5-6;
</t>
  </si>
  <si>
    <t>102</t>
  </si>
  <si>
    <t>Патч-корд медный Cat.5e PC-LPM-UTP-RJ45-RJ45-C5e-1.5M-L SZH-BL, Hyperline по 1шт. в шкафах ТШ.СБ.1, ТШ.СБ.4, ТШ.СБ.5-6; 5шт. в шкафу ТШ.СБ.2-3;</t>
  </si>
  <si>
    <t>103</t>
  </si>
  <si>
    <t>Патч-корд волоконно-оптический (шнур) SNR-PC-FC/UPC-SC/UPC-1m, SNR по 1шт. в шкаф</t>
  </si>
  <si>
    <t>104</t>
  </si>
  <si>
    <t>105</t>
  </si>
  <si>
    <t>Наконечник кабельный ТМЛ  4-6-3, КВТ Калуга по 10шт. в шкафы ТШ.СБ.2-3, ТШ.СБ.5-6; по 2шт. в шкафы ТШ.СБ.1, ТШ.СБ.4,</t>
  </si>
  <si>
    <t>106</t>
  </si>
  <si>
    <t xml:space="preserve">Монтаж видеокамер уличных, </t>
  </si>
  <si>
    <t>107</t>
  </si>
  <si>
    <t>IP-камера купольная TR-D3122ZIR2 v6 (C) 2.8-8, TRASSIR</t>
  </si>
  <si>
    <t>108</t>
  </si>
  <si>
    <t>109</t>
  </si>
  <si>
    <t>IP-камера цилиндрическая TR-D2122ZIR3  v6  (C)  2.8-8, TRASSIR</t>
  </si>
  <si>
    <t>110</t>
  </si>
  <si>
    <t>Коробка монтажная для крепления цилиндрических камер TR-JB306, TRASSIR</t>
  </si>
  <si>
    <t>111</t>
  </si>
  <si>
    <t xml:space="preserve">Монтаж грозозащиты, </t>
  </si>
  <si>
    <t>112</t>
  </si>
  <si>
    <t>Блок грозозащиты для сети Ethernet SP006PH, SC&amp;T</t>
  </si>
  <si>
    <t>113</t>
  </si>
  <si>
    <t xml:space="preserve">Установка программного обеспечения, </t>
  </si>
  <si>
    <t>114</t>
  </si>
  <si>
    <t xml:space="preserve">Лицензия TRASSIR AnyIP </t>
  </si>
  <si>
    <t>115</t>
  </si>
  <si>
    <t xml:space="preserve">Монтаж вызывной панели, </t>
  </si>
  <si>
    <t>116</t>
  </si>
  <si>
    <t>Панель вызывная DS06AP, BEWARD</t>
  </si>
  <si>
    <t>117</t>
  </si>
  <si>
    <t>118</t>
  </si>
  <si>
    <t>Коробка ответвительная 53801	ЗАО  "ДКС"</t>
  </si>
  <si>
    <t>119</t>
  </si>
  <si>
    <t>120</t>
  </si>
  <si>
    <t>Коннектор RJ-45 КАТЕГОРИЯ 5E, CABEUS 8P8C, CABEUS</t>
  </si>
  <si>
    <t>121</t>
  </si>
  <si>
    <t>122</t>
  </si>
  <si>
    <t xml:space="preserve">Кабель U/UTP Cat5e ZH нг(А)-HF 4х2х0,52 ООО  "ТПД  Паритет"; 
</t>
  </si>
  <si>
    <t>123</t>
  </si>
  <si>
    <t>124</t>
  </si>
  <si>
    <t xml:space="preserve">Кабель U/UTP Cat5e ZH нг(А)-HF 4х2х0,52 ООО  "ТПД  Паритет";
Бирка  маркировочная, У-136, IEK - 294шт.;
Стяжка  нейлоновая HF 250X3.6ММ, (100 ШТ), CT-250, CABEUS - 5упак.
Лента липучка в рулоне, ширина 16 мм, длина 5 м, зел., ROL-5X16-GN, CABEUS - 3шт.;
Проволока 1,5 мм, 8004550929, AB retail - 7м;
</t>
  </si>
  <si>
    <t>125</t>
  </si>
  <si>
    <t xml:space="preserve">Прокладка кабеля слаботочных систем, открытая проводка, сечением до 10 мм2 вкл., </t>
  </si>
  <si>
    <t>126</t>
  </si>
  <si>
    <t>Кабель U/UTP Cat5e ZH нг(А)-HF 4х2х0,52 ООО  "ТПД  Паритет"</t>
  </si>
  <si>
    <t>127</t>
  </si>
  <si>
    <t>128</t>
  </si>
  <si>
    <t>Кабель волоконно-оптический FO-D2-IN-9S-2-HFLTx-YL, Hyperline</t>
  </si>
  <si>
    <t>129</t>
  </si>
  <si>
    <t>130</t>
  </si>
  <si>
    <t xml:space="preserve">Кабель волоконно-оптический FO-D2-IN-9S-2-HFLTx-YL, Hyperline;Бирка  маркировочная, У-136, IEK - 6шт.; </t>
  </si>
  <si>
    <t>131</t>
  </si>
  <si>
    <t>132</t>
  </si>
  <si>
    <t>Труба гофрированная ПВХ D20 с протяжкой 91920, ЗАО  "ДКС"</t>
  </si>
  <si>
    <t>133</t>
  </si>
  <si>
    <t xml:space="preserve">Крепления (шт) Держатель-клипса  для  монтажного  пистолета,  д.20мм, 51020M, ЗАО  "ДКС" - 8211 шт.
Дюбель-гвозди  по  бетону,  металлу,  кирпичу  тип  CN+газовый  баллон, 30522stepegbp, Toua - 8211 шт.
</t>
  </si>
  <si>
    <t>134</t>
  </si>
  <si>
    <t xml:space="preserve">Устройство кабеленесущих конструкций из ПВХ труб, D, мм - 20, </t>
  </si>
  <si>
    <t>135</t>
  </si>
  <si>
    <t>Труба ПВХ гладкая жесткая D=20мм легкая 63920UF, ЗАО "ДКС"</t>
  </si>
  <si>
    <t>136</t>
  </si>
  <si>
    <t>Колено ПП 90гр. DN20 IP40, 50520, ЗАО "ДКС"</t>
  </si>
  <si>
    <t>137</t>
  </si>
  <si>
    <t>Пружина стальная для изгиба жестких труб 59520, ЗАО "ДКС"</t>
  </si>
  <si>
    <t>138</t>
  </si>
  <si>
    <t xml:space="preserve">Установка гильз для прохода кабельных трасс с последующей заделкой, </t>
  </si>
  <si>
    <t>139</t>
  </si>
  <si>
    <t>Труба стальная ВГП 42,3х3,2мм ГОСТ 3262-75 ООО «ТехноЛайт»</t>
  </si>
  <si>
    <t>140</t>
  </si>
  <si>
    <t>Пена терморасширяющаяся противопожарная АС-47, Альфаконструктор</t>
  </si>
  <si>
    <t>141</t>
  </si>
  <si>
    <t>Покрытие противопожарное на водной основе АС-670М, Альфаконструктор</t>
  </si>
  <si>
    <t>кг</t>
  </si>
  <si>
    <t>142</t>
  </si>
  <si>
    <t xml:space="preserve">Пусконаладочные работы, СОТ, </t>
  </si>
  <si>
    <t>143</t>
  </si>
  <si>
    <t>Система контроля и управления доступом (СКУД, СОВ)</t>
  </si>
  <si>
    <t>144</t>
  </si>
  <si>
    <t>ДП: ТШ.СБ.2-3,  ТШ.СБ.5-6;</t>
  </si>
  <si>
    <t>145</t>
  </si>
  <si>
    <t>Патч-панель 19" 1U PP3-19-24-8P8C-C5E-110D, Hyperline по 2шт. в шкаф</t>
  </si>
  <si>
    <t>146</t>
  </si>
  <si>
    <t>ДП: ТШ.СБ.1, ТШ.СБ.4;</t>
  </si>
  <si>
    <t>147</t>
  </si>
  <si>
    <t>Патч-панель 19" 1U PP3-19-24-8P8C-C5E-110D, Hyperline по 1шт. в шкаф</t>
  </si>
  <si>
    <t>148</t>
  </si>
  <si>
    <t>ДП: ТШ.СБ.1, ТШ.СБ.2-3, ТШ.СБ.4, ТШ.СБ.5-6;</t>
  </si>
  <si>
    <t>149</t>
  </si>
  <si>
    <t>Коммутатор настраиваемый PoE 24 порта SNR-S2982G-24T-POE, SNR по 1шт. в шкаф</t>
  </si>
  <si>
    <t>150</t>
  </si>
  <si>
    <t>151</t>
  </si>
  <si>
    <t>Коммутатор управляемый уровня 2 24 порта SNR-S2962-24T, SNR по 1шт.  в шкаф</t>
  </si>
  <si>
    <t>152</t>
  </si>
  <si>
    <t>ДП: ТШ ВМТСС;</t>
  </si>
  <si>
    <t>153</t>
  </si>
  <si>
    <t>Коммутатор управляемый уровня 3 24 порта SNR-S2995G-24FX, SNR по 1шт. в шкаф</t>
  </si>
  <si>
    <t>154</t>
  </si>
  <si>
    <t>155</t>
  </si>
  <si>
    <t>Органайзер кабельный 19" 19" 1U, 6 колец, цвет  черный, ГКО-1-6-9005, ЦМО по 2шт. в шкаф</t>
  </si>
  <si>
    <t>156</t>
  </si>
  <si>
    <t>157</t>
  </si>
  <si>
    <t>Органайзер кабельный 19" 19" 1U, 6 колец, цвет  черный, ГКО-1-6-9005, ЦМО по 1шт. в шкаф</t>
  </si>
  <si>
    <t>158</t>
  </si>
  <si>
    <t>159</t>
  </si>
  <si>
    <t xml:space="preserve">Патч-корд RJ-45-RJ-45 Cat.5e PC-LPM-UTP-RJ45-RJ45-C5e-1M-LS ZH-BL, Hyperline
в шкаф ТШ.СБ.1 - 15шт.;
в шкаф ТШ.СБ.2-3 - 31шт.;
в шкаф ТШ.СБ.4 - 14шт.;
в шкаф ТШ.СБ.5-6 - 30шт.;
</t>
  </si>
  <si>
    <t>160</t>
  </si>
  <si>
    <t>ДП: ТШ.СБ.1, ТШ.СБ.2-3, ТШ.СБ.4, ТШ.СБ.5-6, ТШ ВМТСС;</t>
  </si>
  <si>
    <t>161</t>
  </si>
  <si>
    <t xml:space="preserve">Патч-корд волоконно-оптический (шнур) SNR-PC-FC/UPC-SC/UPC-1m, SNR
в шкаф ТШ.СБ.1 - 1шт.;
в шкаф ТШ.СБ.2-3 - 1шт.;
в шкаф ТШ.СБ.4 - 1шт.;
в шкаф ТШ.СБ.5-6 - 1шт.;
в шкаф ТШ ВМТСС - 4шт.;
</t>
  </si>
  <si>
    <t>162</t>
  </si>
  <si>
    <t>163</t>
  </si>
  <si>
    <t>Патч-корд RJ-45-RJ-45 Cat.5e PC-LPM-UTP-RJ45-RJ45-C5e-1.5M-L SZH-BL, Hyperline</t>
  </si>
  <si>
    <t>164</t>
  </si>
  <si>
    <t>165</t>
  </si>
  <si>
    <t xml:space="preserve">Модуль SFP SNR-SFP-W35-20, SNR
в шкаф ТШ.СБ.1 - 1шт.;
в шкаф ТШ.СБ.2-3 - 1шт.;
в шкаф ТШ.СБ.4 - 1шт.;
в шкаф ТШ.СБ.5-6 - 1шт.;
</t>
  </si>
  <si>
    <t>166</t>
  </si>
  <si>
    <t>167</t>
  </si>
  <si>
    <t>Модуль SFP SNR-SFP-W53-20, SNR в шкаф ТШ ВМТСС - 4шт.;</t>
  </si>
  <si>
    <t>168</t>
  </si>
  <si>
    <t xml:space="preserve">Монтаж блока считывателя электронных ключей, </t>
  </si>
  <si>
    <t>169</t>
  </si>
  <si>
    <t>Считыватель ключей стандарта Mifare накладной BAS-IP  TR-01M, BasIP</t>
  </si>
  <si>
    <t>170</t>
  </si>
  <si>
    <t>Брелок бесконтактный стандарта Mifare MifarePlus  KEY, EAN-XXXKEY, BasIP</t>
  </si>
  <si>
    <t>171</t>
  </si>
  <si>
    <t>172</t>
  </si>
  <si>
    <t>Панель вызывная многоабонентская AA-12FBI  SILVER, BasIP</t>
  </si>
  <si>
    <t>173</t>
  </si>
  <si>
    <t>Кронштейн монтажный BR-AA12,	BasIP</t>
  </si>
  <si>
    <t>174</t>
  </si>
  <si>
    <t xml:space="preserve">Монтаж коммутатора, </t>
  </si>
  <si>
    <t>175</t>
  </si>
  <si>
    <t>Коммутатор неуправляемый PoE 4 портов SH-20.4, EAN-506051491061 0, BasIP</t>
  </si>
  <si>
    <t>176</t>
  </si>
  <si>
    <t>177</t>
  </si>
  <si>
    <t>Коммутатор неуправляемый PoE 8 портов SH-20.8, EAN-506051491062 7, BasIP</t>
  </si>
  <si>
    <t>178</t>
  </si>
  <si>
    <t>Монтаж источников питания и аккумуляторов, для  SH-20.4</t>
  </si>
  <si>
    <t>179</t>
  </si>
  <si>
    <t>Источник бесперебойного питания 12В 9Ач SW300SL, «Штиль»</t>
  </si>
  <si>
    <t>180</t>
  </si>
  <si>
    <t>Монтаж источников питания и аккумуляторов, для  SH-20.8</t>
  </si>
  <si>
    <t>181</t>
  </si>
  <si>
    <t>Источник бесперебойного питания 24В 9Ач SW500L, «Штиль»</t>
  </si>
  <si>
    <t>182</t>
  </si>
  <si>
    <t>183</t>
  </si>
  <si>
    <t>Считыватель ключей стандарта Mifare накладной CR-02BD, BasIP</t>
  </si>
  <si>
    <t>184</t>
  </si>
  <si>
    <t xml:space="preserve">Монтаж электромагнитного замка, </t>
  </si>
  <si>
    <t>185</t>
  </si>
  <si>
    <t>Замок электромагнитный с креплениями AL-300  Premium, ООО  «ЭКСКОН»</t>
  </si>
  <si>
    <t>186</t>
  </si>
  <si>
    <t>Комплект монтажа электромагнитного замка MK  AL-300PR, Aler</t>
  </si>
  <si>
    <t>187</t>
  </si>
  <si>
    <t xml:space="preserve">Монтаж кнопки, </t>
  </si>
  <si>
    <t>188</t>
  </si>
  <si>
    <t>Кнопка выхода ST-EX141, ТМ  Smartec</t>
  </si>
  <si>
    <t>189</t>
  </si>
  <si>
    <t xml:space="preserve">Монтаж устройства разблокировки дверей, </t>
  </si>
  <si>
    <t>190</t>
  </si>
  <si>
    <t>Устройство разблокировки дверей ST-ER115, Smartec</t>
  </si>
  <si>
    <t>191</t>
  </si>
  <si>
    <t xml:space="preserve">Монтаж извещателей ОС автоматических, </t>
  </si>
  <si>
    <t>192</t>
  </si>
  <si>
    <t>Извещатель охранный точечный магнитоконтактный ST-DM135NC-WT, ТМ  Smartec</t>
  </si>
  <si>
    <t>193</t>
  </si>
  <si>
    <t xml:space="preserve">Монтаж источников питания и аккумуляторов, </t>
  </si>
  <si>
    <t>194</t>
  </si>
  <si>
    <t>Источник бесперебойного питания 12В 7Ач ИВЭПР 12/2 1x7-Р, ООО КБ Пожарной Автоматики</t>
  </si>
  <si>
    <t>195</t>
  </si>
  <si>
    <t>Аккумулятор герметичный 12В 7Ач DTM 1207, DELTA</t>
  </si>
  <si>
    <t>196</t>
  </si>
  <si>
    <t>197</t>
  </si>
  <si>
    <t xml:space="preserve">Коннектор RJ-45 КАТЕГОРИЯ  5E, CABEUS  8P8C, CABEUS </t>
  </si>
  <si>
    <t>198</t>
  </si>
  <si>
    <t>199</t>
  </si>
  <si>
    <t>Клемма винтовая КВИ-4,0мм2 43312FV, ЗАО "ДКС"</t>
  </si>
  <si>
    <t>200</t>
  </si>
  <si>
    <t>201</t>
  </si>
  <si>
    <t>Коробка ответвительная 53801, ЗАО  "ДКС"</t>
  </si>
  <si>
    <t>202</t>
  </si>
  <si>
    <t>ДП: объемы представлены на основании кабельного журнала;</t>
  </si>
  <si>
    <t>203</t>
  </si>
  <si>
    <t>Кабель U/UTP Cat5e ZH нг(А)-HF 4х2х0,52 ООО "ТПД Паритет"</t>
  </si>
  <si>
    <t>204</t>
  </si>
  <si>
    <t>205</t>
  </si>
  <si>
    <t xml:space="preserve">Кабель U/UTP Cat5e ZH нг(А)-HF 4х2х0,52 ООО "ТПД Паритет";
Лента липучка в рулоне, ширина 16  мм, длина 5м, зел. ROL-5X16-GN, CABEUS - 100шт.;
Стяжка нейлоновая HF 250X3.6ММ, (100 ШТ), CT-250, CABEUS - 100уп.;
Бирка маркировочная У-136, IEK - 813шт.;
Проволока 1,5 мм - 200м	
</t>
  </si>
  <si>
    <t>206</t>
  </si>
  <si>
    <t>207</t>
  </si>
  <si>
    <t>208</t>
  </si>
  <si>
    <t>209</t>
  </si>
  <si>
    <t>Кабель КСПВПнг(А)-HF 1х2х1,13 ООО "ТПД Паритет"</t>
  </si>
  <si>
    <t>210</t>
  </si>
  <si>
    <t>211</t>
  </si>
  <si>
    <t>212</t>
  </si>
  <si>
    <t>213</t>
  </si>
  <si>
    <t>214</t>
  </si>
  <si>
    <t>215</t>
  </si>
  <si>
    <t>Кабель КСПВПнг(А)-HF 1х2х0,80 ООО "ТПД Паритет"</t>
  </si>
  <si>
    <t>216</t>
  </si>
  <si>
    <t>217</t>
  </si>
  <si>
    <t>Кабель волоконно-оптический FO-S2-IN-9S-1-HFLTx-YL, Hyperline</t>
  </si>
  <si>
    <t>218</t>
  </si>
  <si>
    <t>ДП: Объем не подтвержден. Нет возможности пересчета по плану, двг формат в части кабельных линий/труб не совпадает с пдф;</t>
  </si>
  <si>
    <t>219</t>
  </si>
  <si>
    <t>Труба гофрированная ПВХ D20 с протяжкой 91920, ДКС</t>
  </si>
  <si>
    <t>220</t>
  </si>
  <si>
    <t>Крепления (шт) Держатель-клипса  для  монтажного  пистолета,  д.20мм, 51020M, ЗАО  "ДКС"</t>
  </si>
  <si>
    <t>221</t>
  </si>
  <si>
    <t>Крепления (шт) Дюбель-гвозди  по  бетону,  металлу,  кирпичу  тип  CN+газовый  баллон, 30522stepegbp</t>
  </si>
  <si>
    <t>222</t>
  </si>
  <si>
    <t>223</t>
  </si>
  <si>
    <t xml:space="preserve">Труба стальная ВГП 25х2,8мм ГОСТ 3262-75 </t>
  </si>
  <si>
    <t>224</t>
  </si>
  <si>
    <t>225</t>
  </si>
  <si>
    <t>226</t>
  </si>
  <si>
    <t xml:space="preserve">Пусконаладочные работы, СКУД, </t>
  </si>
  <si>
    <t>227</t>
  </si>
  <si>
    <t>Система вызова персонала (СВП)</t>
  </si>
  <si>
    <t>228</t>
  </si>
  <si>
    <t xml:space="preserve">Монтаж шкафа электрического, </t>
  </si>
  <si>
    <t>229</t>
  </si>
  <si>
    <t xml:space="preserve">Корпус навесной ST с М/П ВxШxГ 600x400x250 мм, IP66 (с монтажной панелью), R5ST0649, АО "ДКС" в составе:
Концентратор универсальный (в комплекте с блоком питания и аккумуляторной батареей), КУН-IP8,	Текон-Автоматика - 1шт.; 
Автоматический выключатель 1P 10А (C) 6кА ВА 47-63 DC EKF PROxima, mcb4763-DC-1-10C-pro, EKF - 1шт.;   
Выключатель нагрузки 1P 16А ВН-63N EKF PROxima, EKF - 1шт.;   
Щитовая розетка на DIN-рейку, MT-DRS, ОВЕН - 1шт.;   
Клемма винтовая с держателем предохранителя, MTU-4F220, ОВЕН - 1шт.;   
Предохранитель стеклянный 5х20 (5x25), 2А, H520-2A/250B-BL, OXION - 1шт.;  
Сигнальная LED лампа, зеленый, 220V AC/DC IP65, MT22-SA33, ОВЕН - 1шт.;   
Держатель маркировки, размер 25х11мм, MTB2-F11, ОВЕН - 1шт.;   
Клемма одноуровневая, серая 2,5 мм2, MTU-2.5, ОВЕН - 11шт.;   
Заглушка торцевая, 2,5 мм2, MTU-P, ОВЕН - 2шт.;   
Торцевой фиксатор, MTU-S1, ОВЕН - 5шт.;   
DIN-рейка 35х15 мм длиной 2000 мм, 02150R, ДКС - 1шт.;   
Короб перфорированный RLHF6 40x40, без галогенов, светло-серый, длина 2000 мм, 01134RLHF, ДКС - 1шт.;   
Кабельный ввод, пластик V0 UL94, IP65, +130 - 40, 50 отверстий, R5HTC50, ДКС - 1шт.;   
</t>
  </si>
  <si>
    <t>230</t>
  </si>
  <si>
    <t xml:space="preserve">Монтаж устройства переговорного, </t>
  </si>
  <si>
    <t>231</t>
  </si>
  <si>
    <t>Устройство переговорное в антивандальном исполнении ПГУ ПГУ-RS, Текон-Автоматика</t>
  </si>
  <si>
    <t>232</t>
  </si>
  <si>
    <t xml:space="preserve">Прокладка кабеля, в шкаф, сечением до 10 мм2 вкл., </t>
  </si>
  <si>
    <t>233</t>
  </si>
  <si>
    <t>Провод ПуГВнг(А)-LSLTx 1х1,5 ТПД "Паритет"</t>
  </si>
  <si>
    <t>234</t>
  </si>
  <si>
    <t>235</t>
  </si>
  <si>
    <t>Кабель КИС-Внг(А)-LS 2х2х0,90 ООО "ТПД Паритет"</t>
  </si>
  <si>
    <t>236</t>
  </si>
  <si>
    <t>237</t>
  </si>
  <si>
    <t>Кабель КИС-Внг(А)-LS 2х2х0,90 ООО "ТПД Паритет";Бирка кабельная У-136 треугольник 55х55х55 мм, UZMA-BIK-Y136-T - 150шт.</t>
  </si>
  <si>
    <t>238</t>
  </si>
  <si>
    <t>239</t>
  </si>
  <si>
    <t>Кабель U/UTP Cat5e PVCLS нг(А)-LSLTx 2х2х0,52 ООО "ТПД Паритет"</t>
  </si>
  <si>
    <t>240</t>
  </si>
  <si>
    <t>Устройство кабеленесущих конструкций из труб полимерных гофрированных, D, мм - 25</t>
  </si>
  <si>
    <t>241</t>
  </si>
  <si>
    <t>Труба гофрированная ПВХ D25 с протяжкой 91925, ДКС</t>
  </si>
  <si>
    <t>242</t>
  </si>
  <si>
    <t>Крепления (шт) Держатель с защелкой, д.25мм, 51025, ДКС</t>
  </si>
  <si>
    <t>243</t>
  </si>
  <si>
    <t>244</t>
  </si>
  <si>
    <t>Труба стальная ВГП 33,5х3,2мм ГОСТ 3262-75 033-4179, САНТЕХКОМПЛЕКТ</t>
  </si>
  <si>
    <t>245</t>
  </si>
  <si>
    <t xml:space="preserve">Пена двухкомпонентная огнезащитная DN1201, ДКС  </t>
  </si>
  <si>
    <t>246</t>
  </si>
  <si>
    <t xml:space="preserve">Пусконаладочные работы, СВП, </t>
  </si>
  <si>
    <t>247</t>
  </si>
  <si>
    <t>Система управления и диспетчеризация инженерных систем (АСУД)</t>
  </si>
  <si>
    <t>248</t>
  </si>
  <si>
    <t xml:space="preserve">Монтаж шкафа автоматики, </t>
  </si>
  <si>
    <t>ДП: КУН-В1.01; КУН-В1.04/1; КУН-В1.04/2; КУН-В1.07; КУН-В1.10/1; КУН-В1.10/2; КУН-В1.14; КУН-В1.16/1; КУН-В1.16/2;;</t>
  </si>
  <si>
    <t>249</t>
  </si>
  <si>
    <t xml:space="preserve">Корпус навесной ST с М/П Навесной  шкаф  ST,  600  x  600  x  250мм,  IP66,  с  монтажной  панелью, R5ST0669, ДКС в составе:
Концентратор  универсальный  (в  комплекте  с  блоком  питания  и  аккумуляторной батареей), КУН-IP8, Текон-Автоматика - 1шт.;
Автоматический выключатель 1P 10А (C) 6кА ВА 47-63 DC EKF PROxima, EKF - 1шт.;
Выключатель нагрузки 1P 16А ВН-63N EKF PROxima, EKF - 1шт.;
Щитовая  розетка на DIN-рейку, MT-DRS, Meyertec (ОВЕН) - 1шт.;
Клемма  винтовая с держателем  предохранителя, MTU-4F220, Meyertec  (ОВЕН) - 1шт.;
Предохранитель стеклянный  5х20  (5x25),  2А, Meyertec (ОВЕН) - 1шт.;
Сигнальная LED лампа, зеленый,  220V  AC/DC  IP65, MT22-SA33, Meyertec  (ОВЕН) - 1шт.;
Держатель маркировки, размер  25х11мм, MTB2-F11, Meyertec  (ОВЕН) - 1шт.;
Клемма одноуровневая, серая  2,5  мм² MTU-2.5, Meyertec  (ОВЕН) - 77шт.;
Заглушка торцевая, 2,5 мм², MTU-P, Meyertec  (ОВЕН) - 5шт.;
Торцевой фиксатор, MTU-S1, Meyertec (ОВЕН) - 10шт.;
DIN-рейка 35х15 мм длиной 1000 мм, ДКС - 1шт.;
Короб  перфорированный RLHF6 40x40, без галогенов, светло-серый, длина 2000 мм, 01134RLHF, ДКС - 1шт.;
Кабельный  ввод,  пластик V0, IP65, +130 - 40, 50  отверстий, UL94, ДКС - 1шт.;
Провод  ПуГВнг(А)-LSLTx  1х1.0 - 10м;		
</t>
  </si>
  <si>
    <t>250</t>
  </si>
  <si>
    <t>ДП: КУН-L17.1.01; КУН-L17.2.01; КУН-L17.3.01; КУН-L17.4.01; КУН-L17.5.01; КУН-L12.6.01;;</t>
  </si>
  <si>
    <t>251</t>
  </si>
  <si>
    <t xml:space="preserve">Корпус навесной ST с М/П Навесной  шкаф  ST,  600  x  600  x  250мм,  IP66,  с  монтажной  панелью, R5ST0669, ДКС в составе:
Концентратор  универсальный  (в  комплекте  с  блоком  питания  и  аккумуляторной батареей), КУН-IP8, Текон-Автоматика - 1шт.;
Автоматический выключатель 1P 10А (C) 6кА ВА 47-63 DC EKF PROxima, EKF - 1шт.;
Выключатель нагрузки 1P 16А ВН-63N EKF PROxima, EKF - 1шт.;
Щитовая  розетка на DIN-рейку, MT-DRS, Meyertec (ОВЕН) - 1шт.;
Клемма  винтовая с держателем  предохранителя, MTU-4F220, Meyertec  (ОВЕН) - 1шт.;
Предохранитель стеклянный  5х20  (5x25),  2А, Meyertec (ОВЕН) - 1шт.;
Сигнальная LED лампа, зеленый,  220V  AC/DC  IP65, MT22-SA33, Meyertec  (ОВЕН) - 1шт.;
Держатель маркировки, размер  25х11мм, MTB2-F11, Meyertec  (ОВЕН) - 1шт.;
Клемма одноуровневая, серая  2,5  мм² MTU-2.5, Meyertec  (ОВЕН) - 77шт.;
Заглушка торцевая, 2,5 мм², MTU-P, Meyertec  (ОВЕН) - 5шт.;
Торцевой фиксатор, MTU-S1, Meyertec (ОВЕН) - 10шт.;
DIN-рейка 35х15 мм длиной 1000 мм, ДКС - 1шт.;
Короб  перфорированный RLHF6 40x40, без галогенов, светло-серый, длина 2000 мм, 01134RLHF, ДКС - 1шт.;
Кабельный  ввод,  пластик V0, IP65, +130 - 40, 50  отверстий, UL94, ДКС - 1шт.;
Провод  ПуГВнг(А)-LSLTx  1х1.0 - 10м;		
Медиаконвертер,  WDM,  разъем  SC,  Tx/Rx:  1310/1550нм,  расстояние  до  20км, SNR-CVT-100A-V2, SNR  - 1шт.; 
Патч-корд  категории  5e,  неэкранированный,  1  м,  синий, PC-LPM-UTP-RJ45-RJ45-C5e-1M-LSZH-BL, Hyperline  - 1шт.; 
Кросс  оптический  настенный, "ШКОН-Р/1-4-SC~4-SC/SM~4-SC/UPC",	ССД - 1шт.;
Патч-корд  волоконно-оптический, SNR-PC-SC/UPC-A-1m, SNR - 1шт.;
Пигтейл  волоконно-оптический SM 9/125 (OS2), SC/UPC, 1м, LSZH, FPT-B9-9-SC/UR-1M-LSZH-YL, Hyperline - 1шт.;
</t>
  </si>
  <si>
    <t>252</t>
  </si>
  <si>
    <t>253</t>
  </si>
  <si>
    <t xml:space="preserve">Устройство переговорной связи лифта УПСЛ-М исп. 1, Текон-Автоматика в составе:
Пульт  управления	ПУ-М, Текон-Автоматика - 1шт.;
Устройство  переговорное  универсальное, УПУ-М, Текон-Автоматика - 2шт.;
Контактный  модуль  со  встроенным  микрофоном  МК-14, ПККЛ-М, Текон-Автоматика - 1шт.; </t>
  </si>
  <si>
    <t>254</t>
  </si>
  <si>
    <t>255</t>
  </si>
  <si>
    <t xml:space="preserve">Устройство переговорной связи лифта УПСЛ-М исп. 2, Текон-Автоматика в составе:
Пульт  управления, ПУ-М, Текон-Автоматика - 1шт.;
Устройство  переговорное универсальное	УПУ-М, Текон-Автоматика - 2шт.;
Устройство  переговорное  основного  посадочного  этажа, ПГУ-М ОПЭ, Текон-Автоматика - 1шт.;
Контактный  модуль со встроенным микрофоном МК-14, ПККЛ-М, Текон-Автоматика - 1шт.;
</t>
  </si>
  <si>
    <t>256</t>
  </si>
  <si>
    <t xml:space="preserve">Монтаж концентратора, </t>
  </si>
  <si>
    <t>257</t>
  </si>
  <si>
    <t>Концентратор сопряжения с лифтом КСЛ-RS, ООО НПО "Текон-Автоматика"</t>
  </si>
  <si>
    <t>258</t>
  </si>
  <si>
    <t>259</t>
  </si>
  <si>
    <t>Переговорное устройство ПГУ ПГУ-RS, ООО "НПО Текон-Автоматика"</t>
  </si>
  <si>
    <t>260</t>
  </si>
  <si>
    <t xml:space="preserve">Монтаж датчика, </t>
  </si>
  <si>
    <t>261</t>
  </si>
  <si>
    <t>Датчик открытия двери ИО-102-26  исп.01, НПП  «Магнито-контакт»</t>
  </si>
  <si>
    <t>262</t>
  </si>
  <si>
    <t>263</t>
  </si>
  <si>
    <t>Датчик-реле уровня жидкости РОС-301, ГК РИЗУР</t>
  </si>
  <si>
    <t>264</t>
  </si>
  <si>
    <t>Кронштейн монтажный Кронштейн для крепления кондуктометрических датчиков, ЕИСШ 301568.001, ГК РИЗУР</t>
  </si>
  <si>
    <t>265</t>
  </si>
  <si>
    <t>266</t>
  </si>
  <si>
    <t>Коммутатор управляемый уровня 2 24 порта SNR-S2982G-24TE, SNR  по 1шт., ТШ.СБ.1; ТШ.СБ.2-3; ТШ.СБ.4; ТШ.СБ.5-6</t>
  </si>
  <si>
    <t>267</t>
  </si>
  <si>
    <t>268</t>
  </si>
  <si>
    <t>Коммутатор управляемый уровня 3 28 портов SNR-S2995G-24FX, SNR в ТШ.ВМТСС</t>
  </si>
  <si>
    <t>269</t>
  </si>
  <si>
    <t>270</t>
  </si>
  <si>
    <t>Модуль SFP SNR-SFP-W35-20, SNR по 1шт. ТШ.СБ.1; ТШ.СБ.2-3; ТШ.СБ.4; ТШ.СБ.5-6</t>
  </si>
  <si>
    <t>271</t>
  </si>
  <si>
    <t>272</t>
  </si>
  <si>
    <t>Модуль SFP SNR-SFP-W53-20, SNR в ТШ.ВМТСС</t>
  </si>
  <si>
    <t>273</t>
  </si>
  <si>
    <t>274</t>
  </si>
  <si>
    <t>Источник бесперебойного питания 12В 9Ач SNR-UPS-ONRT-3000-S24, SNR по 1шт., ТШ.СБ.1; ТШ.СБ.2-3; ТШ.СБ.4; ТШ.СБ.5-6, ТШ.ВМТСС</t>
  </si>
  <si>
    <t>275</t>
  </si>
  <si>
    <t>Модуль SNMP для ИБП DL801, SNR по 1шт., ТШ.СБ.1; ТШ.СБ.2-3; ТШ.СБ.4; ТШ.СБ.5-6, ТШ.ВМТСС</t>
  </si>
  <si>
    <t>276</t>
  </si>
  <si>
    <t>Салазки для крепления в стойку ИБП SNR-UPS-RK-CS, SNR по 1шт., ТШ.СБ.1; ТШ.СБ.2-3; ТШ.СБ.4; ТШ.СБ.5-6, ТШ.ВМТСС</t>
  </si>
  <si>
    <t>277</t>
  </si>
  <si>
    <t>278</t>
  </si>
  <si>
    <t>Блок батарей для ИБП 12В 4х9Ач SNR-UPS-BCRT-S24, SNR по 1шт., ТШ.СБ.1; ТШ.СБ.2-3; ТШ.СБ.4; ТШ.СБ.5-6, ТШ.ВМТСС</t>
  </si>
  <si>
    <t>279</t>
  </si>
  <si>
    <t>280</t>
  </si>
  <si>
    <t>Патч-панель 19" 1U PP3-19-24-8P8C-C5E-110D, Hyperlineпо по 1шт. ТШ.СБ.1; ТШ.СБ.2-3; ТШ.СБ.4; ТШ.СБ.5-6</t>
  </si>
  <si>
    <t>281</t>
  </si>
  <si>
    <t>282</t>
  </si>
  <si>
    <t>Органайзер кабельный 19" 1U, 6 колец, цвет черный, ГКО-1-6-9005, ЦМО по 1шт. ТШ.СБ.1; ТШ.СБ.2-3; ТШ.СБ.4; ТШ.СБ.5-6</t>
  </si>
  <si>
    <t>283</t>
  </si>
  <si>
    <t>284</t>
  </si>
  <si>
    <t>Блок розеток 19" SNR-SMART-UPS, SNR по 1шт., ТШ.СБ.1; ТШ.СБ.2-3; ТШ.СБ.4; ТШ.СБ.5-6, ТШ.ВМТСС</t>
  </si>
  <si>
    <t>285</t>
  </si>
  <si>
    <t>286</t>
  </si>
  <si>
    <t xml:space="preserve">Розетка под евровилку с заземлением на DIN-рейку РАр10-3-ОП, IEK по 1шт., ТШ.СБ.1; ТШ.СБ.2-3; ТШ.СБ.4; ТШ.СБ.5-6, ТШ.ВМТСС </t>
  </si>
  <si>
    <t>287</t>
  </si>
  <si>
    <t>288</t>
  </si>
  <si>
    <t>Патч-корд волоконно-оптический (шнур) SNR-PC-FC/UPC-SC/UPC-1m, SNR по 1шт. ТШ.СБ.1; ТШ.СБ.2-3; ТШ.СБ.4; ТШ.СБ.5-6</t>
  </si>
  <si>
    <t>289</t>
  </si>
  <si>
    <t>290</t>
  </si>
  <si>
    <t>Патч-корд волоконно-оптический (шнур) SNR-PC-FC/UPC-SC/UPC-1m, SNR в ТШ.ВМТСС</t>
  </si>
  <si>
    <t>291</t>
  </si>
  <si>
    <t>292</t>
  </si>
  <si>
    <t>Патч-корд медный Cat.5e PC-LPM-UTP-RJ45-RJ45-C5e-1M-LSZH-BL, Hyperline по 24шт. ТШ.СБ.1; ТШ.СБ.2-3; ТШ.СБ.4; ТШ.СБ.5-6</t>
  </si>
  <si>
    <t>293</t>
  </si>
  <si>
    <t>294</t>
  </si>
  <si>
    <t>Патч-корд медный Cat.5e PC-LPM-UTP-RJ45-RJ45-C5e-1M-LSZH-BL, Hyperline в ТШ.ВМТСС</t>
  </si>
  <si>
    <t>295</t>
  </si>
  <si>
    <t>296</t>
  </si>
  <si>
    <t>Пигтейл волоконно-оптический SM 9/125 (OS2), FC/UPC, 1 м, LSZH, FPT-B9-9-FC/UR-1M-LSZH-YL, Hyperline для шкафа - ТШ.ВМТСС</t>
  </si>
  <si>
    <t>297</t>
  </si>
  <si>
    <t>298</t>
  </si>
  <si>
    <t xml:space="preserve">Драйвер EXT.2 Текон-Автоматика </t>
  </si>
  <si>
    <t>299</t>
  </si>
  <si>
    <t xml:space="preserve">Прокладка кабеля, в гофрированной трубе, сечением от 10 мм2 до 50 мм2 вкл., </t>
  </si>
  <si>
    <t>300</t>
  </si>
  <si>
    <t>Кабель ВВГнг(А)-LS 5х2,5 ТПД  "Паритет"</t>
  </si>
  <si>
    <t>301</t>
  </si>
  <si>
    <t>302</t>
  </si>
  <si>
    <t>Кабель КСВВнг(А)-LS 1х2х0,80 ООО "ТПД Паритет"</t>
  </si>
  <si>
    <t>303</t>
  </si>
  <si>
    <t>304</t>
  </si>
  <si>
    <t>Кабель КСВВнг(А)-LS 1х2х0,80 ООО "ТПД Паритет"; Бирка кабельная У-136 треугольник 55х55х55 мм, У-136 - 336шт.</t>
  </si>
  <si>
    <t>305</t>
  </si>
  <si>
    <t>306</t>
  </si>
  <si>
    <t>Кабель КСВВнг(А)-LS 2х2х0,80 ТПД  "Паритет"</t>
  </si>
  <si>
    <t>307</t>
  </si>
  <si>
    <t>308</t>
  </si>
  <si>
    <t>Кабель КСВВнг(А)-LS 2х2х0,80 ООО "ТПД Паритет"; Бирка кабельная У-136 треугольник 55х55х55 мм, У-136 - 66шт.</t>
  </si>
  <si>
    <t>309</t>
  </si>
  <si>
    <t>310</t>
  </si>
  <si>
    <t>Кабель КСВЭВнг(А)-LS 2х2х0,80 ООО "ТПД Паритет"</t>
  </si>
  <si>
    <t>311</t>
  </si>
  <si>
    <t>312</t>
  </si>
  <si>
    <t>Кабель КСРВнг(А)-FRLSLTx 1х2х0,80 ООО "ТПД Паритет"; Бирка кабельная У-136 треугольник 55х55х55 мм, У-136 - 17шт.</t>
  </si>
  <si>
    <t>313</t>
  </si>
  <si>
    <t>314</t>
  </si>
  <si>
    <t>Кабель КИС-РВ-Кнг(А)-FRLSLTx 2х2х0,5 ТПД  "Паритет"; Бирка кабельная У-136 треугольник 55х55х55 мм, У-136 - 39шт.</t>
  </si>
  <si>
    <t>315</t>
  </si>
  <si>
    <t>316</t>
  </si>
  <si>
    <t>317</t>
  </si>
  <si>
    <t>318</t>
  </si>
  <si>
    <t>Кабель КИС-Внг(А)-LS 2х2х0,90 ООО "ТПД Паритет"; Бирка кабельная У-136 треугольник 55х55х55 мм, У-136 - 59шт.</t>
  </si>
  <si>
    <t>319</t>
  </si>
  <si>
    <t>320</t>
  </si>
  <si>
    <t>321</t>
  </si>
  <si>
    <t>322</t>
  </si>
  <si>
    <t>Кабель волоконно-оптический FO-S3-IN-9S-1-HFLTx-YL, Hyperline</t>
  </si>
  <si>
    <t>323</t>
  </si>
  <si>
    <t>324</t>
  </si>
  <si>
    <t>Кабель волоконно-оптический FO-S3-IN-9S-1-HFLTx-YL, Hyperline; Бирка кабельная У-136 треугольник 55х55х55 мм, У-136 - 33шт.</t>
  </si>
  <si>
    <t>325</t>
  </si>
  <si>
    <t>Устройство кабеленесущих конструкций из труб полимерных гофрированных, D, мм - 16</t>
  </si>
  <si>
    <t>326</t>
  </si>
  <si>
    <t>Труба гофрированная ПВХ D16 с протяжкой 91916, ДКС</t>
  </si>
  <si>
    <t>327</t>
  </si>
  <si>
    <t>Крепления (шт) Держатель  с  защелкой,  д.16мм, 51016, ДКС</t>
  </si>
  <si>
    <t>328</t>
  </si>
  <si>
    <t>329</t>
  </si>
  <si>
    <t>330</t>
  </si>
  <si>
    <t>Крепления (шт) Держатель с защелкой, д.20мм, 51020, ДКС</t>
  </si>
  <si>
    <t>331</t>
  </si>
  <si>
    <t>Установка гильз для прохода кабельных трасс с последующей заделкой, L=250 мм, через стены</t>
  </si>
  <si>
    <t>332</t>
  </si>
  <si>
    <t xml:space="preserve">Труба стальная ВГП 25х3,2мм ГОСТ 3262-75 </t>
  </si>
  <si>
    <t>333</t>
  </si>
  <si>
    <t>Пена двухкомпонентная огнезащитная картридж 330 мл, DN1201, DKC</t>
  </si>
  <si>
    <t>334</t>
  </si>
  <si>
    <t xml:space="preserve">Пусконаладочные работы, АСУД, </t>
  </si>
  <si>
    <t>335</t>
  </si>
  <si>
    <t>Система коммерческого учёта энергоресурсов (АСКУЭ)</t>
  </si>
  <si>
    <t>336</t>
  </si>
  <si>
    <t>337</t>
  </si>
  <si>
    <t xml:space="preserve">Корпус навесной ST с М/П в составе:
Корпус навесной ST с М/П ВxШxГ 600x600x250 мм, IP66 (с монтажной панелью), R5ST0669, АО "ДКС" - 1шт.
Устройства сбора и передачи данных  , УМ-31 SMART, АО "Связь инжиниринг М" - 1шт.
Источник бесперебойного питания , SKAT-UPS 500/300-DIN-IN, ЗАО "Бастион" - 1шт.
Блок питания , БП14Б-Д4.2-24, ОВЕН - 1шт.
Автоматический выключатель 1P 10А (C) 6кА ВА 47-63 DC EKF PROxima, mcb4763-DC-1-10C-pro, EKF  - 2шт.
Выключатель нагрузки 2P 16А ВН-63N EKF PROxima, S63216, EKF - 1шт.
Щитовая розетка на DIN-рейку , MT-DRS, ОВЕН - 1шт.
Клемма винтовая с держателем предохранителя , MTU-4F220, ОВЕН  - 1шт.
Предохранитель стеклянный 5х20 (5x25), 2А, H520-2A/250B-BL, ОВЕН - 1шт.
Сигнальная LED лампа, зеленый, 220V AC/DC IP65, MT22-SA33, ОВЕН  - 1шт.
Держатель маркировки, размер 25х11мм, MTB2-F11, ОВЕН  - 1шт.
Выключатель концевой, IP40, MTZ4-MS1307, ОВЕН  - 1шт.
Клемма одноуровневая, серая 2,5 мм2, MTU-2.5, ОВЕН  - 25шт.
Заглушка торцевая, 2,5 мм2, MTU-P, ОВЕН  - 3шт.
Торцевой фиксатор, MTU-S1 - 12шт.
DIN-рейка 35х15 мм длиной 1500 мм, 02150R, ДКС - 1шт.
Короб перфорированный RLHF6 25x40, без галогенов, светло-серый, длина 2000 мм, 01163RLHF, АО "ДКС" - 2шт.
Кабельный ввод, пластик V0 UL94, IP65, +130 - 40, 50 отверстий - 1шт.
Аккумулятор 12В 7 Ач, Skat i-Battery 12-7 LiFePo4, Бастион, код товара 645 - 1шт.
</t>
  </si>
  <si>
    <t>338</t>
  </si>
  <si>
    <t xml:space="preserve">Монтаж преобразователя интерфейса, </t>
  </si>
  <si>
    <t>339</t>
  </si>
  <si>
    <t>Повторитель интерфейса RS-485 ПИ, ООО НПП «ТЕПЛОВОДОХРАН» или аналог</t>
  </si>
  <si>
    <t>340</t>
  </si>
  <si>
    <t xml:space="preserve">Монтаж антенны, </t>
  </si>
  <si>
    <t>341</t>
  </si>
  <si>
    <t xml:space="preserve">Антенна GSM (698-2700Мгц, 12дБ), OT-GSM29, Орбита </t>
  </si>
  <si>
    <t>342</t>
  </si>
  <si>
    <t xml:space="preserve">Монтаж разветвителя интерфейса, </t>
  </si>
  <si>
    <t>343</t>
  </si>
  <si>
    <t xml:space="preserve">Разветвитель интерфейса RS-485/422 ПР-8, ООО "НТК Приборэнерго" </t>
  </si>
  <si>
    <t>344</t>
  </si>
  <si>
    <t>345</t>
  </si>
  <si>
    <t>Разъем SMA HYR-1106A (GSA-1106A) (SMA-7809A) (SMA-C58J), HOYUTEC</t>
  </si>
  <si>
    <t>346</t>
  </si>
  <si>
    <t>Разъем SMA HYR-1101A (GSA-1101A) (SMA-7801A) (SMA-C58P)(S-M111F), HOYUTEC</t>
  </si>
  <si>
    <t>347</t>
  </si>
  <si>
    <t>348</t>
  </si>
  <si>
    <t>Резистор терминальный 120 Ом CF-100 (С1-4) 1Вт, 120 Ом, 5%, ЧИП и ДИП</t>
  </si>
  <si>
    <t>349</t>
  </si>
  <si>
    <t>350</t>
  </si>
  <si>
    <t>Провод ПуГВнг(А)-LSLTx 1х1,5 Партнер-электро</t>
  </si>
  <si>
    <t>351</t>
  </si>
  <si>
    <t>352</t>
  </si>
  <si>
    <t>353</t>
  </si>
  <si>
    <t>354</t>
  </si>
  <si>
    <t>355</t>
  </si>
  <si>
    <t>356</t>
  </si>
  <si>
    <t>Кабель КИС-Внг(А)-LS 2х2х0,90 ООО "ТПД Паритет"; Бирка кабельная У-136 треугольник 55х55х55 мм, UZMA-BIK-Y136-T - 420шт.</t>
  </si>
  <si>
    <t>357</t>
  </si>
  <si>
    <t>358</t>
  </si>
  <si>
    <t>Кабель КСВВнг(А)-LS 1х2х0,97 ООО "ТПД Паритет"</t>
  </si>
  <si>
    <t>359</t>
  </si>
  <si>
    <t>360</t>
  </si>
  <si>
    <t>361</t>
  </si>
  <si>
    <t>362</t>
  </si>
  <si>
    <t>Кабель КСВВнг(А)-LS 1х2х0,97 ООО "ТПД Паритет"; Бирка кабельная У-136 треугольник 55х55х55 мм, UZMA-BIK-Y136-T - 100шт.</t>
  </si>
  <si>
    <t>363</t>
  </si>
  <si>
    <t>364</t>
  </si>
  <si>
    <t>Кабель РК 50-4,8-310 ООО "ТПД Паритет"</t>
  </si>
  <si>
    <t>365</t>
  </si>
  <si>
    <t>366</t>
  </si>
  <si>
    <t>367</t>
  </si>
  <si>
    <t>368</t>
  </si>
  <si>
    <t>Кабель РК 50-4,8-310 ООО "ТПД Паритет"; Бирка кабельная У-136 треугольник 55х55х55 мм, UZMA-BIK-Y136-T - 270шт.</t>
  </si>
  <si>
    <t>369</t>
  </si>
  <si>
    <t>370</t>
  </si>
  <si>
    <t>Кабель U/UTP Cat5e PVCLS нг(А)-LSLTx 2х2х0,52 ООО "ТПД Паритет"; Бирка кабельная У-136 треугольник 55х55х55 мм, UZMA-BIK-Y136-T - 210шт.</t>
  </si>
  <si>
    <t>371</t>
  </si>
  <si>
    <t>372</t>
  </si>
  <si>
    <t xml:space="preserve">Кабель КСВЭВнг(А)-LS 2х2х0,97 ТПД "Паритет"  </t>
  </si>
  <si>
    <t>373</t>
  </si>
  <si>
    <t>374</t>
  </si>
  <si>
    <t>Труба гофрированная ПВХ D25 с протяжкой 9192525, ДКС</t>
  </si>
  <si>
    <t>375</t>
  </si>
  <si>
    <t xml:space="preserve">Крепления (шт) Держатель с защелкой, д.25мм, 51025, ДКС </t>
  </si>
  <si>
    <t>376</t>
  </si>
  <si>
    <t>377</t>
  </si>
  <si>
    <t xml:space="preserve">Труба стальная ВГП 33,5х3,2мм ГОСТ 3262-75 </t>
  </si>
  <si>
    <t>378</t>
  </si>
  <si>
    <t>Пена двухкомпонентная огнезащитная DN1201, DKC</t>
  </si>
  <si>
    <t>379</t>
  </si>
  <si>
    <t xml:space="preserve">Пусконаладочные работы, АСКУЭ, </t>
  </si>
  <si>
    <t>380</t>
  </si>
  <si>
    <t>Система коммерческого учёта водоснабжения (АСКУВ)</t>
  </si>
  <si>
    <t>381</t>
  </si>
  <si>
    <t>382</t>
  </si>
  <si>
    <t xml:space="preserve">Корпус навесной ST с М/П Корпус навесной ST с М/П ВxШxГ 600x600x250 мм, IP66 (с монтажной панелью), R5ST0669, АО "ДКС" в составе:
Устройства сбора и передачи данных	УСПД «Пульсар», 5хRS-485, "ООО НПП «ТЕПЛОВОДОХРАН»" - 1шт.;
Источник бесперебойного питания, SKAT-UPS 500/300-DIN-IN, "ЗАО ""Бастион"" - 1шт.;
Блок питания, БП14Б-Д4.2-24, ОВЕН - 2шт.;
Автоматический выключатель 1P 10А (C) 6кА ВА 47-63 DC EKF PROxima, mcb4763-DC-1-10C-pr, EKF - 2шт.; 
Выключатель нагрузки 2P 16А ВН-63N EKF PROxima, S63216, EKF- 1шт.; 
Щитовая розетка на DIN-рейку, MT-DRS, ОВЕН- 1шт.;
Клемма винтовая с держателем предохранителя, MTU-4F220, ОВЕН- 1шт.;
Предохранитель стеклянный 5х20 (5x25), 2А, H520-2A/250B-BL, ОВЕН- 1шт.;
Сигнальная LED лампа, зеленый, 220V AC/DC IP65, MT22-SA33, ОВЕН - 1шт.;
Держатель маркировки, размер 25х11мм, MTB2-F11, ОВЕН- 1шт.;
Выключатель концевой, IP40, MTZ4-MS1307, ОВЕН- 1шт.;
Клемма одноуровневая, серая 2,5 мм2, MTU-2.5, ОВЕН- 23шт.;
Заглушка торцевая, 2,5 мм2, MTU-P, ОВЕН - 2шт.; 
Торцевой фиксатор, MTU-S1 - 10шт.; 
DIN-рейка 35х15 мм длиной 1500 мм, 02150R, ДКС- 1шт.;
Короб перфорированный RLHF6 25x40, без галогенов, светло-серый, длина 2000 мм, 01163RLHF, АО "ДКС" - 2шт.;  
Кабельный ввод, пластик V0 UL94, IP65, +130 - 40, 50 отверстий- 1шт.;
Провод	ПуГВнг(А)-LSLTx 1х1.5- 35м;
Аккумулятор 12В 7 Ач, Skat i-Battery 12-7 LiFePo4, Бастион, код товара 645 - 1шт.
</t>
  </si>
  <si>
    <t>383</t>
  </si>
  <si>
    <t>384</t>
  </si>
  <si>
    <t>385</t>
  </si>
  <si>
    <t xml:space="preserve">Монтаж счетчика импульсов-регистратора, </t>
  </si>
  <si>
    <t>386</t>
  </si>
  <si>
    <t>Счетчик импульсов-регистратор 3-канальный RS485 Н00005852, "ООО НПП «ТЕПЛОВОДОХРАН»"</t>
  </si>
  <si>
    <t>387</t>
  </si>
  <si>
    <t>388</t>
  </si>
  <si>
    <t>389</t>
  </si>
  <si>
    <t>390</t>
  </si>
  <si>
    <t>Разветвитель интерфейса RS-485/422 ПР-4 исп. 2, "ООО ""НТК Приборэнерго""</t>
  </si>
  <si>
    <t>391</t>
  </si>
  <si>
    <t>392</t>
  </si>
  <si>
    <t>Коробка распределительная Epplast 110043, "ООО «НПП Электропромпласт»"</t>
  </si>
  <si>
    <t>393</t>
  </si>
  <si>
    <t>394</t>
  </si>
  <si>
    <t>Резистор терминальный 120 Ом CF-100 (С1-4) 1Вт, 120 Ом, 5% ЧИП и ДИП</t>
  </si>
  <si>
    <t>395</t>
  </si>
  <si>
    <t>396</t>
  </si>
  <si>
    <t>397</t>
  </si>
  <si>
    <t>398</t>
  </si>
  <si>
    <t>399</t>
  </si>
  <si>
    <t>Кабель КИС-Внг(А)-LS 2х2х0,90 ТПД "Паритет"</t>
  </si>
  <si>
    <t>400</t>
  </si>
  <si>
    <t>401</t>
  </si>
  <si>
    <t>Кабель КИС-Внг(А)-LS 2х2х0,90 ТПД "Паритет"; Бирка кабельная У-136 треугольник 55х55х55 мм, UZMA-BIK-Y136-T, IEK GROUP - 2790шт.</t>
  </si>
  <si>
    <t>402</t>
  </si>
  <si>
    <t>403</t>
  </si>
  <si>
    <t>404</t>
  </si>
  <si>
    <t>405</t>
  </si>
  <si>
    <t>406</t>
  </si>
  <si>
    <t>407</t>
  </si>
  <si>
    <t>Кабель РК 50-4,8-310 ООО "ТПД Паритет"; Бирка кабельная У-136 треугольник 55х55х55 мм, UZMA-BIK-Y136-T, IEK GROUP - 180шт.</t>
  </si>
  <si>
    <t>408</t>
  </si>
  <si>
    <t>409</t>
  </si>
  <si>
    <t>410</t>
  </si>
  <si>
    <t>411</t>
  </si>
  <si>
    <t>Кабель U/UTP Cat5e PVCLS нг(А)-LSLTx 2х2х0,52 ТПД "Паритет"; Бирка кабельная У-136 треугольник 55х55х55 мм, UZMA-BIK-Y136-T, IEK GROUP - 30шт.</t>
  </si>
  <si>
    <t>412</t>
  </si>
  <si>
    <t>413</t>
  </si>
  <si>
    <t>414</t>
  </si>
  <si>
    <t>415</t>
  </si>
  <si>
    <t>416</t>
  </si>
  <si>
    <t>417</t>
  </si>
  <si>
    <t>418</t>
  </si>
  <si>
    <t xml:space="preserve">Пусконаладочные работы, АСКУВ, </t>
  </si>
  <si>
    <t>419</t>
  </si>
  <si>
    <t>Система кабеленесущих конструкций (СКК)</t>
  </si>
  <si>
    <t>420</t>
  </si>
  <si>
    <t>Монтаж лотков оцинкованных, лестничных, ширина полки, мм - 200</t>
  </si>
  <si>
    <t>ДП: Вертикальные кабеленесущие СС для шахт;</t>
  </si>
  <si>
    <t>421</t>
  </si>
  <si>
    <t>Лоток лестничный 200х100мм L=3000мм НЛО-200х100х3000-1,5-СЦ, 013211, Ostec</t>
  </si>
  <si>
    <t>422</t>
  </si>
  <si>
    <t>Проводник заземляющий универсальный ЗПУ 6х200, 060062, Ostec</t>
  </si>
  <si>
    <t>423</t>
  </si>
  <si>
    <t>Крепления (шт) Скоба крепления лестничного лотка СКЛ-2,0-СЦ 050201 Ostec - 996шт.
Болт М6х12 ВПМ-6х12.48-DIN-Т 566627 Ostec - 1992шт.
Гайка М6 ГМСБ-6.8-DIN-ЭЦ 067609 Ostec - 1992шт.
Анкерный болт клиновой АБК-6х60-ЭЦ 062669 Ostec шт. - 1992шт.</t>
  </si>
  <si>
    <t>424</t>
  </si>
  <si>
    <t xml:space="preserve">Прокладка кабеля, в лотке, сечением до 10 мм2 вкл., </t>
  </si>
  <si>
    <t>425</t>
  </si>
  <si>
    <t>Провод ПуГПнг(А)-HF 1х6 «Брэкс» Брянск</t>
  </si>
  <si>
    <t>426</t>
  </si>
  <si>
    <t>427</t>
  </si>
  <si>
    <t>Труба стальная ВГП 60x3,5мм ГОСТ 3262-75 ООО "Сантехкомплект"</t>
  </si>
  <si>
    <t>428</t>
  </si>
  <si>
    <t>Арматура 6мм А500С ГОСТ Р 52544-2006 0.222кг в 1м, 82м</t>
  </si>
  <si>
    <t>т</t>
  </si>
  <si>
    <t>429</t>
  </si>
  <si>
    <t>Пена двухкомпонентная огнезащитная АС-47, Альфаконструктор</t>
  </si>
  <si>
    <t>430</t>
  </si>
  <si>
    <t>431</t>
  </si>
  <si>
    <t xml:space="preserve">Плита минераловатная 100мм 150кг/м3 0,046Вт/м*К </t>
  </si>
  <si>
    <t>м3</t>
  </si>
  <si>
    <t>432</t>
  </si>
  <si>
    <t>Монтаж лотков оцинкованных, перфорированных, ширина полки, мм - 200</t>
  </si>
  <si>
    <t>ДП: Кабеленесущие СС для подвала;</t>
  </si>
  <si>
    <t>433</t>
  </si>
  <si>
    <t>Лоток перфорированный 200х100мм L=3000мм ЛПМЗТ-200х100х3000-0,8-СЦ, 014218, Ostec</t>
  </si>
  <si>
    <t>434</t>
  </si>
  <si>
    <t>Крышка лотка прямая осн. 200мм, L=3000мм КЛЗТ-200х15х3000-0,6-СЦ, 020024, Ostec</t>
  </si>
  <si>
    <t>435</t>
  </si>
  <si>
    <t>Угол горизонтальный 90гр. 200х100мм УПТРП90-200х100-1,0-R100-СЦ, 086721, Ostec</t>
  </si>
  <si>
    <t>436</t>
  </si>
  <si>
    <t>Крышка к углу плоскому плавному 90гр. 200мм КУПТРП90-200-1,0-R100-СЦ, 020327, Ostec</t>
  </si>
  <si>
    <t>437</t>
  </si>
  <si>
    <t>Поворот горизонтальный регулируемый 200х100мм, толщ. 1,0мм ПГР-200х100-1,0-СЦ, 042021, Ostec</t>
  </si>
  <si>
    <t>438</t>
  </si>
  <si>
    <t>Крышка к повороту горизонтальному регулируемому 200мм КПГР-200-1,5-СЦ, 024522, Ostec</t>
  </si>
  <si>
    <t>439</t>
  </si>
  <si>
    <t>Ответвитель Т-образный горизонтальный 200х100мм ТТРП-200х100-1,0-R100-СЦ, 086821, Ostec</t>
  </si>
  <si>
    <t>440</t>
  </si>
  <si>
    <t>Крышка на ответвитель Т-образный горизонтальный осн. 200мм КТТП-200-0,7-R100-СЦ, 021921, Ostec</t>
  </si>
  <si>
    <t>441</t>
  </si>
  <si>
    <t>Ответвитель Т-образный горизонтальный 200х100мм ПТП-200х400х100-0,7-СЦ, 034624, Ostec</t>
  </si>
  <si>
    <t>442</t>
  </si>
  <si>
    <t>Крышка на ответвитель Т-образный горизонтальный осн. 200мм КПТП-200х400-0,7-СЦ, 021424, Ostec</t>
  </si>
  <si>
    <t>443</t>
  </si>
  <si>
    <t>Переход прямой центральный 200х100х100мм, толщ. 0,7мм ППЦ-200х100х100-0,7-СЦ, 034321, Ostec</t>
  </si>
  <si>
    <t>444</t>
  </si>
  <si>
    <t>Крышка к переходу прямому центральному 200х100мм КРПЦ-200х100-0,7-СЦ, 022921, Ostec</t>
  </si>
  <si>
    <t>445</t>
  </si>
  <si>
    <t>Планка шарнирного соединения 100мм  ПШСМ-100-2,0-СЦ, 084054, Ostec</t>
  </si>
  <si>
    <t>446</t>
  </si>
  <si>
    <t>Протектор соединения лотков 200мм ПРУМ-200-1,0-СЦ, 032727, Ostec</t>
  </si>
  <si>
    <t>447</t>
  </si>
  <si>
    <t>Соединитель лотковый 100мм СЛУМ-100-1,0-СЦ, 032713, Ostec</t>
  </si>
  <si>
    <t>448</t>
  </si>
  <si>
    <t xml:space="preserve">Крепление потолочное 30х50мм  ПКО3-3,0-ЭЦ, 854913, Ostec </t>
  </si>
  <si>
    <t>449</t>
  </si>
  <si>
    <t>Стойка потолочного подвеса  СПТ3-1400-2,5-СЦ, 052414, Ostec</t>
  </si>
  <si>
    <t>450</t>
  </si>
  <si>
    <t>Консоль (полка) подвеса 200мм  КПН3-200-1,5-СЦ, 054424, Ostec</t>
  </si>
  <si>
    <t>451</t>
  </si>
  <si>
    <t>Распорка консоли подвеса 30х50мм РПК3-1,5-СЦ, 055251, Ostec</t>
  </si>
  <si>
    <t>452</t>
  </si>
  <si>
    <t xml:space="preserve">Распорка консоли подвеса 400-600мм РКПН3-400-600-1,5-СЦ, 055250, Ostec </t>
  </si>
  <si>
    <t>453</t>
  </si>
  <si>
    <t>Кронштейн потолочный С-образный  КППЛС-2,0-СЦ, 052901, Ostec</t>
  </si>
  <si>
    <t>454</t>
  </si>
  <si>
    <t>Профиль П-образный L=3000мм, толщ.2,0мм  ПП-П-30х20х3000-2,0-СЦ, 052401, Ostec</t>
  </si>
  <si>
    <t>455</t>
  </si>
  <si>
    <t>Подвес настенный унитарный 300мм ПНУ-300-2,0-СЦ, 050831, Ostec</t>
  </si>
  <si>
    <t>456</t>
  </si>
  <si>
    <t>Крепления (шт) Шпилька, ШП-6х1000.46-DIN-ЭЦ, 064619, Ostec - 348шт.;
Болт М6х12, ВПМ-6х12.48-DIN-Т, 566627, Ostec - 1113шт.;
Болт М10х70, БМ-10х70.58-DIN-ЭЦ, 060400, Ostec - 101шт.;
Гайка М6, ГМСБ-6.8-DIN-ЭЦ, 067609, Ostec  - 1391шт.;
Гайка М10, ГМСК-10.8-DIN-ЭЦ, 067119, Ostec - 101шт.;
Анкерный болт клиновой АБК-6х60-ЭЦ, 062669, Ostec - 491шт.;</t>
  </si>
  <si>
    <t>457</t>
  </si>
  <si>
    <t>458</t>
  </si>
  <si>
    <t>Монтаж лотков оцинкованных, перфорированных, ширина полки, мм - 100</t>
  </si>
  <si>
    <t>459</t>
  </si>
  <si>
    <t>Лоток перфорированный 100х100мм L=3000мм ЛПМЗТ-100х100х3000-0,8-СЦ, 014118, Ostec</t>
  </si>
  <si>
    <t>460</t>
  </si>
  <si>
    <t>Крышка лотка прямая осн. 100мм, L=3000мм КЛЗТ-100х15х3000-0,55-СЦ, 020014, Ostec</t>
  </si>
  <si>
    <t>461</t>
  </si>
  <si>
    <t>Планка шарнирного соединения 100мм ПШСМ-100-2,0-СЦ, 084054, Ostec</t>
  </si>
  <si>
    <t>462</t>
  </si>
  <si>
    <t>463</t>
  </si>
  <si>
    <t>Крепление потолочное 30х50мм ПКО3-3,0-ЭЦ, 854913, Ostec</t>
  </si>
  <si>
    <t>464</t>
  </si>
  <si>
    <t xml:space="preserve">Стойка потолочного подвеса СПТ3-1400-2,5-СЦ, 052414, Ostec </t>
  </si>
  <si>
    <t>465</t>
  </si>
  <si>
    <t>Консоль (полка) подвеса 200мм КПН3-200-1,5-СЦ, 054424, Ostec</t>
  </si>
  <si>
    <t>466</t>
  </si>
  <si>
    <t>467</t>
  </si>
  <si>
    <t>Распорка консоли подвеса 400-600мм РКПН3-400-600-1,5-СЦ, 055250, Ostec</t>
  </si>
  <si>
    <t>468</t>
  </si>
  <si>
    <t>Кронштейн потолочный С-образный КППЛС-2,0-СЦ, 052901, Ostec</t>
  </si>
  <si>
    <t>469</t>
  </si>
  <si>
    <t>Профиль П-образный L=3000мм, толщ.2,0мм ПП-П-30х20х3000-2,0-СЦ, 052401, Ostec</t>
  </si>
  <si>
    <t>470</t>
  </si>
  <si>
    <t xml:space="preserve">Подвес настенный унитарный 300мм ПНУ-300-2,0-СЦ, 050831, Ostec </t>
  </si>
  <si>
    <t>471</t>
  </si>
  <si>
    <t>Крепления (шт) Шпилька, ШП-6х1000.46-DIN-ЭЦ, 064619, Ostec - 66шт.;
Болт М6х12, ВПМ-6х12.48-DIN-Т, 566627, Ostec - 212шт.;
Болт М10х70, БМ-10х70.58-DIN-ЭЦ, 060400, Ostec - 19шт.;
Гайка М6, ГМСБ-6.8-DIN-ЭЦ, 067609, Ostec  - 265шт.;
Гайка М10, ГМСК-10.8-DIN-ЭЦ, 067119, Ostec - 19шт.;
Анкерный болт клиновой АБК-6х60-ЭЦ, 062669, Ostec - 93шт.;</t>
  </si>
  <si>
    <t>472</t>
  </si>
  <si>
    <t>473</t>
  </si>
  <si>
    <t>474</t>
  </si>
  <si>
    <t>475</t>
  </si>
  <si>
    <t>476</t>
  </si>
  <si>
    <t>477</t>
  </si>
  <si>
    <t>478</t>
  </si>
  <si>
    <t>Покрытие противопожарное на водной основе АС-670М Альфаконструктор</t>
  </si>
  <si>
    <t>479</t>
  </si>
  <si>
    <t>480</t>
  </si>
  <si>
    <t xml:space="preserve">Монтаж лотков проволочных, </t>
  </si>
  <si>
    <t>ДП: Кабеленесущие для помещений СС;</t>
  </si>
  <si>
    <t>481</t>
  </si>
  <si>
    <t>Лоток проволочный 400х100мм L=3000мм ПЛМ-400х105х3000-4,0-ЭЦ, 015414, Ostec</t>
  </si>
  <si>
    <t>482</t>
  </si>
  <si>
    <t>Соединитель проволочного лотка СПЛД-20-СЦ, 040901, Ostec</t>
  </si>
  <si>
    <t>483</t>
  </si>
  <si>
    <t>Шпилька латунная заземляющая ЗШП-10-Л, 060105, Ostec</t>
  </si>
  <si>
    <t>484</t>
  </si>
  <si>
    <t>Подвес настенный унитарный 400мм ПНУ-400-2,0-СЦ, 050841, Ostec</t>
  </si>
  <si>
    <t>485</t>
  </si>
  <si>
    <t>Соединитель проволочного лотка СПЛО-20-СЦ, 041001, Ostec</t>
  </si>
  <si>
    <t>486</t>
  </si>
  <si>
    <t>Крепления (шт) Анкерный болт клиновой АБК-6х60-ЭЦ 062669 Ostec - 72шт.;
Болт М6х12 ВПМ-6х12.48-DIN-Т 566627 Ostec - 145шт.;
Гайка М6 ГМСБ-6.8-DIN-ЭЦ 067609 Ostec - 145шт.;</t>
  </si>
  <si>
    <t>487</t>
  </si>
  <si>
    <t>488</t>
  </si>
  <si>
    <t>Лоток проволочный 200х105мм L=3000мм ПЛМ-200х105х3000-4,0-ЭЦ, 015215, Ostec</t>
  </si>
  <si>
    <t>489</t>
  </si>
  <si>
    <t>490</t>
  </si>
  <si>
    <t>491</t>
  </si>
  <si>
    <t>492</t>
  </si>
  <si>
    <t>493</t>
  </si>
  <si>
    <t>Крепления (шт) Анкерный болт клиновой АБК-6х60-ЭЦ 062669 Ostec - 33шт.;
Болт М6х12 ВПМ-6х12.48-DIN-Т 566627 Ostec - 65шт.;
Гайка М6 ГМСБ-6.8-DIN-ЭЦ 067609 Ostec - 65шт.;</t>
  </si>
  <si>
    <t>494</t>
  </si>
  <si>
    <t>ДП: Кабеленесущие СС на этажах;</t>
  </si>
  <si>
    <t>495</t>
  </si>
  <si>
    <t>Лоток проволочный 100х60мм L=3000мм ПЛМ-100х60х3000-3,5-ЭЦ, 015160, Ostec</t>
  </si>
  <si>
    <t>496</t>
  </si>
  <si>
    <t>497</t>
  </si>
  <si>
    <t>Подвес настенный унитарный 100мм ПНУ-100-1,5-СЦ, 050811, Ostec</t>
  </si>
  <si>
    <t>498</t>
  </si>
  <si>
    <t>Крепления (шт) Крюк для подвеса проволочного лотка КППЛ-1,5-СЦ 053201 Ostec - 61шт.;
Шпилька резьбовая ШП-6х1000.46-DIN-ЭЦ 064619 Ostec  - 61шт.;
Кронштейн потолочный С-образный КППЛС-2,0-СЦ 052901 Ostec - 61шт.;
Анкерный болт клиновой АБК-6х60-ЭЦ 062669 Ostec - 206шт.;
Болт М6х12, CM020612, Ostec - 290шт.;
Гайка М6, CM100600, Ostec - 290шт.;</t>
  </si>
  <si>
    <t>499</t>
  </si>
  <si>
    <t>500</t>
  </si>
  <si>
    <t>501</t>
  </si>
  <si>
    <t>Лоток проволочный 70х50мм L=3000мм ПЛМ-70х50х3000-3,5-ЭЦ, 015066, Ostec</t>
  </si>
  <si>
    <t>502</t>
  </si>
  <si>
    <t>503</t>
  </si>
  <si>
    <t>504</t>
  </si>
  <si>
    <t>Крепления (шт) Крюк для подвеса проволочного лотка КППЛ-1,5-СЦ 053201 Ostec - 959шт.;
Шпилька резьбовая ШП-6х1000.46-DIN-ЭЦ 064619 Ostec  - 959шт.;
Кронштейн потолочный С-образный КППЛС-2,0-СЦ 052901 Ostec - 959шт.;
Анкерный болт клиновой АБК-6х60-ЭЦ 062669 Ostec - 3227шт.;
Болт М6х12, CM020612, Ostec - 4536шт.;
Гайка М6, CM100600, Ostec - 4536шт.;</t>
  </si>
  <si>
    <t>505</t>
  </si>
  <si>
    <t>506</t>
  </si>
  <si>
    <t>507</t>
  </si>
  <si>
    <t>508</t>
  </si>
  <si>
    <t>509</t>
  </si>
  <si>
    <t>510</t>
  </si>
  <si>
    <t>511</t>
  </si>
  <si>
    <t>Монтаж лотков оцинкованных, неперфорированных, ширина полки, мм - 100</t>
  </si>
  <si>
    <t>ДП: Кабеленесущие СС для кровли;</t>
  </si>
  <si>
    <t>512</t>
  </si>
  <si>
    <t>Лоток неперфорированный 100х50мм L=3000мм 3502210HDZ, ДКС</t>
  </si>
  <si>
    <t>513</t>
  </si>
  <si>
    <t xml:space="preserve">Крышка лотка прямая осн. 100мм, L=3000мм </t>
  </si>
  <si>
    <t>514</t>
  </si>
  <si>
    <t>Угол горизонтальный 90гр. 100х50мм 36002KHDZ, ДКС</t>
  </si>
  <si>
    <t>515</t>
  </si>
  <si>
    <t>Крышка на угол горизонтальный 90гр. осн. 100мм 38002KHDZ, ДКС</t>
  </si>
  <si>
    <t>516</t>
  </si>
  <si>
    <t>Угол горизонтальный изменяемый 0-45гр. 100х50мм SVS3510KHDZL, ДКС</t>
  </si>
  <si>
    <t>517</t>
  </si>
  <si>
    <t>Крышка на угол горизонтальный изменяемый 0-45гр. 100мм SKVS100KHDZL, ДКС</t>
  </si>
  <si>
    <t>518</t>
  </si>
  <si>
    <t>Накладка соединительная для лотка осн. 100мм 37352HDZL, ДКС</t>
  </si>
  <si>
    <t>519</t>
  </si>
  <si>
    <t>Пластина крепежная H=50мм 30013KHDZL, ДКС</t>
  </si>
  <si>
    <t>520</t>
  </si>
  <si>
    <t>Пластина соединительная H=50мм Соединительная пластина GTO, SPGM50HDZL, ДКС</t>
  </si>
  <si>
    <t>521</t>
  </si>
  <si>
    <t>Крепления (шт) Болт М6х12, CM020612, ДКС - 1021шт.;Гайка М6, CM100600, ДКС - 1021шт.</t>
  </si>
  <si>
    <t>522</t>
  </si>
  <si>
    <t>Монтаж лотков оцинкованных, неперфорированных, ширина полки, мм - 50</t>
  </si>
  <si>
    <t>523</t>
  </si>
  <si>
    <t>Лоток неперфорированный 50х50мм L=3000мм 3502010HDZ, ДКС</t>
  </si>
  <si>
    <t>524</t>
  </si>
  <si>
    <t>Крышка лотка прямая осн. 50мм, L=3000мм 35520HDZ, ДКС</t>
  </si>
  <si>
    <t>525</t>
  </si>
  <si>
    <t>Ответвитель Т-образный горизонтальный 50х50мм 36233KHDZ, ДКС</t>
  </si>
  <si>
    <t>526</t>
  </si>
  <si>
    <t>Крышка на ответвитель Т-образный горизонтальный осн. 50мм 38361KHDZ, ДКС</t>
  </si>
  <si>
    <t>527</t>
  </si>
  <si>
    <t>Угол горизонтальный 90гр. 50х50мм 36000KHDZ, ДКС</t>
  </si>
  <si>
    <t>528</t>
  </si>
  <si>
    <t>Крышка на угол горизонтальный 90гр. осн. 50мм 38000KHDZ, ДКС</t>
  </si>
  <si>
    <t>529</t>
  </si>
  <si>
    <t>Угол горизонтальный изменяемый 0-45гр. 50х50мм 36060KHDZ, ДКС</t>
  </si>
  <si>
    <t>530</t>
  </si>
  <si>
    <t>Крышка на угол горизонтальный 45гр. осн. 50мм 38020KHDZ, ДКС</t>
  </si>
  <si>
    <t>531</t>
  </si>
  <si>
    <t>532</t>
  </si>
  <si>
    <t>533</t>
  </si>
  <si>
    <t>Крепления (шт) Болт М6х12, CM020612, ДКС - 209шт.;Гайка М6, CM100600, ДКС - 209шт.</t>
  </si>
  <si>
    <t>534</t>
  </si>
  <si>
    <t>535</t>
  </si>
  <si>
    <t>536</t>
  </si>
  <si>
    <t>ДП: Кабеленесущие СПЗ Вертикальные кабеленесущие СПЗ для шахт;</t>
  </si>
  <si>
    <t>537</t>
  </si>
  <si>
    <t>Лоток неперфорированный 100х80мм L=3000мм 3506210, ДКС</t>
  </si>
  <si>
    <t>538</t>
  </si>
  <si>
    <t>Крышка лотка с заземлением осн. 100мм, L=3000мм 35512, ДКС</t>
  </si>
  <si>
    <t>539</t>
  </si>
  <si>
    <t>Крепление к стене для вертикального монтажа осн. 100мм BMM1010, ДКС</t>
  </si>
  <si>
    <t>540</t>
  </si>
  <si>
    <t>Крепления (шт) Болт М6х12, CM020612, ДКС - 4248шт.;
Гайка М6, CM100600, ДКС - 4248шт.;
Усиленный клиновой анкер М6х55, CM480655, ДКС - 4248шт.;</t>
  </si>
  <si>
    <t>541</t>
  </si>
  <si>
    <t>542</t>
  </si>
  <si>
    <t>Подвес вертикальный одиночный 41х21мм, L=600мм BSP2106, ДКС</t>
  </si>
  <si>
    <t>543</t>
  </si>
  <si>
    <t>544</t>
  </si>
  <si>
    <t>545</t>
  </si>
  <si>
    <t>546</t>
  </si>
  <si>
    <t>547</t>
  </si>
  <si>
    <t>Арматура 6мм А500С ГОСТ Р 52544-2006 0.222кг в 1м, 306м</t>
  </si>
  <si>
    <t>548</t>
  </si>
  <si>
    <t>549</t>
  </si>
  <si>
    <t>550</t>
  </si>
  <si>
    <t>551</t>
  </si>
  <si>
    <t>Монтаж лотков оцинкованных, неперфорированных, ширина полки, мм - 150</t>
  </si>
  <si>
    <t>ДП: Кабеленесущие СПЗ для подвала;</t>
  </si>
  <si>
    <t>552</t>
  </si>
  <si>
    <t>Лоток неперфорированный 150х50мм L=3000мм 3502310, ДКС</t>
  </si>
  <si>
    <t>553</t>
  </si>
  <si>
    <t>Крышка лотка с заземлением осн. 150мм, L=3000мм 35523, ДКС</t>
  </si>
  <si>
    <t>554</t>
  </si>
  <si>
    <t>Переходник симметричный 150/100мм H=50мм 36309K, ДКС</t>
  </si>
  <si>
    <t>555</t>
  </si>
  <si>
    <t>Крышка на переходник симметричный 150/100мм 38082K, ДКС</t>
  </si>
  <si>
    <t>556</t>
  </si>
  <si>
    <t>Консоль легкая осн. 150мм BBL-30, BBL3015, ДКС</t>
  </si>
  <si>
    <t>557</t>
  </si>
  <si>
    <t>Пластина крепежная H=50мм GSV 30013K, ДКС</t>
  </si>
  <si>
    <t>558</t>
  </si>
  <si>
    <t xml:space="preserve">Пластина соединительная H=50мм  GTO SPGM50, ДКС </t>
  </si>
  <si>
    <t>559</t>
  </si>
  <si>
    <t>Профиль С-образный 41х41мм, L=3000мм, толщ.2,5мм BPM-41, BPM4130, ДКС</t>
  </si>
  <si>
    <t>560</t>
  </si>
  <si>
    <t>Консоль (полка) подвеса 200мм IBBP-21 (одиночная, 41×21 мм), IBBP2120C, ДКС</t>
  </si>
  <si>
    <t>561</t>
  </si>
  <si>
    <t>Кронштейн потолочный С-образный BSF-29 (SSM), BSF2901, ДКС</t>
  </si>
  <si>
    <t>562</t>
  </si>
  <si>
    <t xml:space="preserve">Подвес вертикальный одиночный 41х21мм, L=1500мм  IBSP-21 (одиночный, 41×21 мм), IBSP2115C, ДКС </t>
  </si>
  <si>
    <t>563</t>
  </si>
  <si>
    <t>Крепления (шт) Шпилька резьбовая DIN 975/976 M6×1000, CM200601, ДКС - 34шт.;
Болт М6х12, CM020612  - 129шт.;
Болт М10х70, CM081070  - 25шт.;
Гайка М6, CM100600  - 83шт.;
Гайка М10, CM101000 - 25шт.;
Усиленный клиновой анкер М6х55, CM480655, ДКС  - 29шт.;
Анкер забивной М6 - 34шт.;</t>
  </si>
  <si>
    <t>564</t>
  </si>
  <si>
    <t>565</t>
  </si>
  <si>
    <t>566</t>
  </si>
  <si>
    <t>Лоток неперфорированный 100х50мм L=3000мм 3502210, ДКС</t>
  </si>
  <si>
    <t>567</t>
  </si>
  <si>
    <t>Крышка лотка с заземлением осн. 100мм, L=3000мм 35522, ДКС</t>
  </si>
  <si>
    <t>568</t>
  </si>
  <si>
    <t>Ответвитель Т-образный горизонтальный 100х50мм 36235K, ДКС</t>
  </si>
  <si>
    <t>569</t>
  </si>
  <si>
    <t>Крышка на ответвитель Т-образный горизонтальный осн. 100мм 38363K, ДКС</t>
  </si>
  <si>
    <t>570</t>
  </si>
  <si>
    <t>Угол горизонтальный изменяемый 0-45гр. 100х50мм 36008, ДКС</t>
  </si>
  <si>
    <t>571</t>
  </si>
  <si>
    <t>Крышка на угол горизонтальный изменяемый 0-45гр. 100мм 38010, ДКС</t>
  </si>
  <si>
    <t>572</t>
  </si>
  <si>
    <t>Угол горизонтальный 90гр. 100х50мм 36002K, ДКС</t>
  </si>
  <si>
    <t>573</t>
  </si>
  <si>
    <t>Крышка на угол горизонтальный 90гр. осн. 100мм 38002K, ДКС</t>
  </si>
  <si>
    <t>574</t>
  </si>
  <si>
    <t>Пластина крепежная H=50мм 30013K, ДКС</t>
  </si>
  <si>
    <t>575</t>
  </si>
  <si>
    <t>Пластина соединительная H=50мм GTO SPGM50, ДКС</t>
  </si>
  <si>
    <t>576</t>
  </si>
  <si>
    <t>Накладка соединительная для лотка осн. 100мм 37352, ДКС</t>
  </si>
  <si>
    <t>577</t>
  </si>
  <si>
    <t>578</t>
  </si>
  <si>
    <t>Консоль (полка) подвеса 200мм  IBBP-21 (одиночная, 41×21 мм), IBBP2120C, ДКС</t>
  </si>
  <si>
    <t>579</t>
  </si>
  <si>
    <t>580</t>
  </si>
  <si>
    <t>Подвес вертикальный одиночный 41х21мм, L=1500мм IBSP2115C, ДКС</t>
  </si>
  <si>
    <t>581</t>
  </si>
  <si>
    <t>Крепления (шт) Шпилька резьбовая DIN 975/976 M6×1000, CM200601, ДКС - 458шт.;
Болт М6х12, CM020612  - 1707шт.;
Болт М10х70, CM081070  - 335шт.;
Гайка М6, CM100600  - 1099шт.;
Гайка М10, CM101000 - 335шт.;
Усиленный клиновой анкер М6х55, CM480655, ДКС  - 381шт.;
Анкер забивной М6 - 458шт.;</t>
  </si>
  <si>
    <t>582</t>
  </si>
  <si>
    <t>583</t>
  </si>
  <si>
    <t>584</t>
  </si>
  <si>
    <t>585</t>
  </si>
  <si>
    <t>ДП: Кабеленесущие СПЗ для кровли;</t>
  </si>
  <si>
    <t>586</t>
  </si>
  <si>
    <t>587</t>
  </si>
  <si>
    <t>588</t>
  </si>
  <si>
    <t>Ответвитель Т-образный горизонтальный 50х50мм 36120KHDZ ДКС</t>
  </si>
  <si>
    <t>589</t>
  </si>
  <si>
    <t>Крышка на ответвитель Т-образный горизонтальный осн. 50мм 38040KHDZ ДКС</t>
  </si>
  <si>
    <t>590</t>
  </si>
  <si>
    <t>591</t>
  </si>
  <si>
    <t>592</t>
  </si>
  <si>
    <t>Угол горизонтальный 45гр. 50х50мм 36060KHDZ, ДКС</t>
  </si>
  <si>
    <t>593</t>
  </si>
  <si>
    <t>594</t>
  </si>
  <si>
    <t>595</t>
  </si>
  <si>
    <t>Пластина соединительная H=50мм SPGM50HDZL, ДКС</t>
  </si>
  <si>
    <t>596</t>
  </si>
  <si>
    <t>Крепления (шт) Болт М6х12 CM020612 ДКС - 1779шт.;Гайка М6 CM100600 ДКС - 1779шт.;</t>
  </si>
  <si>
    <t>597</t>
  </si>
  <si>
    <t>598</t>
  </si>
  <si>
    <t>599</t>
  </si>
  <si>
    <t>ДП: Закладные для квартир;</t>
  </si>
  <si>
    <t>600</t>
  </si>
  <si>
    <t xml:space="preserve">Труба стальная ВГП 42,3х3,2мм ГОСТ 3262-75 </t>
  </si>
  <si>
    <t>601</t>
  </si>
  <si>
    <t>602</t>
  </si>
  <si>
    <t>603</t>
  </si>
  <si>
    <t>604</t>
  </si>
  <si>
    <t>Система автоматизации общеобменной вентиляции (АОВ)</t>
  </si>
  <si>
    <t>605</t>
  </si>
  <si>
    <t>606</t>
  </si>
  <si>
    <t>Шкаф автоматики и управления  SHUV-VDD, ВЕНТЗ  Комплектно с вентиляционными системами Д1-Д22</t>
  </si>
  <si>
    <t>607</t>
  </si>
  <si>
    <t>608</t>
  </si>
  <si>
    <t>Датчик скорости потока воздуха  VAVT, ВЕНТЗ  с корпусом, Комплектно с вентиляционными системами Д1-Д22</t>
  </si>
  <si>
    <t>609</t>
  </si>
  <si>
    <t xml:space="preserve">Монтаж греющего кабеля на кровле, </t>
  </si>
  <si>
    <t>610</t>
  </si>
  <si>
    <t>Кабель нагревательный саморегулирующийся ВЕНТЗ, Комплектно с вентиляционными системами Д1-Д22</t>
  </si>
  <si>
    <t>611</t>
  </si>
  <si>
    <t>Монтаж датчика, для установок ПВ1, П1.1.1, П1.4.1, ПВ1.1, ПВ1.2, ПВ1.3, ПВ1.4, ПВ1.5, ПВ1.6</t>
  </si>
  <si>
    <t>612</t>
  </si>
  <si>
    <t>Датчик температуры канальный VTK PT-1000 (250), ВЕНТЗ по 2шт. в вентиляционную установку</t>
  </si>
  <si>
    <t>613</t>
  </si>
  <si>
    <t>Монтаж датчика, для установок ПВ1, ПВ1.1, ПВ1.2, ПВ1.3, ПВ1.4, ПВ1.5, ПВ1.6</t>
  </si>
  <si>
    <t>614</t>
  </si>
  <si>
    <t>Датчик перепада давления 50-500 Па VRP-500, ВЕНТЗ по 1шт. в вентиляционную установку</t>
  </si>
  <si>
    <t>615</t>
  </si>
  <si>
    <t>Монтаж датчика, для установок П1.1.1, П1.4.1, В1.2.4, В1.2.4(р), В1.5.3, В1.5.3(р), В1.6.3, В1.6.3(р), В1.4.5, В1.4.5(р), В1.4.6, В1.4.6(р)</t>
  </si>
  <si>
    <t>616</t>
  </si>
  <si>
    <t>Датчик перепада давления 50-500 Па VRP-500, ВЕНТЗ по 2шт. в вентиляционную установку</t>
  </si>
  <si>
    <t>617</t>
  </si>
  <si>
    <t>Монтаж датчика, для установок ПВ1.1, ПВ1.2, ПВ1.3, ПВ1.4, ПВ1.5, ПВ1.6</t>
  </si>
  <si>
    <t>618</t>
  </si>
  <si>
    <t>Термостат капиллярный VTZ-2, ВЕНТЗ по 1шт. в вентиляционную установку</t>
  </si>
  <si>
    <t>619</t>
  </si>
  <si>
    <t xml:space="preserve">Установка частотного преобразователя, </t>
  </si>
  <si>
    <t>620</t>
  </si>
  <si>
    <t xml:space="preserve">Преобразователь частоты ESQ-230 0,75кВт (220В, 4А), ВЕНТЗ в вентиляционную установку ПВ1  </t>
  </si>
  <si>
    <t>621</t>
  </si>
  <si>
    <t>622</t>
  </si>
  <si>
    <t>Преобразователь частоты ESQ-230 1,5кВт (380В, 3,8А), ВЕНТЗ по 1шт. в вентиляционную установку П1.1.1, В1.2.1, П1.4.1</t>
  </si>
  <si>
    <t>623</t>
  </si>
  <si>
    <t>624</t>
  </si>
  <si>
    <t>Преобразователь частоты ESQ-230 1,5кВт (380В, 3,8А), ВЕНТЗ по 2шт. в вентиляционную установку В1.4.5, В1.4.5(р), В1.4.6, В1.4.6(р)</t>
  </si>
  <si>
    <t>625</t>
  </si>
  <si>
    <t>626</t>
  </si>
  <si>
    <t>Преобразователь частоты ESQ-230 4кВт (380В, 9А) , ВЕНТЗ по 2шт. в вентиляционную установку ПВ1.1, ПВ1.2, ПВ1.3, ПВ1.4</t>
  </si>
  <si>
    <t>627</t>
  </si>
  <si>
    <t>628</t>
  </si>
  <si>
    <t>Преобразователь частоты ESQ-230 2,2кВт (380В, 5,1А), ВЕНТЗ по 2шт. в вентиляционную установку ПВ1.5, ПВ1.6</t>
  </si>
  <si>
    <t>629</t>
  </si>
  <si>
    <t xml:space="preserve">Установка регулятора оборотов, </t>
  </si>
  <si>
    <t>630</t>
  </si>
  <si>
    <t xml:space="preserve">Регулятор скорости плавный SRE-2,5/STY-2,5 (220В, 2,5А), ВЕНТЗ по 1шт. в вентиляционную установку В1.4.1, В1.1.2, В1.2.3, В1.3.2, В1.4.3, В1.4.4
, В1.5.2, В1.6.2
</t>
  </si>
  <si>
    <t>631</t>
  </si>
  <si>
    <t>632</t>
  </si>
  <si>
    <t xml:space="preserve">Регулятор скорости плавный SRE-2,5/STY-2,5 (220В, 2,5А), ВЕНТЗ по 2шт. в вентиляционную установку В1.2.4, В1.2.4(р), В1.5.3, В1.5.3(р) 
, В1.6.3, В1.6.3(р)
</t>
  </si>
  <si>
    <t>633</t>
  </si>
  <si>
    <t>634</t>
  </si>
  <si>
    <t xml:space="preserve">Регулятор скорости плавный СРМ 250 (MTY-1.5A), Ровен по 1шт. в вентиляционную установку В1.1.1, В1.2.2, В1.3.1, В1.4.2, В1.5.1, В1.6.1
</t>
  </si>
  <si>
    <t>635</t>
  </si>
  <si>
    <t xml:space="preserve">Монтаж электропривода для клапана, </t>
  </si>
  <si>
    <t>636</t>
  </si>
  <si>
    <t xml:space="preserve">Электропривод двухпозиционный AS230-5-S (5 Нм, 230В), ВЕНТЗ по 1шт. в вентиляционную установку  П1.1.1, В1.2.1, П1.4.1, В1.4.1 
</t>
  </si>
  <si>
    <t>637</t>
  </si>
  <si>
    <t>638</t>
  </si>
  <si>
    <t xml:space="preserve">Электропривод двухпозиционный AS230-5-S (5 Нм, 230В), ВЕНТЗ по 2шт. в вентиляционную установку  ПВ1.1, ПВ1.2, ПВ1.3, ПВ1.4, ПВ1.5, ПВ1.6, В1.2.4, В1.2.4(р), В1.5.3, В1.5.3(р), В1.6.3, В1.6.3(р), В1.4.5, В1.4.5(р), В1.4.6, В1.4.6(р)
</t>
  </si>
  <si>
    <t>639</t>
  </si>
  <si>
    <t>640</t>
  </si>
  <si>
    <t xml:space="preserve">Электропривод двухпозиционный RWF03-220, Ровен по 1шт. в вентиляционную установку  В1.1.1, В1.2.2, В1.3.1, В1.4.2, В1.5.1, В1.6.1
</t>
  </si>
  <si>
    <t>641</t>
  </si>
  <si>
    <t>642</t>
  </si>
  <si>
    <t>Электропривод двухпозиционный AP24-4 (4 Нм, 24В), ВЕНТЗ в вентиляционную установку ПВ1</t>
  </si>
  <si>
    <t>643</t>
  </si>
  <si>
    <t>644</t>
  </si>
  <si>
    <t>Электропривод плавный DA04N220P (4 Нм, 220В), ВЕНТЗ по 1шт. в вентиляционную установку ПВ1.1, ПВ1.2, ПВ1.5, ПВ1.6</t>
  </si>
  <si>
    <t>645</t>
  </si>
  <si>
    <t>646</t>
  </si>
  <si>
    <t>Электропривод плавный DA08N220P (8 Нм, 220В), ВЕНТЗ по 1шт. в вентиляционную установку ПВ1.3, ПВ1.4</t>
  </si>
  <si>
    <t>647</t>
  </si>
  <si>
    <t xml:space="preserve">Монтаж блока контроля и индикации, </t>
  </si>
  <si>
    <t>648</t>
  </si>
  <si>
    <t xml:space="preserve">Блок индикации и управления KBUP-V-11-0.07-0.07-N-rad, ВЕНТЗ по 1шт. в вентиляционную обстановку В1.2.4, В1.2.4(р), В1.5.3, В1.5.3(р),  В1.6.3, В1.6.3(р)
</t>
  </si>
  <si>
    <t>649</t>
  </si>
  <si>
    <t>650</t>
  </si>
  <si>
    <t xml:space="preserve">Блок индикации и управления KBUP-E22.5-3R0-1.7-rad-KBUV-10-0.27, ВЕНТЗ по 1шт. в вентиляционную обстановку П1.1.1, П1.4.1
</t>
  </si>
  <si>
    <t>651</t>
  </si>
  <si>
    <t>652</t>
  </si>
  <si>
    <t>Блок индикации и управления  KBUP-3R3R-4-4-2F-S-rad, ВЕНТЗ по 1шт. в вентиляционную обстановку ПВ1.3, ПВ1.4</t>
  </si>
  <si>
    <t>653</t>
  </si>
  <si>
    <t>654</t>
  </si>
  <si>
    <t>Блок индикации и управления KBUP-3R3R-2.2-2.2-F-S-rad, ВЕНТЗ по 1шт. в вентиляционную обстановку ПВ1.5, ПВ1.6</t>
  </si>
  <si>
    <t>655</t>
  </si>
  <si>
    <t>656</t>
  </si>
  <si>
    <t>Блок индикации и управления KBUP-V-1R1R-0.75-0.55-S-rad 1, ВЕНТЗ в вентиляционную обстановку ПВ1</t>
  </si>
  <si>
    <t>657</t>
  </si>
  <si>
    <t>658</t>
  </si>
  <si>
    <t>Блок индикации и управления KBUP-3R3R-3-3-F-S-rad, ВЕНТЗ в вентиляционную обстановку ПВ1.1</t>
  </si>
  <si>
    <t>659</t>
  </si>
  <si>
    <t>660</t>
  </si>
  <si>
    <t>Блок индикации и управления KBUP-3R3R-4-4-F-S-rad, ВЕНТЗ в вентиляционную обстановку ПВ1.2</t>
  </si>
  <si>
    <t>661</t>
  </si>
  <si>
    <t>662</t>
  </si>
  <si>
    <t>Блок индикации и управления KBUP-V-3R3R-0.87-0.87-N-rad, ВЕНТЗ в вентиляционную обстановку В1.4.5, В1.4.5(р)</t>
  </si>
  <si>
    <t>663</t>
  </si>
  <si>
    <t>664</t>
  </si>
  <si>
    <t>Блок индикации и управления KBUP-V-3R3R-1.7-1.7-N-rad, ВЕНТЗ в вентиляционную обстановку В1.4.6, В1.4.6(р)</t>
  </si>
  <si>
    <t>665</t>
  </si>
  <si>
    <t>ДП: для мотор-дросселей;</t>
  </si>
  <si>
    <t>666</t>
  </si>
  <si>
    <t>Корпус навесной ST с М/П ВхШхГ 200х300=150 мм, IP66, R5ST0231, ДКС</t>
  </si>
  <si>
    <t>667</t>
  </si>
  <si>
    <t xml:space="preserve">Монтаж дросселя, </t>
  </si>
  <si>
    <t>ДП: Для систем - ПВ1.1, ПВ1.5, ПВ1.6, В1.4.5, В1.4.6;</t>
  </si>
  <si>
    <t>668</t>
  </si>
  <si>
    <t>Дроссель моторный 6А РМТ-006-А, OBEH</t>
  </si>
  <si>
    <t>669</t>
  </si>
  <si>
    <t>ДП: Для систем - ПВ1.2, ПВ1.3, ПВ1.4;</t>
  </si>
  <si>
    <t>670</t>
  </si>
  <si>
    <t>Дроссель моторный 10А РМТ-010-А, OBEH</t>
  </si>
  <si>
    <t>671</t>
  </si>
  <si>
    <t xml:space="preserve">Монтаж пакетного выключателя, </t>
  </si>
  <si>
    <t>ДП: Для систем - ПВ1.1…ПВ1.6, В1.4.5, В1.4.6, В1.2.4, В1.5.3, В1.6.3, Д1…Д22;</t>
  </si>
  <si>
    <t>672</t>
  </si>
  <si>
    <t>Переключатель кулачковый 3Р 16А pk-2k-13-16-a65, EKF</t>
  </si>
  <si>
    <t>673</t>
  </si>
  <si>
    <t>ДП: Для систем - В1.1.1; В1.2.2; В1.3.1; В1.4.2; В1.5.1; В1.6.1;</t>
  </si>
  <si>
    <t>674</t>
  </si>
  <si>
    <t xml:space="preserve">Выключатель пакетный М1 IP56 pv-2-16-4, EKF </t>
  </si>
  <si>
    <t>675</t>
  </si>
  <si>
    <t>676</t>
  </si>
  <si>
    <t>Кабель ВВГнг(А)-LS 3х1,5 ТПД Паритет</t>
  </si>
  <si>
    <t>677</t>
  </si>
  <si>
    <t>678</t>
  </si>
  <si>
    <t>679</t>
  </si>
  <si>
    <t>680</t>
  </si>
  <si>
    <t>Кабель ВВГнг(А)-LS 3х2,5 ТПД Паритет</t>
  </si>
  <si>
    <t>681</t>
  </si>
  <si>
    <t>682</t>
  </si>
  <si>
    <t>Кабель ВВГнг(А)-LS 5х1,5 ТПД Паритет</t>
  </si>
  <si>
    <t>683</t>
  </si>
  <si>
    <t>684</t>
  </si>
  <si>
    <t>Кабель ВВГнг(А)-LS 5х1,5 ТПД Паритет; Стяжка 250мм - 800ШТ.;		 Бирка кабельная У-136 треугольник 55х55х55 мм, У-136 - 80ШТ.;</t>
  </si>
  <si>
    <t>685</t>
  </si>
  <si>
    <t xml:space="preserve">Прокладка кабеля, в лотке, сечением от 10 мм2 до 50 мм2 вкл., </t>
  </si>
  <si>
    <t>686</t>
  </si>
  <si>
    <t>Кабель ВВГнг(А)-LS 5х2,5 ТПД Паритет</t>
  </si>
  <si>
    <t>687</t>
  </si>
  <si>
    <t>688</t>
  </si>
  <si>
    <t>Кабель ВВГнг(А)-LS 5х2,5 ТПД Паритет; Стяжка 250мм - 250ШТ.;		 Бирка кабельная У-136 треугольник 55х55х55 мм, У-136 - 25ШТ.;</t>
  </si>
  <si>
    <t>689</t>
  </si>
  <si>
    <t>690</t>
  </si>
  <si>
    <t>Кабель ВВГнг(А)-LS 5х4 ТПД Паритет</t>
  </si>
  <si>
    <t>691</t>
  </si>
  <si>
    <t>692</t>
  </si>
  <si>
    <t>Кабель ВВГнг(А)-LS 5х4 ТПД Паритет; Стяжка 250мм - 50ШТ.;		 Бирка кабельная У-136 треугольник 55х55х55 мм, У-136 - 5ШТ.;</t>
  </si>
  <si>
    <t>693</t>
  </si>
  <si>
    <t>694</t>
  </si>
  <si>
    <t>Кабель ВВГЭнг(А)-LS 5х1,5 ТПД Паритет</t>
  </si>
  <si>
    <t>695</t>
  </si>
  <si>
    <t>696</t>
  </si>
  <si>
    <t>Кабель ВВГЭнг(А)-LS 5х1,5 ТПД Паритет; Стяжка 250мм - 200ШТ.;		 Бирка кабельная У-136 треугольник 55х55х55 мм, У-136 - 20ШТ.;</t>
  </si>
  <si>
    <t>697</t>
  </si>
  <si>
    <t>698</t>
  </si>
  <si>
    <t>Кабель ВВГЭнг(А)-LS 5х2,5 ТПД Паритет</t>
  </si>
  <si>
    <t>699</t>
  </si>
  <si>
    <t>700</t>
  </si>
  <si>
    <t>Кабель ВВГЭнг(А)-LS 5х2,5 ТПД Паритет; Стяжка 250мм - 200ШТ.;		 Бирка кабельная У-136 треугольник 55х55х55 мм, У-136 - 20ШТ.;</t>
  </si>
  <si>
    <t>701</t>
  </si>
  <si>
    <t>702</t>
  </si>
  <si>
    <t>Кабель КСВВнг(А)-LS 1х2х0,80 ТПД Паритет</t>
  </si>
  <si>
    <t>703</t>
  </si>
  <si>
    <t>704</t>
  </si>
  <si>
    <t>Кабель КСВВнг(А)-LS 1х2х0,80 ТПД Паритет; Стяжка 250мм - 1300ШТ.;		 Бирка кабельная У-136 треугольник 55х55х55 мм, У-136 - 130ШТ.;</t>
  </si>
  <si>
    <t>705</t>
  </si>
  <si>
    <t>706</t>
  </si>
  <si>
    <t>Кабель КСВВнг(А)-LS 2х2х0,80 ТПД Паритет; Стяжка 250мм - 400ШТ.;		 Бирка кабельная У-136 треугольник 55х55х55 мм, У-136 - 40ШТ.;</t>
  </si>
  <si>
    <t>707</t>
  </si>
  <si>
    <t>708</t>
  </si>
  <si>
    <t>Кабель КСВВнг(А)-LS 4х2х0,80 ТПД Паритет</t>
  </si>
  <si>
    <t>709</t>
  </si>
  <si>
    <t>710</t>
  </si>
  <si>
    <t>Кабель КСВЭВнг(А)-LS 1х2х0,8 ТПД Паритет</t>
  </si>
  <si>
    <t>711</t>
  </si>
  <si>
    <t>712</t>
  </si>
  <si>
    <t>Кабель КСВЭВнг(А)-LS 1х2х0,8 ТПД Паритет; Стяжка 250мм - 1800ШТ.;		 Бирка кабельная У-136 треугольник 55х55х55 мм, У-136 - 180ШТ.;</t>
  </si>
  <si>
    <t>713</t>
  </si>
  <si>
    <t>714</t>
  </si>
  <si>
    <t>715</t>
  </si>
  <si>
    <t>Крепления (шт) Держатель с защелкой, д.16мм, 51016, ДКС</t>
  </si>
  <si>
    <t>716</t>
  </si>
  <si>
    <t>717</t>
  </si>
  <si>
    <t>718</t>
  </si>
  <si>
    <t>719</t>
  </si>
  <si>
    <t>ДП: !!!!!!!!!;</t>
  </si>
  <si>
    <t>720</t>
  </si>
  <si>
    <t>721</t>
  </si>
  <si>
    <t>722</t>
  </si>
  <si>
    <t>723</t>
  </si>
  <si>
    <t xml:space="preserve">Труба стальная ВГП 32х3,2мм ГОСТ 3262-75 </t>
  </si>
  <si>
    <t>724</t>
  </si>
  <si>
    <t xml:space="preserve">Пена монтажная 750мл, TYTAN PROFESSIONAL B1 GUN PU-FOAM, Selena </t>
  </si>
  <si>
    <t>725</t>
  </si>
  <si>
    <t>Пена терморасширяющаяся противопожарная СР 660, Hilti</t>
  </si>
  <si>
    <t>726</t>
  </si>
  <si>
    <t xml:space="preserve">Пусконаладочные работы, АОВ, </t>
  </si>
  <si>
    <t>727</t>
  </si>
  <si>
    <t>Система оповещения и управления эвакуацией (СОУЭ)</t>
  </si>
  <si>
    <t>728</t>
  </si>
  <si>
    <t>ДП: Стойка СОУЭ SO1. ;</t>
  </si>
  <si>
    <t>729</t>
  </si>
  <si>
    <t>Шкаф телекоммуникационный напольный 19", 24U Sonar RRM-024M, ООО «РУБЕЖ»</t>
  </si>
  <si>
    <t>730</t>
  </si>
  <si>
    <t>Блок розеток 19" Sonar RD-8, RBZ-296713, ООО «РУБЕЖ»</t>
  </si>
  <si>
    <t>731</t>
  </si>
  <si>
    <t>Модуль вентиляторный на заднюю панель шкафов RRM и STAND Sonar RBV-024 (v2), RBZ-246083, ООО «РУБЕЖ»</t>
  </si>
  <si>
    <t>732</t>
  </si>
  <si>
    <t>Фальшпанель 19” 1U Sonar SBP-001, RBZ-251992, ООО «РУБЕЖ»</t>
  </si>
  <si>
    <t>733</t>
  </si>
  <si>
    <t>Фальшпанель 19” 2U Sonar SBP-002, RBZ-035267, ООО «РУБЕЖ»</t>
  </si>
  <si>
    <t>734</t>
  </si>
  <si>
    <t>ДП: Стойка СОУЭ SO1 ;</t>
  </si>
  <si>
    <t>735</t>
  </si>
  <si>
    <t>Коммутатор PoE 8 портов Sonar SNA-800, RBZ-296597, ООО «РУБЕЖ»</t>
  </si>
  <si>
    <t>736</t>
  </si>
  <si>
    <t>ДП: Стойка СОУЭ SO1
;</t>
  </si>
  <si>
    <t>737</t>
  </si>
  <si>
    <t>Конвертер DAP-IP Sonar SNCA-8002, RBZ-281438, ООО «РУБЕЖ»</t>
  </si>
  <si>
    <t>738</t>
  </si>
  <si>
    <t>ДП: Стойка СОУЭ SO1
;</t>
  </si>
  <si>
    <t>739</t>
  </si>
  <si>
    <t>Устройство зарядное 19" 24В Sonar SBC-3250, RBZ-237220, ООО «РУБЕЖ»</t>
  </si>
  <si>
    <t>740</t>
  </si>
  <si>
    <t>ДП: Стойка СОУЭ SO1;</t>
  </si>
  <si>
    <t>741</t>
  </si>
  <si>
    <t>Блок управления вентилятором, с креплением на заднюю панель шкафов Sonar SAB-1112-SE, RBZ-296719, ООО «РУБЕЖ»</t>
  </si>
  <si>
    <t>742</t>
  </si>
  <si>
    <t>743</t>
  </si>
  <si>
    <t xml:space="preserve">Блок распределения основного питания по стойке оповещения Sonar RDIP-50A, RBZ-035207, ООО «РУБЕЖ» </t>
  </si>
  <si>
    <t>744</t>
  </si>
  <si>
    <t>745</t>
  </si>
  <si>
    <t xml:space="preserve">Блок АКБ 2U 19" 24В 25Ач Sonar SBB-2425, RBZ-235744, ООО «РУБЕЖ» </t>
  </si>
  <si>
    <t>746</t>
  </si>
  <si>
    <t xml:space="preserve">Блок АКБ 2U 19" 24В 45Ач Sonar SBB-2450, RBZ-219642, ООО «РУБЕЖ» </t>
  </si>
  <si>
    <t>747</t>
  </si>
  <si>
    <t xml:space="preserve">Монтаж изолятора шлейфа, </t>
  </si>
  <si>
    <t>748</t>
  </si>
  <si>
    <t>Изолятор шлейфа ИЗ-1-R3, RBZ-337647, ООО «РУБЕЖ»</t>
  </si>
  <si>
    <t>749</t>
  </si>
  <si>
    <t xml:space="preserve">Монтаж прибора управления оповещением о пожаре, </t>
  </si>
  <si>
    <t>750</t>
  </si>
  <si>
    <t xml:space="preserve">Прибор управления оповещением пожарный Sonar SPM-B10050-AR, RBZ-219758, ООО «РУБЕЖ» </t>
  </si>
  <si>
    <t>751</t>
  </si>
  <si>
    <t xml:space="preserve">Монтаж устройства сопряжения, </t>
  </si>
  <si>
    <t>752</t>
  </si>
  <si>
    <t xml:space="preserve">Устройство сопряжения с РСО г. Москвы, УС-2 в сборе Устройство  сопряжения  с  РСО  г.  Москвы  "УС-2"  комплектация  с  БАО-300(60)  в  составе:                                         -  телекоммуникационный  шкаф  19"(16U),  765х600х275мм  (ВхШхГ)                                                                                    -  фальш-панели  (комплект)                                                                    
-  кронштейн  с  блоком  оповещения  БСМС-VT  в  корпусе  с  БП  и  АКБ  1,2Ач                                                                                         -  кронштейн  с  блоком  оповещения  АПУ  БАО-300(60)                 
-  блок  коммутации  БК1-3  исп.  К  (коммутируемый)                     
-  блок  на  6  розеток  с  автоматическим  выключателем  на  6А
ИнформТелесеть
</t>
  </si>
  <si>
    <t>753</t>
  </si>
  <si>
    <t>754</t>
  </si>
  <si>
    <t>Прибор управления оповещением пожарный Sonar SPM-B10050-AW, RBZ-219759, ООО «РУБЕЖ»</t>
  </si>
  <si>
    <t>755</t>
  </si>
  <si>
    <t>Кожух для моноблоков настенного исполнения SPM-Cover, RBZ-286070, ООО «РУБЕЖ»</t>
  </si>
  <si>
    <t>756</t>
  </si>
  <si>
    <t>757</t>
  </si>
  <si>
    <t>Прибор управления оповещением пожарный Sonar  SMPM-100, RBZ-380166, ООО  «РУБЕЖ»</t>
  </si>
  <si>
    <t>758</t>
  </si>
  <si>
    <t>Микрофон внешний Sonar  SM-03, RBZ-385128, ООО  «РУБЕЖ»</t>
  </si>
  <si>
    <t>759</t>
  </si>
  <si>
    <t xml:space="preserve">Монтаж конвертера, </t>
  </si>
  <si>
    <t>760</t>
  </si>
  <si>
    <t>Конвертер интерфейса считывателей Sonar SNCA-8002, RBZ-281438, ООО «РУБЕЖ»</t>
  </si>
  <si>
    <t>761</t>
  </si>
  <si>
    <t>762</t>
  </si>
  <si>
    <t>Бокс резервного электропитания 12В 2х40Ач Sonar SPM-Box, RBZ-286069, ООО «РУБЕЖ»</t>
  </si>
  <si>
    <t>763</t>
  </si>
  <si>
    <t>Аккумулятор герметичный 12В 40Ач DT 1240, DELTA</t>
  </si>
  <si>
    <t>764</t>
  </si>
  <si>
    <t>765</t>
  </si>
  <si>
    <t>Аккумулятор герметичный 12В 7Ач DT  1207, DELTA</t>
  </si>
  <si>
    <t>766</t>
  </si>
  <si>
    <t xml:space="preserve">Монтаж громкоговорителей, </t>
  </si>
  <si>
    <t>767</t>
  </si>
  <si>
    <t>Система акустическая потолочная Sonar SCS-03, RBZ-152700, ООО «РУБЕЖ»</t>
  </si>
  <si>
    <t>768</t>
  </si>
  <si>
    <t>769</t>
  </si>
  <si>
    <t>Громкоговоритель трансляционный настенный Sonar SW-03, RBZ-610299, ООО «РУБЕЖ»</t>
  </si>
  <si>
    <t>770</t>
  </si>
  <si>
    <t>Фильтр оконечный Sonar SFT-2300-M, RBZ-164187, ООО «РУБЕЖ»</t>
  </si>
  <si>
    <t>771</t>
  </si>
  <si>
    <t xml:space="preserve">Монтаж объектовой станции, </t>
  </si>
  <si>
    <t>772</t>
  </si>
  <si>
    <t>Станция объектовая РСПИ исп.2 ИнформТелесеть</t>
  </si>
  <si>
    <t>773</t>
  </si>
  <si>
    <t>774</t>
  </si>
  <si>
    <t>Антенна всенаправленная UHF A-100MU, ООО "Сателлит ЛТД"</t>
  </si>
  <si>
    <t>775</t>
  </si>
  <si>
    <t xml:space="preserve">Монтаж мачты для антенн, </t>
  </si>
  <si>
    <t>776</t>
  </si>
  <si>
    <t>Мачта антенная L=5000мм МА50, ООО "Сателлит ЛТД"</t>
  </si>
  <si>
    <t>777</t>
  </si>
  <si>
    <t>Кронштейн монтажный МА40, ООО "Сателлит ЛТД"</t>
  </si>
  <si>
    <t>778</t>
  </si>
  <si>
    <t>779</t>
  </si>
  <si>
    <t>Грозозащита 50 Ом N-722Q, Radiolab</t>
  </si>
  <si>
    <t>780</t>
  </si>
  <si>
    <t>781</t>
  </si>
  <si>
    <t>Разъем T-112/5D (TNC-male) T-112/5D, Radiolab</t>
  </si>
  <si>
    <t>782</t>
  </si>
  <si>
    <t>Разъем N N-112/5D, Radiolab</t>
  </si>
  <si>
    <t>783</t>
  </si>
  <si>
    <t>784</t>
  </si>
  <si>
    <t>Коробка монтажная огнестойкая КМ-О (4к)-IP41-m, Гефест</t>
  </si>
  <si>
    <t>785</t>
  </si>
  <si>
    <t>ДП: объем подтвержден ДП;</t>
  </si>
  <si>
    <t>786</t>
  </si>
  <si>
    <t>Кабель КСРВнг(А)-FRLS 1х2х0,97 ООО "ТПД Паритет"</t>
  </si>
  <si>
    <t>ДП: Соединение БСМС и ПАК Стрелец-Мониторинг
;</t>
  </si>
  <si>
    <t>787</t>
  </si>
  <si>
    <t xml:space="preserve">Прокладка кабеля слаботочных систем, в гофрированной трубе, сечением от 10 мм2 до 50 мм2 вкл., </t>
  </si>
  <si>
    <t>788</t>
  </si>
  <si>
    <t>Кабель КСРВнг(А)-FRLS 1х2х1,5 ООО "ТПД Паритет"</t>
  </si>
  <si>
    <t>789</t>
  </si>
  <si>
    <t>790</t>
  </si>
  <si>
    <t>Кабель КСРВнг(А)-FRLS 1х2х0,75 ООО "ТПД Паритет"</t>
  </si>
  <si>
    <t>791</t>
  </si>
  <si>
    <t xml:space="preserve">Прокладка кабеля слаботочных систем, в металлорукаве, сечением до 10 мм2 вкл., </t>
  </si>
  <si>
    <t>792</t>
  </si>
  <si>
    <t xml:space="preserve">Кабель РК50-4,8-320нг(С)-HF </t>
  </si>
  <si>
    <t>ДП: "Соединение ПАК Стрелец-Мониторинг и Антенну"
;</t>
  </si>
  <si>
    <t>793</t>
  </si>
  <si>
    <t>794</t>
  </si>
  <si>
    <t>Кабель U/UTP Cat5e PVCLS нг(А)-FRLS 4х2х0,52 ООО "ТПД Паритет"</t>
  </si>
  <si>
    <t>795</t>
  </si>
  <si>
    <t>ДП: объем предоставлен ДП;</t>
  </si>
  <si>
    <t>796</t>
  </si>
  <si>
    <t>Кабель КСРВнг(А)-FRLS 1х2х1,38 Паритет</t>
  </si>
  <si>
    <t>797</t>
  </si>
  <si>
    <t>798</t>
  </si>
  <si>
    <t>Труба гофрированная ПВХ D20 с протяжкой 91920, ООО «ДКС»</t>
  </si>
  <si>
    <t>799</t>
  </si>
  <si>
    <t>Муфта ПЭ для гофрированных труб D20 50820, ООО «ДКС»</t>
  </si>
  <si>
    <t>800</t>
  </si>
  <si>
    <t>Крепления (шт) Дюбель-хомут (клоп) однолапковый (100 штук в упаковке) 19-20 мм, D=19-20, Гефест</t>
  </si>
  <si>
    <t>801</t>
  </si>
  <si>
    <t>Устройство кабеленесущих конструкций из металлорукава гофрированного, D, мм - 20</t>
  </si>
  <si>
    <t>802</t>
  </si>
  <si>
    <t>Металлорукав в герметичной ПВХ изоляции DN20 без протяжки РЗ-ЦП, МР-1001020-050, Урал Пак</t>
  </si>
  <si>
    <t>803</t>
  </si>
  <si>
    <t>Крепления (шт) Резьбовой крепежный элемент с наружной резьбой, РКн-20, АР-02020-001, Урал Пак</t>
  </si>
  <si>
    <t>804</t>
  </si>
  <si>
    <t>805</t>
  </si>
  <si>
    <t>806</t>
  </si>
  <si>
    <t>Пена двухкомпонентная огнезащитная DN1201, ООО «ДКС»</t>
  </si>
  <si>
    <t>807</t>
  </si>
  <si>
    <t xml:space="preserve">Пусконаладочные работы, СОУЭ, </t>
  </si>
  <si>
    <t>808</t>
  </si>
  <si>
    <t>Автоматическая пожарная сигнализация (АПС)</t>
  </si>
  <si>
    <t>809</t>
  </si>
  <si>
    <t xml:space="preserve">Монтаж прибора приемно-контрольного охранно-пожарного, </t>
  </si>
  <si>
    <t>ДП: объемы не подтверждаю, объемы не согласованы. Ред. формат не соответствует, нет возможности оперативно проверить объем оборудования СПС, СПА. Так как нужно запускать тендер - объемы из спецификации проекта;</t>
  </si>
  <si>
    <t>810</t>
  </si>
  <si>
    <t>Прибор приемно-контрольный и управления R3-Рубеж-2ОП, RBZ-319538, ООО «РУБЕЖ»</t>
  </si>
  <si>
    <t>811</t>
  </si>
  <si>
    <t>812</t>
  </si>
  <si>
    <t>Блок индикации и управления R3-Рубеж-БИУ, RBZ-319531, ООО «РУБЕЖ»</t>
  </si>
  <si>
    <t>813</t>
  </si>
  <si>
    <t xml:space="preserve">Монтаж прибора индикации, </t>
  </si>
  <si>
    <t>814</t>
  </si>
  <si>
    <t>Прибор индикации и управления центральный с ПО и ключом защиты ЦПИУ «Рубеж» исп. 2, RBZ-343232, ООО «РУБЕЖ» для ОДС</t>
  </si>
  <si>
    <t>815</t>
  </si>
  <si>
    <t xml:space="preserve">Монтаж модуля сопряжения, </t>
  </si>
  <si>
    <t>816</t>
  </si>
  <si>
    <t>Модуль сопряжения R3-MC-E, RBZ-377219, ООО «РУБЕЖ»</t>
  </si>
  <si>
    <t>817</t>
  </si>
  <si>
    <t>818</t>
  </si>
  <si>
    <t>Источник вторичного электропитания резервированный 24В 17Ач ИВЭПР 24/2,5 RS-R3 2х17 БР, RBZ-227712, ООО «РУБЕЖ»</t>
  </si>
  <si>
    <t>819</t>
  </si>
  <si>
    <t>Аккумулятор герметичный 12В 17Ач DT 1217, DELTA</t>
  </si>
  <si>
    <t>820</t>
  </si>
  <si>
    <t>821</t>
  </si>
  <si>
    <t>Бокс резервного электропитания 12В 2х40Ач БР 12 2х40, RBZ-045569, ООО «РУБЕЖ»</t>
  </si>
  <si>
    <t>822</t>
  </si>
  <si>
    <t>823</t>
  </si>
  <si>
    <t>824</t>
  </si>
  <si>
    <t>Источник вторичного электропитания резервированный 24В 2х12Ач ИВЭПР 24/2,5 RS-R3 2х12 БР, RBZ-227711, ООО «РУБЕЖ»</t>
  </si>
  <si>
    <t>825</t>
  </si>
  <si>
    <t>Аккумулятор герметичный 12В 12Ач DT 1212, DELTA</t>
  </si>
  <si>
    <t>826</t>
  </si>
  <si>
    <t>827</t>
  </si>
  <si>
    <t>Источник вторичного электропитания резервированный 24В 2х7Ач ИВЭПР 24/2,5 RS-R3 2х7 БР, RBZ-221327, ООО «РУБЕЖ»</t>
  </si>
  <si>
    <t>828</t>
  </si>
  <si>
    <t>Аккумулятор герметичный 12В 7Ач DT 1207, DELTA</t>
  </si>
  <si>
    <t>829</t>
  </si>
  <si>
    <t xml:space="preserve">Монтаж извещателей ПС автоматических: тепловой, дымовой, световой, </t>
  </si>
  <si>
    <t>830</t>
  </si>
  <si>
    <t>Извещатель пожарный дымовой оптико-электронный адресно-аналоговый ИП 212-64-R3 W1.02, RBZ-337454, ООО «РУБЕЖ»</t>
  </si>
  <si>
    <t>831</t>
  </si>
  <si>
    <t>832</t>
  </si>
  <si>
    <t>Извещатель пожарный дымовой оптико-электронный адресно-аналоговый ИП 212-64-R3 W2.02, RBZ-342655, ООО «РУБЕЖ»</t>
  </si>
  <si>
    <t>833</t>
  </si>
  <si>
    <t xml:space="preserve">Монтаж извещателей ПС ручных, </t>
  </si>
  <si>
    <t>834</t>
  </si>
  <si>
    <t>Извещатель пожарный ручной адресный ИПР 513-11ИКЗ-А-R3, RBZ-301159, ООО «РУБЕЖ»</t>
  </si>
  <si>
    <t>835</t>
  </si>
  <si>
    <t>836</t>
  </si>
  <si>
    <t>Извещатель пожарный дымовой оптико-электронный автономный ИП 212-50М2, RBZ-054973, ООО «РУБЕЖ»</t>
  </si>
  <si>
    <t>837</t>
  </si>
  <si>
    <t>838</t>
  </si>
  <si>
    <t>Извещатель охранный магнитоуправляемый адресный ИО10220-2, RBZ-340276, ООО «РУБЕЖ»</t>
  </si>
  <si>
    <t>839</t>
  </si>
  <si>
    <t xml:space="preserve">Монтаж оповещателей комбинированных, </t>
  </si>
  <si>
    <t>840</t>
  </si>
  <si>
    <t>Оповещатель световой стробоскопический Маяк-24-СТ, 133601323, Электротехника и автоматика</t>
  </si>
  <si>
    <t>841</t>
  </si>
  <si>
    <t>842</t>
  </si>
  <si>
    <t>Оповещатель охранно-пожарный свето-звуковой ОПОП 124-7 24В, RBZ-226682, ООО «РУБЕЖ»</t>
  </si>
  <si>
    <t>843</t>
  </si>
  <si>
    <t xml:space="preserve">Монтаж модуля управления дымоудалением, </t>
  </si>
  <si>
    <t>844</t>
  </si>
  <si>
    <t>Модуль управления клапаном дымоудаления МДУ-1С-R3, RBZ-337610, ООО «РУБЕЖ»</t>
  </si>
  <si>
    <t>845</t>
  </si>
  <si>
    <t xml:space="preserve">Монтаж устройства дистанционного пуска, </t>
  </si>
  <si>
    <t>846</t>
  </si>
  <si>
    <t>Устройство дистанционного пуска адресное "Пуск дымоудаления" УДП 513-11-R3, «Пуск дымоудаления», ООО «РУБЕЖ»</t>
  </si>
  <si>
    <t>847</t>
  </si>
  <si>
    <t>848</t>
  </si>
  <si>
    <t>Устройство дистанционного пуска адресное "Пуск пожаротушения" УДП 513-11-R3, «Пуск пожаротушения», ООО «РУБЕЖ»</t>
  </si>
  <si>
    <t>849</t>
  </si>
  <si>
    <t xml:space="preserve">Монтаж модуля адресного релейного, </t>
  </si>
  <si>
    <t>850</t>
  </si>
  <si>
    <t>Модуль адресный релейный PM-4-R3, RBZ-337434, ООО «РУБЕЖ»</t>
  </si>
  <si>
    <t>851</t>
  </si>
  <si>
    <t>Модуль адресный релейный PM-4К-R3, RBZ-337438, ООО «РУБЕЖ»</t>
  </si>
  <si>
    <t>852</t>
  </si>
  <si>
    <t>Модуль адресный релейный PM-1-R3, RBZ-337646, ООО «РУБЕЖ»</t>
  </si>
  <si>
    <t>853</t>
  </si>
  <si>
    <t>Модуль адресный релейный PM-1С-R3, RBZ-337648, ООО «РУБЕЖ»</t>
  </si>
  <si>
    <t>854</t>
  </si>
  <si>
    <t xml:space="preserve">Монтаж адресной метки, </t>
  </si>
  <si>
    <t>855</t>
  </si>
  <si>
    <t>Метка адресная (4 шлейфа) AM-4-R3, RBZ-337644, ООО «РУБЕЖ»</t>
  </si>
  <si>
    <t>856</t>
  </si>
  <si>
    <t>857</t>
  </si>
  <si>
    <t>Метка адресная AM-1-R3, RBZ-337436, ООО «РУБЕЖ»</t>
  </si>
  <si>
    <t>858</t>
  </si>
  <si>
    <t>859</t>
  </si>
  <si>
    <t>Изолятор шлейфа ИЗ-2О-R3, RBZ-477618, ООО «РУБЕЖ»</t>
  </si>
  <si>
    <t>860</t>
  </si>
  <si>
    <t>861</t>
  </si>
  <si>
    <t>ДП: Подкл. СМК и ТД СКУД
;</t>
  </si>
  <si>
    <t>862</t>
  </si>
  <si>
    <t>ДП: объемы не подтверждаю,объемы не согласованы. Ред. формат не соответствует, нет возможности оперативно проверить объем оборудования СПС, СПА. Так как нужно запускать тендер - объемы из спецификации проекта;</t>
  </si>
  <si>
    <t>863</t>
  </si>
  <si>
    <t>Кабель F/UTP Cat5e PVCLS НГ(А)-FRLS 2х2х0,52 ООО "ТПД Паритет"</t>
  </si>
  <si>
    <t>ДП: Линия связи R3-Link
;</t>
  </si>
  <si>
    <t>864</t>
  </si>
  <si>
    <t>865</t>
  </si>
  <si>
    <t>ДП: Линия связи АЛС
;</t>
  </si>
  <si>
    <t>866</t>
  </si>
  <si>
    <t>867</t>
  </si>
  <si>
    <t>Кабель КСРВнг(А)-FRLS 1х2х1,38 ООО "ТПД Паритет"</t>
  </si>
  <si>
    <t>ДП: "Линия питания 12/24"
;</t>
  </si>
  <si>
    <t>868</t>
  </si>
  <si>
    <t>869</t>
  </si>
  <si>
    <t>Кабель КСРВнг(А)-FRLS 4х2х0,80 ООО "ТПД Паритет"</t>
  </si>
  <si>
    <t>ДП: "Подкл. ШУ ПДВ к АМ-4"
;</t>
  </si>
  <si>
    <t>870</t>
  </si>
  <si>
    <t>871</t>
  </si>
  <si>
    <t>Кабель КСРВнг(А)-FRLS 2х2х0,80 ООО "ТПД Паритет"</t>
  </si>
  <si>
    <t>ДП: "Подкл. СПЖ к АМ-4 и кн. Пост к МДУ"
;</t>
  </si>
  <si>
    <t>872</t>
  </si>
  <si>
    <t>873</t>
  </si>
  <si>
    <t>Кабель КСРВнг(А)-FRLS 1х2х0,80 ООО "ТПД Паритет"</t>
  </si>
  <si>
    <t>ДП: "Подкл. ШУ ПДВ к РМ-1, ДППК к АМ-4, подкл. РМ-1С"
;</t>
  </si>
  <si>
    <t>874</t>
  </si>
  <si>
    <t>ДП: объемы предоставлены ДП;</t>
  </si>
  <si>
    <t>875</t>
  </si>
  <si>
    <t>Кабель U/UTP Cat5e PVCLS нг(А)-FRLS 4х2х0,52 Паритет</t>
  </si>
  <si>
    <t>876</t>
  </si>
  <si>
    <t>ДП: объемы не подтверждаю,объемы не согласованы. Нет возможности проверить объем материалов ПД и ДУ на кровле. Нет планов кровли, прошу добавить. Так как нужно запускать тендер - объемы уточнены ДП;</t>
  </si>
  <si>
    <t>877</t>
  </si>
  <si>
    <t>878</t>
  </si>
  <si>
    <t>ДП:  объемы не подтверждаю,объемы не согласованы. Ред. формат не соответствует, нет возможности оперативно проверить объем оборудования СПС, СПА. Так как нужно запускать тендер - объемы из спецификации проекта;</t>
  </si>
  <si>
    <t>879</t>
  </si>
  <si>
    <t>880</t>
  </si>
  <si>
    <t>881</t>
  </si>
  <si>
    <t>882</t>
  </si>
  <si>
    <t>Пена двухкомпонентная огнезащитная DN1201, ООО  «ДКС»</t>
  </si>
  <si>
    <t>883</t>
  </si>
  <si>
    <t xml:space="preserve">Монтаж реле, </t>
  </si>
  <si>
    <t>ДП: Материалы и аксессуары для автоматизации систем ПД/ДУ. ;</t>
  </si>
  <si>
    <t>884</t>
  </si>
  <si>
    <t>Реле давления дифференциальное, 30-500Па DPS-500N, Polar Bear</t>
  </si>
  <si>
    <t>885</t>
  </si>
  <si>
    <t>886</t>
  </si>
  <si>
    <t>Датчик температуры канальный NTC 10K, GST-4-NTC10K, Россия</t>
  </si>
  <si>
    <t>887</t>
  </si>
  <si>
    <t>ДП: Материалы и аксессуары для автоматизации систем ПД и ДУ на кровле. объемы не подтверждаю,объемы не согласованы. Нет возможности проверить объем материалов ПД и ДУ на кровле. Нет планов кровли, прошу добавить. Так как нужно запускать тендер - объемы и;</t>
  </si>
  <si>
    <t>888</t>
  </si>
  <si>
    <t>Шкаф управления электроприводной задвижкой ШУЗ ШУЗ-1,5-00-R3, ООО «РУБЕЖ»</t>
  </si>
  <si>
    <t>889</t>
  </si>
  <si>
    <t>ДП: объемы не подтверждаю,объемы не согласованы. Нет возможности проверить объем материалов ПД и ДУ на кровле. Нет планов кровли, прошу добавить. Так как нужно запускать тендер - объемы из спецификации проекта;</t>
  </si>
  <si>
    <t>890</t>
  </si>
  <si>
    <t>Коробка монтажная огнестойкая КМ-О (8к)-IP66, УТ000024921, Гефест</t>
  </si>
  <si>
    <t>ДП: Материалы и аксессуары для автоматизации систем ПД и ДУ на кровле
;</t>
  </si>
  <si>
    <t>891</t>
  </si>
  <si>
    <t>ДП: Материалы и аксессуары для автоматизации систем ПД и ДУ на кровле. объемы не подтверждаю,объемы не согласованы. Нет возможности проверить объем материалов ПД и ДУ на кровле. Нет планов кровли, прошу добавить. Так как нужно запускать тендер - объем по;</t>
  </si>
  <si>
    <t>892</t>
  </si>
  <si>
    <t>Кабель КСРВнг(А)-FRLS 1х2х1,13 ООО "ТПД Паритет"</t>
  </si>
  <si>
    <t>893</t>
  </si>
  <si>
    <t>894</t>
  </si>
  <si>
    <t>895</t>
  </si>
  <si>
    <t>ДП: кабель, который идет к канальным датчикам температуры и реле перепада давления. объем предоставлен  ДП;</t>
  </si>
  <si>
    <t>896</t>
  </si>
  <si>
    <t>Кабель КПСЭнг(А)-FRLS 1х2х1,13 Паритет</t>
  </si>
  <si>
    <t>897</t>
  </si>
  <si>
    <t>898</t>
  </si>
  <si>
    <t>899</t>
  </si>
  <si>
    <t>900</t>
  </si>
  <si>
    <t>901</t>
  </si>
  <si>
    <t>902</t>
  </si>
  <si>
    <t>Крепеж для труб Резьбовой крепежный элемент с наружной резьбой, РКн-20, АР-02020-001, Урал Пак</t>
  </si>
  <si>
    <t>903</t>
  </si>
  <si>
    <t xml:space="preserve">Пусконаладочные работы, АПС, </t>
  </si>
  <si>
    <t>ИТОГО, руб. с учетом НДС</t>
  </si>
  <si>
    <t>В том числе НДС</t>
  </si>
  <si>
    <t>ИТОГО, руб. без учета НДС</t>
  </si>
  <si>
    <t xml:space="preserve">Цена за ед. изм., RUB, ОСН, с учетом НДС </t>
  </si>
  <si>
    <t>Стоимость всего, RUB, ОСН, с учетом НДС 2</t>
  </si>
  <si>
    <t xml:space="preserve">Комментарий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</si>
</sst>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#####"/>
  </numFmts>
  <fonts count="14" x14ac:knownFonts="1">
    <font>
      <sz val="11"/>
      <color rgb="FF000000"/>
      <name val="Calibri"/>
      <family val="2"/>
    </font>
    <font>
      <sz val="11"/>
      <name val="Calibri"/>
      <family val="2"/>
    </font>
    <font>
      <b/>
      <sz val="14"/>
      <name val="Times New Roman"/>
      <family val="1"/>
    </font>
    <font>
      <b/>
      <sz val="14"/>
      <color rgb="FF000000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Arial Cyr"/>
    </font>
    <font>
      <b/>
      <sz val="12"/>
      <name val="Arial Cyr"/>
    </font>
    <font>
      <b/>
      <sz val="12"/>
      <color rgb="FFFF0000"/>
      <name val="Times New Roman"/>
      <family val="1"/>
    </font>
    <font>
      <i/>
      <sz val="12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AEEF3"/>
        <bgColor rgb="FFF2F2F2"/>
      </patternFill>
    </fill>
    <fill>
      <patternFill patternType="solid">
        <fgColor rgb="FFA6A6A6"/>
        <bgColor rgb="FF9999FF"/>
      </patternFill>
    </fill>
    <fill>
      <patternFill patternType="solid">
        <fgColor rgb="FFFBE5D6"/>
        <bgColor rgb="FFF2F2F2"/>
      </patternFill>
    </fill>
    <fill>
      <patternFill patternType="solid">
        <fgColor rgb="FFFABF8F"/>
        <bgColor rgb="FFE6B9B8"/>
      </patternFill>
    </fill>
    <fill>
      <patternFill patternType="solid">
        <fgColor rgb="FFFCD5B4"/>
        <bgColor rgb="FFFBE5D6"/>
      </patternFill>
    </fill>
    <fill>
      <patternFill patternType="solid">
        <fgColor rgb="FFD9D9D9"/>
        <bgColor rgb="FFDAEEF3"/>
      </patternFill>
    </fill>
    <fill>
      <patternFill patternType="solid">
        <fgColor rgb="FFE6B9B8"/>
        <bgColor rgb="FFFABF8F"/>
      </patternFill>
    </fill>
    <fill>
      <patternFill patternType="solid">
        <fgColor rgb="FFFFFF00"/>
        <bgColor rgb="FFF2F2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3" fillId="0" borderId="0" applyBorder="0" applyProtection="0"/>
  </cellStyleXfs>
  <cellXfs count="8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165" fontId="5" fillId="7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4" fontId="5" fillId="7" borderId="1" xfId="0" applyNumberFormat="1" applyFont="1" applyFill="1" applyBorder="1" applyAlignment="1">
      <alignment horizontal="center" vertical="center" wrapText="1"/>
    </xf>
    <xf numFmtId="4" fontId="9" fillId="7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49" fontId="5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164" fontId="5" fillId="8" borderId="1" xfId="0" applyNumberFormat="1" applyFont="1" applyFill="1" applyBorder="1" applyAlignment="1">
      <alignment horizontal="center" vertical="center" wrapText="1"/>
    </xf>
    <xf numFmtId="165" fontId="5" fillId="8" borderId="1" xfId="0" applyNumberFormat="1" applyFont="1" applyFill="1" applyBorder="1" applyAlignment="1">
      <alignment horizontal="center" vertical="center" wrapText="1"/>
    </xf>
    <xf numFmtId="4" fontId="5" fillId="8" borderId="1" xfId="0" applyNumberFormat="1" applyFont="1" applyFill="1" applyBorder="1" applyAlignment="1">
      <alignment horizontal="center" vertical="center" wrapText="1"/>
    </xf>
    <xf numFmtId="4" fontId="9" fillId="8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4" fontId="6" fillId="9" borderId="1" xfId="0" applyNumberFormat="1" applyFont="1" applyFill="1" applyBorder="1" applyAlignment="1">
      <alignment horizontal="center" vertical="center" wrapText="1"/>
    </xf>
    <xf numFmtId="4" fontId="6" fillId="4" borderId="1" xfId="0" applyNumberFormat="1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65" fontId="10" fillId="2" borderId="1" xfId="0" applyNumberFormat="1" applyFont="1" applyFill="1" applyBorder="1" applyAlignment="1">
      <alignment horizontal="center" vertical="center" wrapText="1"/>
    </xf>
    <xf numFmtId="4" fontId="10" fillId="4" borderId="1" xfId="0" applyNumberFormat="1" applyFont="1" applyFill="1" applyBorder="1" applyAlignment="1">
      <alignment horizontal="center" vertical="center" wrapText="1"/>
    </xf>
    <xf numFmtId="4" fontId="10" fillId="9" borderId="1" xfId="0" applyNumberFormat="1" applyFont="1" applyFill="1" applyBorder="1" applyAlignment="1">
      <alignment horizontal="center" vertical="center" wrapText="1"/>
    </xf>
    <xf numFmtId="4" fontId="10" fillId="2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4" fontId="5" fillId="1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4" fontId="11" fillId="0" borderId="1" xfId="1" applyNumberFormat="1" applyFont="1" applyBorder="1" applyAlignment="1" applyProtection="1">
      <alignment horizontal="center" vertical="center"/>
    </xf>
    <xf numFmtId="0" fontId="5" fillId="2" borderId="0" xfId="0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center" vertical="center"/>
    </xf>
    <xf numFmtId="4" fontId="5" fillId="2" borderId="0" xfId="0" applyNumberFormat="1" applyFont="1" applyFill="1" applyAlignment="1">
      <alignment horizontal="center" vertical="center"/>
    </xf>
    <xf numFmtId="0" fontId="8" fillId="2" borderId="0" xfId="0" applyFont="1" applyFill="1"/>
    <xf numFmtId="4" fontId="10" fillId="11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5" fillId="8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4" fontId="5" fillId="3" borderId="1" xfId="0" applyNumberFormat="1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2F2F2"/>
      <rgbColor rgb="FFDAEE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CD5B4"/>
      <rgbColor rgb="FFFBE5D6"/>
      <rgbColor rgb="FF99CCFF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XFD922"/>
  <sheetViews>
    <sheetView tabSelected="1" view="pageBreakPreview" zoomScale="60" zoomScaleNormal="100" workbookViewId="0">
      <selection activeCell="C922" sqref="C922"/>
    </sheetView>
  </sheetViews>
  <sheetFormatPr defaultColWidth="9.140625" defaultRowHeight="15" outlineLevelRow="3" outlineLevelCol="1" x14ac:dyDescent="0.25"/>
  <cols>
    <col min="1" max="1" width="13.140625" style="1" customWidth="1"/>
    <col min="2" max="2" width="15.42578125" style="1" customWidth="1"/>
    <col min="3" max="3" width="35.28515625" style="1" customWidth="1"/>
    <col min="4" max="4" width="55.140625" style="1" customWidth="1"/>
    <col min="5" max="5" width="19.28515625" style="1" customWidth="1"/>
    <col min="6" max="6" width="26.140625" style="1" customWidth="1"/>
    <col min="7" max="7" width="9" style="1" customWidth="1"/>
    <col min="8" max="8" width="10.5703125" style="1" customWidth="1"/>
    <col min="9" max="9" width="18.7109375" style="1" customWidth="1"/>
    <col min="10" max="10" width="2" style="1" customWidth="1"/>
    <col min="11" max="12" width="18" style="1" customWidth="1" outlineLevel="1"/>
    <col min="13" max="13" width="18" style="1" customWidth="1"/>
    <col min="14" max="15" width="18" style="1" customWidth="1" outlineLevel="1"/>
    <col min="16" max="16" width="24" style="1" customWidth="1"/>
    <col min="17" max="17" width="49.7109375" style="1" customWidth="1" outlineLevel="1"/>
    <col min="18" max="18" width="43.85546875" style="1" customWidth="1"/>
    <col min="19" max="966" width="9.140625" style="1"/>
    <col min="16326" max="16384" width="11.5703125" customWidth="1"/>
  </cols>
  <sheetData>
    <row r="1" spans="1:18 16327:16384" ht="18.75" x14ac:dyDescent="0.3">
      <c r="B1" s="2"/>
      <c r="C1" s="2"/>
      <c r="D1" s="2"/>
      <c r="E1" s="3"/>
      <c r="F1" s="4" t="s">
        <v>0</v>
      </c>
      <c r="G1" s="4"/>
      <c r="H1" s="4" t="s">
        <v>0</v>
      </c>
      <c r="I1" s="4"/>
      <c r="J1" s="4"/>
      <c r="K1" s="4" t="s">
        <v>0</v>
      </c>
      <c r="L1" s="4" t="s">
        <v>0</v>
      </c>
      <c r="M1" s="4" t="s">
        <v>0</v>
      </c>
      <c r="N1" s="4" t="s">
        <v>0</v>
      </c>
      <c r="O1" s="4" t="s">
        <v>0</v>
      </c>
      <c r="P1" s="4"/>
      <c r="Q1" s="4" t="s">
        <v>0</v>
      </c>
      <c r="R1" s="4"/>
    </row>
    <row r="2" spans="1:18 16327:16384" ht="38.25" customHeight="1" x14ac:dyDescent="0.3">
      <c r="A2" s="80" t="s">
        <v>1</v>
      </c>
      <c r="B2" s="80"/>
      <c r="C2" s="81"/>
      <c r="D2" s="81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 16327:16384" ht="38.25" customHeight="1" x14ac:dyDescent="0.3">
      <c r="A3" s="80" t="s">
        <v>2</v>
      </c>
      <c r="B3" s="80"/>
      <c r="C3" s="81" t="s">
        <v>3</v>
      </c>
      <c r="D3" s="81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 16327:16384" ht="38.25" customHeight="1" x14ac:dyDescent="0.3">
      <c r="A4" s="80" t="s">
        <v>4</v>
      </c>
      <c r="B4" s="80"/>
      <c r="C4" s="81" t="s">
        <v>5</v>
      </c>
      <c r="D4" s="81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 16327:16384" ht="38.25" customHeight="1" x14ac:dyDescent="0.3">
      <c r="A5" s="80" t="s">
        <v>6</v>
      </c>
      <c r="B5" s="80"/>
      <c r="C5" s="81" t="s">
        <v>7</v>
      </c>
      <c r="D5" s="8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 16327:16384" ht="18.75" x14ac:dyDescent="0.3">
      <c r="A6" s="5"/>
      <c r="B6" s="5"/>
      <c r="C6" s="3"/>
      <c r="D6" s="5"/>
      <c r="E6" s="4"/>
      <c r="F6" s="4"/>
      <c r="G6" s="4"/>
      <c r="H6" s="4"/>
      <c r="I6" s="4" t="s">
        <v>0</v>
      </c>
      <c r="J6" s="4"/>
      <c r="K6" s="4"/>
      <c r="L6" s="4"/>
      <c r="M6" s="4"/>
      <c r="N6" s="4"/>
      <c r="O6" s="4"/>
      <c r="P6" s="4"/>
      <c r="Q6" s="4"/>
      <c r="R6" s="4"/>
    </row>
    <row r="7" spans="1:18 16327:16384" ht="18.75" x14ac:dyDescent="0.3">
      <c r="A7" s="3" t="s">
        <v>8</v>
      </c>
      <c r="B7" s="5"/>
      <c r="C7" s="3"/>
      <c r="D7" s="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 16327:16384" ht="18.75" x14ac:dyDescent="0.3">
      <c r="A8" s="82"/>
      <c r="B8" s="82"/>
      <c r="C8" s="72" t="s">
        <v>9</v>
      </c>
      <c r="D8" s="7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 16327:16384" ht="18.75" x14ac:dyDescent="0.3">
      <c r="A9" s="71"/>
      <c r="B9" s="71"/>
      <c r="C9" s="72" t="s">
        <v>10</v>
      </c>
      <c r="D9" s="72"/>
      <c r="E9" s="5"/>
      <c r="F9" s="5"/>
      <c r="G9" s="5"/>
      <c r="H9" s="5"/>
      <c r="I9" s="5"/>
      <c r="J9" s="6"/>
      <c r="K9" s="4"/>
      <c r="L9" s="4"/>
      <c r="M9" s="4"/>
      <c r="N9" s="4"/>
      <c r="O9" s="4"/>
      <c r="P9" s="4"/>
      <c r="Q9" s="4"/>
      <c r="R9" s="4"/>
    </row>
    <row r="10" spans="1:18 16327:16384" ht="29.25" customHeight="1" x14ac:dyDescent="0.25">
      <c r="A10" s="7"/>
      <c r="B10" s="8"/>
      <c r="C10" s="8"/>
      <c r="D10" s="9"/>
      <c r="E10" s="9"/>
      <c r="F10" s="9"/>
      <c r="G10" s="73" t="s">
        <v>11</v>
      </c>
      <c r="H10" s="73"/>
      <c r="I10" s="73"/>
      <c r="J10" s="10"/>
      <c r="K10" s="74"/>
      <c r="L10" s="74"/>
      <c r="M10" s="74"/>
      <c r="N10" s="74"/>
      <c r="O10" s="74"/>
      <c r="P10" s="74"/>
      <c r="Q10" s="74"/>
      <c r="R10" s="10"/>
    </row>
    <row r="11" spans="1:18 16327:16384" ht="29.25" customHeight="1" x14ac:dyDescent="0.25">
      <c r="A11" s="7"/>
      <c r="B11" s="8"/>
      <c r="C11" s="8"/>
      <c r="D11" s="9"/>
      <c r="E11" s="9"/>
      <c r="F11" s="9"/>
      <c r="G11" s="73" t="s">
        <v>12</v>
      </c>
      <c r="H11" s="73"/>
      <c r="I11" s="73"/>
      <c r="J11" s="10"/>
      <c r="K11" s="74"/>
      <c r="L11" s="74"/>
      <c r="M11" s="74"/>
      <c r="N11" s="74"/>
      <c r="O11" s="74"/>
      <c r="P11" s="74"/>
      <c r="Q11" s="74"/>
      <c r="R11" s="10"/>
    </row>
    <row r="12" spans="1:18 16327:16384" ht="29.25" customHeight="1" x14ac:dyDescent="0.25">
      <c r="A12" s="7"/>
      <c r="B12" s="8"/>
      <c r="C12" s="8"/>
      <c r="D12" s="9"/>
      <c r="E12" s="9"/>
      <c r="F12" s="9"/>
      <c r="G12" s="73" t="s">
        <v>13</v>
      </c>
      <c r="H12" s="73"/>
      <c r="I12" s="73"/>
      <c r="J12" s="10"/>
      <c r="K12" s="74"/>
      <c r="L12" s="74"/>
      <c r="M12" s="74"/>
      <c r="N12" s="74"/>
      <c r="O12" s="74"/>
      <c r="P12" s="74"/>
      <c r="Q12" s="74"/>
      <c r="R12" s="10"/>
    </row>
    <row r="13" spans="1:18 16327:16384" s="15" customFormat="1" ht="36.75" customHeight="1" x14ac:dyDescent="0.25">
      <c r="A13" s="75" t="s">
        <v>14</v>
      </c>
      <c r="B13" s="76" t="s">
        <v>15</v>
      </c>
      <c r="C13" s="76" t="s">
        <v>16</v>
      </c>
      <c r="D13" s="76"/>
      <c r="E13" s="76" t="s">
        <v>17</v>
      </c>
      <c r="F13" s="76" t="s">
        <v>18</v>
      </c>
      <c r="G13" s="76" t="s">
        <v>19</v>
      </c>
      <c r="H13" s="77" t="s">
        <v>20</v>
      </c>
      <c r="I13" s="78" t="s">
        <v>21</v>
      </c>
      <c r="J13" s="12"/>
      <c r="K13" s="79" t="s">
        <v>1566</v>
      </c>
      <c r="L13" s="79"/>
      <c r="M13" s="79"/>
      <c r="N13" s="79" t="s">
        <v>1567</v>
      </c>
      <c r="O13" s="79"/>
      <c r="P13" s="79"/>
      <c r="Q13" s="13" t="s">
        <v>1568</v>
      </c>
      <c r="R13" s="14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  <c r="XDV13"/>
      <c r="XDW13"/>
      <c r="XDX13"/>
      <c r="XDY13"/>
      <c r="XDZ13"/>
      <c r="XEA13"/>
      <c r="XEB13"/>
      <c r="XEC13"/>
      <c r="XED13"/>
      <c r="XEE13"/>
      <c r="XEF13"/>
      <c r="XEG13"/>
      <c r="XEH13"/>
      <c r="XEI13"/>
      <c r="XEJ13"/>
      <c r="XEK13"/>
      <c r="XEL13"/>
      <c r="XEM13"/>
      <c r="XEN13"/>
      <c r="XEO13"/>
      <c r="XEP13"/>
      <c r="XEQ13"/>
      <c r="XER13"/>
      <c r="XES13"/>
      <c r="XET13"/>
      <c r="XEU13"/>
      <c r="XEV13"/>
      <c r="XEW13"/>
      <c r="XEX13"/>
      <c r="XEY13"/>
      <c r="XEZ13"/>
      <c r="XFA13"/>
      <c r="XFB13"/>
      <c r="XFC13"/>
      <c r="XFD13"/>
    </row>
    <row r="14" spans="1:18 16327:16384" s="17" customFormat="1" ht="32.1" customHeight="1" x14ac:dyDescent="0.25">
      <c r="A14" s="75"/>
      <c r="B14" s="76"/>
      <c r="C14" s="76"/>
      <c r="D14" s="76"/>
      <c r="E14" s="76"/>
      <c r="F14" s="76"/>
      <c r="G14" s="76"/>
      <c r="H14" s="77"/>
      <c r="I14" s="78"/>
      <c r="J14" s="16"/>
      <c r="K14" s="11" t="s">
        <v>22</v>
      </c>
      <c r="L14" s="11" t="s">
        <v>23</v>
      </c>
      <c r="M14" s="11" t="s">
        <v>24</v>
      </c>
      <c r="N14" s="11" t="s">
        <v>22</v>
      </c>
      <c r="O14" s="11" t="s">
        <v>23</v>
      </c>
      <c r="P14" s="11" t="s">
        <v>24</v>
      </c>
      <c r="Q14" s="11"/>
      <c r="R14" s="6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  <c r="XEZ14"/>
      <c r="XFA14"/>
      <c r="XFB14"/>
      <c r="XFC14"/>
      <c r="XFD14"/>
    </row>
    <row r="15" spans="1:18 16327:16384" s="26" customFormat="1" ht="29.1" customHeight="1" x14ac:dyDescent="0.25">
      <c r="A15" s="18" t="s">
        <v>25</v>
      </c>
      <c r="B15" s="19" t="s">
        <v>25</v>
      </c>
      <c r="C15" s="70" t="s">
        <v>26</v>
      </c>
      <c r="D15" s="70"/>
      <c r="E15" s="19"/>
      <c r="F15" s="20"/>
      <c r="G15" s="19"/>
      <c r="H15" s="21"/>
      <c r="I15" s="22"/>
      <c r="J15" s="23"/>
      <c r="K15" s="24"/>
      <c r="L15" s="24"/>
      <c r="M15" s="24"/>
      <c r="N15" s="24">
        <f>N16+N49+N158+N242+N262+N350+N395+N434+N619+N742+N823</f>
        <v>0</v>
      </c>
      <c r="O15" s="24">
        <f>O16+O49+O158+O242+O262+O350+O395+O434+O619+O742+O823</f>
        <v>0</v>
      </c>
      <c r="P15" s="24">
        <f>P16+P49+P158+P242+P262+P350+P395+P434+P619+P742+P823</f>
        <v>0</v>
      </c>
      <c r="Q15" s="25"/>
      <c r="R15" s="23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  <c r="XEZ15"/>
      <c r="XFA15"/>
      <c r="XFB15"/>
      <c r="XFC15"/>
      <c r="XFD15"/>
    </row>
    <row r="16" spans="1:18 16327:16384" s="26" customFormat="1" ht="29.1" customHeight="1" outlineLevel="1" x14ac:dyDescent="0.25">
      <c r="A16" s="27" t="s">
        <v>25</v>
      </c>
      <c r="B16" s="28" t="s">
        <v>25</v>
      </c>
      <c r="C16" s="69" t="s">
        <v>27</v>
      </c>
      <c r="D16" s="69"/>
      <c r="E16" s="28"/>
      <c r="F16" s="29"/>
      <c r="G16" s="28"/>
      <c r="H16" s="30"/>
      <c r="I16" s="31"/>
      <c r="J16" s="23"/>
      <c r="K16" s="32"/>
      <c r="L16" s="32"/>
      <c r="M16" s="32"/>
      <c r="N16" s="32">
        <f>N17+N19+N21+N23+N25+N27+N30+N32+N35+N37+N39+N41+N43+N46+N48</f>
        <v>0</v>
      </c>
      <c r="O16" s="32">
        <f>O17+O19+O21+O23+O25+O27+O30+O32+O35+O37+O39+O41+O43+O46+O48</f>
        <v>0</v>
      </c>
      <c r="P16" s="32">
        <f>P17+P19+P21+P23+P25+P27+P30+P32+P35+P37+P39+P41+P43+P46+P48</f>
        <v>0</v>
      </c>
      <c r="Q16" s="33"/>
      <c r="R16" s="23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  <c r="XEZ16"/>
      <c r="XFA16"/>
      <c r="XFB16"/>
      <c r="XFC16"/>
      <c r="XFD16"/>
    </row>
    <row r="17" spans="1:18 16327:16384" s="26" customFormat="1" ht="29.1" customHeight="1" outlineLevel="2" x14ac:dyDescent="0.25">
      <c r="A17" s="34" t="s">
        <v>28</v>
      </c>
      <c r="B17" s="35"/>
      <c r="C17" s="65" t="s">
        <v>29</v>
      </c>
      <c r="D17" s="65"/>
      <c r="E17" s="35"/>
      <c r="F17" s="36" t="s">
        <v>30</v>
      </c>
      <c r="G17" s="35" t="s">
        <v>31</v>
      </c>
      <c r="H17" s="37"/>
      <c r="I17" s="38">
        <f>1</f>
        <v>1</v>
      </c>
      <c r="J17" s="23"/>
      <c r="K17" s="39"/>
      <c r="L17" s="40"/>
      <c r="M17" s="41">
        <f>K17+L17</f>
        <v>0</v>
      </c>
      <c r="N17" s="41">
        <f t="shared" ref="N17:N48" si="0">ROUND((I17*K17),2)</f>
        <v>0</v>
      </c>
      <c r="O17" s="41">
        <f>ROUND((I17*L17),2)</f>
        <v>0</v>
      </c>
      <c r="P17" s="41">
        <f>ROUND((I17*M17),2)</f>
        <v>0</v>
      </c>
      <c r="Q17" s="41"/>
      <c r="R17" s="23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  <c r="XEZ17"/>
      <c r="XFA17"/>
      <c r="XFB17"/>
      <c r="XFC17"/>
      <c r="XFD17"/>
    </row>
    <row r="18" spans="1:18 16327:16384" s="26" customFormat="1" ht="29.1" customHeight="1" outlineLevel="3" x14ac:dyDescent="0.25">
      <c r="A18" s="42" t="s">
        <v>32</v>
      </c>
      <c r="B18" s="43"/>
      <c r="C18" s="66" t="s">
        <v>33</v>
      </c>
      <c r="D18" s="66"/>
      <c r="E18" s="43" t="s">
        <v>34</v>
      </c>
      <c r="F18" s="44"/>
      <c r="G18" s="43" t="s">
        <v>31</v>
      </c>
      <c r="H18" s="45">
        <v>1</v>
      </c>
      <c r="I18" s="46">
        <f>1</f>
        <v>1</v>
      </c>
      <c r="J18" s="23"/>
      <c r="K18" s="47"/>
      <c r="L18" s="48"/>
      <c r="M18" s="49"/>
      <c r="N18" s="49">
        <f t="shared" si="0"/>
        <v>0</v>
      </c>
      <c r="O18" s="49"/>
      <c r="P18" s="49"/>
      <c r="Q18" s="49"/>
      <c r="R18" s="23"/>
      <c r="XCY18"/>
      <c r="XCZ18"/>
      <c r="XDA18"/>
      <c r="XDB18"/>
      <c r="XDC18"/>
      <c r="XDD18"/>
      <c r="XDE18"/>
      <c r="XDF18"/>
      <c r="XDG18"/>
      <c r="XDH18"/>
      <c r="XDI18"/>
      <c r="XDJ18"/>
      <c r="XDK18"/>
      <c r="XDL18"/>
      <c r="XDM18"/>
      <c r="XDN18"/>
      <c r="XDO18"/>
      <c r="XDP18"/>
      <c r="XDQ18"/>
      <c r="XDR18"/>
      <c r="XDS18"/>
      <c r="XDT18"/>
      <c r="XDU18"/>
      <c r="XDV18"/>
      <c r="XDW18"/>
      <c r="XDX18"/>
      <c r="XDY18"/>
      <c r="XDZ18"/>
      <c r="XEA18"/>
      <c r="XEB18"/>
      <c r="XEC18"/>
      <c r="XED18"/>
      <c r="XEE18"/>
      <c r="XEF18"/>
      <c r="XEG18"/>
      <c r="XEH18"/>
      <c r="XEI18"/>
      <c r="XEJ18"/>
      <c r="XEK18"/>
      <c r="XEL18"/>
      <c r="XEM18"/>
      <c r="XEN18"/>
      <c r="XEO18"/>
      <c r="XEP18"/>
      <c r="XEQ18"/>
      <c r="XER18"/>
      <c r="XES18"/>
      <c r="XET18"/>
      <c r="XEU18"/>
      <c r="XEV18"/>
      <c r="XEW18"/>
      <c r="XEX18"/>
      <c r="XEY18"/>
      <c r="XEZ18"/>
      <c r="XFA18"/>
      <c r="XFB18"/>
      <c r="XFC18"/>
      <c r="XFD18"/>
    </row>
    <row r="19" spans="1:18 16327:16384" s="26" customFormat="1" ht="29.1" customHeight="1" outlineLevel="2" x14ac:dyDescent="0.25">
      <c r="A19" s="34" t="s">
        <v>35</v>
      </c>
      <c r="B19" s="35"/>
      <c r="C19" s="65" t="s">
        <v>36</v>
      </c>
      <c r="D19" s="65"/>
      <c r="E19" s="35"/>
      <c r="F19" s="36" t="s">
        <v>30</v>
      </c>
      <c r="G19" s="35" t="s">
        <v>31</v>
      </c>
      <c r="H19" s="37"/>
      <c r="I19" s="38">
        <f>1</f>
        <v>1</v>
      </c>
      <c r="J19" s="23"/>
      <c r="K19" s="39"/>
      <c r="L19" s="40"/>
      <c r="M19" s="41">
        <f>K19+L19</f>
        <v>0</v>
      </c>
      <c r="N19" s="41">
        <f t="shared" si="0"/>
        <v>0</v>
      </c>
      <c r="O19" s="41">
        <f>ROUND((I19*L19),2)</f>
        <v>0</v>
      </c>
      <c r="P19" s="41">
        <f>ROUND((I19*M19),2)</f>
        <v>0</v>
      </c>
      <c r="Q19" s="41"/>
      <c r="R19" s="23"/>
      <c r="XCY19"/>
      <c r="XCZ19"/>
      <c r="XDA19"/>
      <c r="XDB19"/>
      <c r="XDC19"/>
      <c r="XDD19"/>
      <c r="XDE19"/>
      <c r="XDF19"/>
      <c r="XDG19"/>
      <c r="XDH19"/>
      <c r="XDI19"/>
      <c r="XDJ19"/>
      <c r="XDK19"/>
      <c r="XDL19"/>
      <c r="XDM19"/>
      <c r="XDN19"/>
      <c r="XDO19"/>
      <c r="XDP19"/>
      <c r="XDQ19"/>
      <c r="XDR19"/>
      <c r="XDS19"/>
      <c r="XDT19"/>
      <c r="XDU19"/>
      <c r="XDV19"/>
      <c r="XDW19"/>
      <c r="XDX19"/>
      <c r="XDY19"/>
      <c r="XDZ19"/>
      <c r="XEA19"/>
      <c r="XEB19"/>
      <c r="XEC19"/>
      <c r="XED19"/>
      <c r="XEE19"/>
      <c r="XEF19"/>
      <c r="XEG19"/>
      <c r="XEH19"/>
      <c r="XEI19"/>
      <c r="XEJ19"/>
      <c r="XEK19"/>
      <c r="XEL19"/>
      <c r="XEM19"/>
      <c r="XEN19"/>
      <c r="XEO19"/>
      <c r="XEP19"/>
      <c r="XEQ19"/>
      <c r="XER19"/>
      <c r="XES19"/>
      <c r="XET19"/>
      <c r="XEU19"/>
      <c r="XEV19"/>
      <c r="XEW19"/>
      <c r="XEX19"/>
      <c r="XEY19"/>
      <c r="XEZ19"/>
      <c r="XFA19"/>
      <c r="XFB19"/>
      <c r="XFC19"/>
      <c r="XFD19"/>
    </row>
    <row r="20" spans="1:18 16327:16384" s="26" customFormat="1" ht="29.1" customHeight="1" outlineLevel="3" x14ac:dyDescent="0.25">
      <c r="A20" s="42" t="s">
        <v>37</v>
      </c>
      <c r="B20" s="43"/>
      <c r="C20" s="66" t="s">
        <v>38</v>
      </c>
      <c r="D20" s="66"/>
      <c r="E20" s="43" t="s">
        <v>34</v>
      </c>
      <c r="F20" s="44"/>
      <c r="G20" s="43" t="s">
        <v>31</v>
      </c>
      <c r="H20" s="45">
        <v>1</v>
      </c>
      <c r="I20" s="46">
        <f>1</f>
        <v>1</v>
      </c>
      <c r="J20" s="23"/>
      <c r="K20" s="47"/>
      <c r="L20" s="48"/>
      <c r="M20" s="49"/>
      <c r="N20" s="49">
        <f t="shared" si="0"/>
        <v>0</v>
      </c>
      <c r="O20" s="49"/>
      <c r="P20" s="49"/>
      <c r="Q20" s="49"/>
      <c r="R20" s="23"/>
      <c r="XCY20"/>
      <c r="XCZ20"/>
      <c r="XDA20"/>
      <c r="XDB20"/>
      <c r="XDC20"/>
      <c r="XDD20"/>
      <c r="XDE20"/>
      <c r="XDF20"/>
      <c r="XDG20"/>
      <c r="XDH20"/>
      <c r="XDI20"/>
      <c r="XDJ20"/>
      <c r="XDK20"/>
      <c r="XDL20"/>
      <c r="XDM20"/>
      <c r="XDN20"/>
      <c r="XDO20"/>
      <c r="XDP20"/>
      <c r="XDQ20"/>
      <c r="XDR20"/>
      <c r="XDS20"/>
      <c r="XDT20"/>
      <c r="XDU20"/>
      <c r="XDV20"/>
      <c r="XDW20"/>
      <c r="XDX20"/>
      <c r="XDY20"/>
      <c r="XDZ20"/>
      <c r="XEA20"/>
      <c r="XEB20"/>
      <c r="XEC20"/>
      <c r="XED20"/>
      <c r="XEE20"/>
      <c r="XEF20"/>
      <c r="XEG20"/>
      <c r="XEH20"/>
      <c r="XEI20"/>
      <c r="XEJ20"/>
      <c r="XEK20"/>
      <c r="XEL20"/>
      <c r="XEM20"/>
      <c r="XEN20"/>
      <c r="XEO20"/>
      <c r="XEP20"/>
      <c r="XEQ20"/>
      <c r="XER20"/>
      <c r="XES20"/>
      <c r="XET20"/>
      <c r="XEU20"/>
      <c r="XEV20"/>
      <c r="XEW20"/>
      <c r="XEX20"/>
      <c r="XEY20"/>
      <c r="XEZ20"/>
      <c r="XFA20"/>
      <c r="XFB20"/>
      <c r="XFC20"/>
      <c r="XFD20"/>
    </row>
    <row r="21" spans="1:18 16327:16384" s="26" customFormat="1" ht="29.1" customHeight="1" outlineLevel="2" x14ac:dyDescent="0.25">
      <c r="A21" s="34" t="s">
        <v>39</v>
      </c>
      <c r="B21" s="35"/>
      <c r="C21" s="65" t="s">
        <v>36</v>
      </c>
      <c r="D21" s="65"/>
      <c r="E21" s="35"/>
      <c r="F21" s="36" t="s">
        <v>30</v>
      </c>
      <c r="G21" s="35" t="s">
        <v>31</v>
      </c>
      <c r="H21" s="37"/>
      <c r="I21" s="38">
        <f>1</f>
        <v>1</v>
      </c>
      <c r="J21" s="23"/>
      <c r="K21" s="39"/>
      <c r="L21" s="40"/>
      <c r="M21" s="41">
        <f>K21+L21</f>
        <v>0</v>
      </c>
      <c r="N21" s="41">
        <f t="shared" si="0"/>
        <v>0</v>
      </c>
      <c r="O21" s="41">
        <f>ROUND((I21*L21),2)</f>
        <v>0</v>
      </c>
      <c r="P21" s="41">
        <f>ROUND((I21*M21),2)</f>
        <v>0</v>
      </c>
      <c r="Q21" s="41"/>
      <c r="R21" s="23"/>
      <c r="XCY21"/>
      <c r="XCZ21"/>
      <c r="XDA21"/>
      <c r="XDB21"/>
      <c r="XDC21"/>
      <c r="XDD21"/>
      <c r="XDE21"/>
      <c r="XDF21"/>
      <c r="XDG21"/>
      <c r="XDH21"/>
      <c r="XDI21"/>
      <c r="XDJ21"/>
      <c r="XDK21"/>
      <c r="XDL21"/>
      <c r="XDM21"/>
      <c r="XDN21"/>
      <c r="XDO21"/>
      <c r="XDP21"/>
      <c r="XDQ21"/>
      <c r="XDR21"/>
      <c r="XDS21"/>
      <c r="XDT21"/>
      <c r="XDU21"/>
      <c r="XDV21"/>
      <c r="XDW21"/>
      <c r="XDX21"/>
      <c r="XDY21"/>
      <c r="XDZ21"/>
      <c r="XEA21"/>
      <c r="XEB21"/>
      <c r="XEC21"/>
      <c r="XED21"/>
      <c r="XEE21"/>
      <c r="XEF21"/>
      <c r="XEG21"/>
      <c r="XEH21"/>
      <c r="XEI21"/>
      <c r="XEJ21"/>
      <c r="XEK21"/>
      <c r="XEL21"/>
      <c r="XEM21"/>
      <c r="XEN21"/>
      <c r="XEO21"/>
      <c r="XEP21"/>
      <c r="XEQ21"/>
      <c r="XER21"/>
      <c r="XES21"/>
      <c r="XET21"/>
      <c r="XEU21"/>
      <c r="XEV21"/>
      <c r="XEW21"/>
      <c r="XEX21"/>
      <c r="XEY21"/>
      <c r="XEZ21"/>
      <c r="XFA21"/>
      <c r="XFB21"/>
      <c r="XFC21"/>
      <c r="XFD21"/>
    </row>
    <row r="22" spans="1:18 16327:16384" s="26" customFormat="1" ht="29.1" customHeight="1" outlineLevel="3" x14ac:dyDescent="0.25">
      <c r="A22" s="42" t="s">
        <v>40</v>
      </c>
      <c r="B22" s="43"/>
      <c r="C22" s="66" t="s">
        <v>41</v>
      </c>
      <c r="D22" s="66"/>
      <c r="E22" s="43" t="s">
        <v>34</v>
      </c>
      <c r="F22" s="44"/>
      <c r="G22" s="43" t="s">
        <v>31</v>
      </c>
      <c r="H22" s="45">
        <v>1</v>
      </c>
      <c r="I22" s="46">
        <f>1</f>
        <v>1</v>
      </c>
      <c r="J22" s="23"/>
      <c r="K22" s="47"/>
      <c r="L22" s="48"/>
      <c r="M22" s="49"/>
      <c r="N22" s="49">
        <f t="shared" si="0"/>
        <v>0</v>
      </c>
      <c r="O22" s="49"/>
      <c r="P22" s="49"/>
      <c r="Q22" s="49"/>
      <c r="R22" s="23"/>
      <c r="XCY22"/>
      <c r="XCZ22"/>
      <c r="XDA22"/>
      <c r="XDB22"/>
      <c r="XDC22"/>
      <c r="XDD22"/>
      <c r="XDE22"/>
      <c r="XDF22"/>
      <c r="XDG22"/>
      <c r="XDH22"/>
      <c r="XDI22"/>
      <c r="XDJ22"/>
      <c r="XDK22"/>
      <c r="XDL22"/>
      <c r="XDM22"/>
      <c r="XDN22"/>
      <c r="XDO22"/>
      <c r="XDP22"/>
      <c r="XDQ22"/>
      <c r="XDR22"/>
      <c r="XDS22"/>
      <c r="XDT22"/>
      <c r="XDU22"/>
      <c r="XDV22"/>
      <c r="XDW22"/>
      <c r="XDX22"/>
      <c r="XDY22"/>
      <c r="XDZ22"/>
      <c r="XEA22"/>
      <c r="XEB22"/>
      <c r="XEC22"/>
      <c r="XED22"/>
      <c r="XEE22"/>
      <c r="XEF22"/>
      <c r="XEG22"/>
      <c r="XEH22"/>
      <c r="XEI22"/>
      <c r="XEJ22"/>
      <c r="XEK22"/>
      <c r="XEL22"/>
      <c r="XEM22"/>
      <c r="XEN22"/>
      <c r="XEO22"/>
      <c r="XEP22"/>
      <c r="XEQ22"/>
      <c r="XER22"/>
      <c r="XES22"/>
      <c r="XET22"/>
      <c r="XEU22"/>
      <c r="XEV22"/>
      <c r="XEW22"/>
      <c r="XEX22"/>
      <c r="XEY22"/>
      <c r="XEZ22"/>
      <c r="XFA22"/>
      <c r="XFB22"/>
      <c r="XFC22"/>
      <c r="XFD22"/>
    </row>
    <row r="23" spans="1:18 16327:16384" s="26" customFormat="1" ht="29.1" customHeight="1" outlineLevel="2" x14ac:dyDescent="0.25">
      <c r="A23" s="34" t="s">
        <v>42</v>
      </c>
      <c r="B23" s="35"/>
      <c r="C23" s="65" t="s">
        <v>36</v>
      </c>
      <c r="D23" s="65"/>
      <c r="E23" s="35"/>
      <c r="F23" s="36" t="s">
        <v>30</v>
      </c>
      <c r="G23" s="35" t="s">
        <v>31</v>
      </c>
      <c r="H23" s="37"/>
      <c r="I23" s="38">
        <f>1</f>
        <v>1</v>
      </c>
      <c r="J23" s="23"/>
      <c r="K23" s="39"/>
      <c r="L23" s="40"/>
      <c r="M23" s="41">
        <f>K23+L23</f>
        <v>0</v>
      </c>
      <c r="N23" s="41">
        <f t="shared" si="0"/>
        <v>0</v>
      </c>
      <c r="O23" s="41">
        <f>ROUND((I23*L23),2)</f>
        <v>0</v>
      </c>
      <c r="P23" s="41">
        <f>ROUND((I23*M23),2)</f>
        <v>0</v>
      </c>
      <c r="Q23" s="41"/>
      <c r="R23" s="23"/>
      <c r="XCY23"/>
      <c r="XCZ23"/>
      <c r="XDA23"/>
      <c r="XDB23"/>
      <c r="XDC23"/>
      <c r="XDD23"/>
      <c r="XDE23"/>
      <c r="XDF23"/>
      <c r="XDG23"/>
      <c r="XDH23"/>
      <c r="XDI23"/>
      <c r="XDJ23"/>
      <c r="XDK23"/>
      <c r="XDL23"/>
      <c r="XDM23"/>
      <c r="XDN23"/>
      <c r="XDO23"/>
      <c r="XDP23"/>
      <c r="XDQ23"/>
      <c r="XDR23"/>
      <c r="XDS23"/>
      <c r="XDT23"/>
      <c r="XDU23"/>
      <c r="XDV23"/>
      <c r="XDW23"/>
      <c r="XDX23"/>
      <c r="XDY23"/>
      <c r="XDZ23"/>
      <c r="XEA23"/>
      <c r="XEB23"/>
      <c r="XEC23"/>
      <c r="XED23"/>
      <c r="XEE23"/>
      <c r="XEF23"/>
      <c r="XEG23"/>
      <c r="XEH23"/>
      <c r="XEI23"/>
      <c r="XEJ23"/>
      <c r="XEK23"/>
      <c r="XEL23"/>
      <c r="XEM23"/>
      <c r="XEN23"/>
      <c r="XEO23"/>
      <c r="XEP23"/>
      <c r="XEQ23"/>
      <c r="XER23"/>
      <c r="XES23"/>
      <c r="XET23"/>
      <c r="XEU23"/>
      <c r="XEV23"/>
      <c r="XEW23"/>
      <c r="XEX23"/>
      <c r="XEY23"/>
      <c r="XEZ23"/>
      <c r="XFA23"/>
      <c r="XFB23"/>
      <c r="XFC23"/>
      <c r="XFD23"/>
    </row>
    <row r="24" spans="1:18 16327:16384" s="26" customFormat="1" ht="29.1" customHeight="1" outlineLevel="3" x14ac:dyDescent="0.25">
      <c r="A24" s="42" t="s">
        <v>43</v>
      </c>
      <c r="B24" s="43"/>
      <c r="C24" s="66" t="s">
        <v>44</v>
      </c>
      <c r="D24" s="66"/>
      <c r="E24" s="43" t="s">
        <v>34</v>
      </c>
      <c r="F24" s="44"/>
      <c r="G24" s="43" t="s">
        <v>31</v>
      </c>
      <c r="H24" s="45">
        <v>1</v>
      </c>
      <c r="I24" s="46">
        <f>1</f>
        <v>1</v>
      </c>
      <c r="J24" s="23"/>
      <c r="K24" s="47"/>
      <c r="L24" s="48"/>
      <c r="M24" s="49"/>
      <c r="N24" s="49">
        <f t="shared" si="0"/>
        <v>0</v>
      </c>
      <c r="O24" s="49"/>
      <c r="P24" s="49"/>
      <c r="Q24" s="49"/>
      <c r="R24" s="23"/>
      <c r="XCY24"/>
      <c r="XCZ24"/>
      <c r="XDA24"/>
      <c r="XDB24"/>
      <c r="XDC24"/>
      <c r="XDD24"/>
      <c r="XDE24"/>
      <c r="XDF24"/>
      <c r="XDG24"/>
      <c r="XDH24"/>
      <c r="XDI24"/>
      <c r="XDJ24"/>
      <c r="XDK24"/>
      <c r="XDL24"/>
      <c r="XDM24"/>
      <c r="XDN24"/>
      <c r="XDO24"/>
      <c r="XDP24"/>
      <c r="XDQ24"/>
      <c r="XDR24"/>
      <c r="XDS24"/>
      <c r="XDT24"/>
      <c r="XDU24"/>
      <c r="XDV24"/>
      <c r="XDW24"/>
      <c r="XDX24"/>
      <c r="XDY24"/>
      <c r="XDZ24"/>
      <c r="XEA24"/>
      <c r="XEB24"/>
      <c r="XEC24"/>
      <c r="XED24"/>
      <c r="XEE24"/>
      <c r="XEF24"/>
      <c r="XEG24"/>
      <c r="XEH24"/>
      <c r="XEI24"/>
      <c r="XEJ24"/>
      <c r="XEK24"/>
      <c r="XEL24"/>
      <c r="XEM24"/>
      <c r="XEN24"/>
      <c r="XEO24"/>
      <c r="XEP24"/>
      <c r="XEQ24"/>
      <c r="XER24"/>
      <c r="XES24"/>
      <c r="XET24"/>
      <c r="XEU24"/>
      <c r="XEV24"/>
      <c r="XEW24"/>
      <c r="XEX24"/>
      <c r="XEY24"/>
      <c r="XEZ24"/>
      <c r="XFA24"/>
      <c r="XFB24"/>
      <c r="XFC24"/>
      <c r="XFD24"/>
    </row>
    <row r="25" spans="1:18 16327:16384" s="26" customFormat="1" ht="29.1" customHeight="1" outlineLevel="2" x14ac:dyDescent="0.25">
      <c r="A25" s="34" t="s">
        <v>45</v>
      </c>
      <c r="B25" s="35"/>
      <c r="C25" s="65" t="s">
        <v>46</v>
      </c>
      <c r="D25" s="65"/>
      <c r="E25" s="35"/>
      <c r="F25" s="36" t="s">
        <v>30</v>
      </c>
      <c r="G25" s="35" t="s">
        <v>31</v>
      </c>
      <c r="H25" s="37"/>
      <c r="I25" s="38">
        <f>1</f>
        <v>1</v>
      </c>
      <c r="J25" s="23"/>
      <c r="K25" s="39"/>
      <c r="L25" s="40"/>
      <c r="M25" s="41">
        <f>K25+L25</f>
        <v>0</v>
      </c>
      <c r="N25" s="41">
        <f t="shared" si="0"/>
        <v>0</v>
      </c>
      <c r="O25" s="41">
        <f>ROUND((I25*L25),2)</f>
        <v>0</v>
      </c>
      <c r="P25" s="41">
        <f>ROUND((I25*M25),2)</f>
        <v>0</v>
      </c>
      <c r="Q25" s="41"/>
      <c r="R25" s="23"/>
      <c r="XCY25"/>
      <c r="XCZ25"/>
      <c r="XDA25"/>
      <c r="XDB25"/>
      <c r="XDC25"/>
      <c r="XDD25"/>
      <c r="XDE25"/>
      <c r="XDF25"/>
      <c r="XDG25"/>
      <c r="XDH25"/>
      <c r="XDI25"/>
      <c r="XDJ25"/>
      <c r="XDK25"/>
      <c r="XDL25"/>
      <c r="XDM25"/>
      <c r="XDN25"/>
      <c r="XDO25"/>
      <c r="XDP25"/>
      <c r="XDQ25"/>
      <c r="XDR25"/>
      <c r="XDS25"/>
      <c r="XDT25"/>
      <c r="XDU25"/>
      <c r="XDV25"/>
      <c r="XDW25"/>
      <c r="XDX25"/>
      <c r="XDY25"/>
      <c r="XDZ25"/>
      <c r="XEA25"/>
      <c r="XEB25"/>
      <c r="XEC25"/>
      <c r="XED25"/>
      <c r="XEE25"/>
      <c r="XEF25"/>
      <c r="XEG25"/>
      <c r="XEH25"/>
      <c r="XEI25"/>
      <c r="XEJ25"/>
      <c r="XEK25"/>
      <c r="XEL25"/>
      <c r="XEM25"/>
      <c r="XEN25"/>
      <c r="XEO25"/>
      <c r="XEP25"/>
      <c r="XEQ25"/>
      <c r="XER25"/>
      <c r="XES25"/>
      <c r="XET25"/>
      <c r="XEU25"/>
      <c r="XEV25"/>
      <c r="XEW25"/>
      <c r="XEX25"/>
      <c r="XEY25"/>
      <c r="XEZ25"/>
      <c r="XFA25"/>
      <c r="XFB25"/>
      <c r="XFC25"/>
      <c r="XFD25"/>
    </row>
    <row r="26" spans="1:18 16327:16384" s="26" customFormat="1" ht="29.1" customHeight="1" outlineLevel="3" x14ac:dyDescent="0.25">
      <c r="A26" s="42" t="s">
        <v>47</v>
      </c>
      <c r="B26" s="43"/>
      <c r="C26" s="66" t="s">
        <v>48</v>
      </c>
      <c r="D26" s="66"/>
      <c r="E26" s="43" t="s">
        <v>34</v>
      </c>
      <c r="F26" s="44"/>
      <c r="G26" s="43" t="s">
        <v>31</v>
      </c>
      <c r="H26" s="45">
        <v>1</v>
      </c>
      <c r="I26" s="46">
        <f>1</f>
        <v>1</v>
      </c>
      <c r="J26" s="23"/>
      <c r="K26" s="47"/>
      <c r="L26" s="48"/>
      <c r="M26" s="49"/>
      <c r="N26" s="49">
        <f t="shared" si="0"/>
        <v>0</v>
      </c>
      <c r="O26" s="49"/>
      <c r="P26" s="49"/>
      <c r="Q26" s="49"/>
      <c r="R26" s="23"/>
      <c r="XCY26"/>
      <c r="XCZ26"/>
      <c r="XDA26"/>
      <c r="XDB26"/>
      <c r="XDC26"/>
      <c r="XDD26"/>
      <c r="XDE26"/>
      <c r="XDF26"/>
      <c r="XDG26"/>
      <c r="XDH26"/>
      <c r="XDI26"/>
      <c r="XDJ26"/>
      <c r="XDK26"/>
      <c r="XDL26"/>
      <c r="XDM26"/>
      <c r="XDN26"/>
      <c r="XDO26"/>
      <c r="XDP26"/>
      <c r="XDQ26"/>
      <c r="XDR26"/>
      <c r="XDS26"/>
      <c r="XDT26"/>
      <c r="XDU26"/>
      <c r="XDV26"/>
      <c r="XDW26"/>
      <c r="XDX26"/>
      <c r="XDY26"/>
      <c r="XDZ26"/>
      <c r="XEA26"/>
      <c r="XEB26"/>
      <c r="XEC26"/>
      <c r="XED26"/>
      <c r="XEE26"/>
      <c r="XEF26"/>
      <c r="XEG26"/>
      <c r="XEH26"/>
      <c r="XEI26"/>
      <c r="XEJ26"/>
      <c r="XEK26"/>
      <c r="XEL26"/>
      <c r="XEM26"/>
      <c r="XEN26"/>
      <c r="XEO26"/>
      <c r="XEP26"/>
      <c r="XEQ26"/>
      <c r="XER26"/>
      <c r="XES26"/>
      <c r="XET26"/>
      <c r="XEU26"/>
      <c r="XEV26"/>
      <c r="XEW26"/>
      <c r="XEX26"/>
      <c r="XEY26"/>
      <c r="XEZ26"/>
      <c r="XFA26"/>
      <c r="XFB26"/>
      <c r="XFC26"/>
      <c r="XFD26"/>
    </row>
    <row r="27" spans="1:18 16327:16384" s="26" customFormat="1" ht="29.1" customHeight="1" outlineLevel="2" x14ac:dyDescent="0.25">
      <c r="A27" s="34" t="s">
        <v>49</v>
      </c>
      <c r="B27" s="35"/>
      <c r="C27" s="65" t="s">
        <v>50</v>
      </c>
      <c r="D27" s="65"/>
      <c r="E27" s="35"/>
      <c r="F27" s="36" t="s">
        <v>30</v>
      </c>
      <c r="G27" s="35" t="s">
        <v>31</v>
      </c>
      <c r="H27" s="37"/>
      <c r="I27" s="38">
        <f>98</f>
        <v>98</v>
      </c>
      <c r="J27" s="23"/>
      <c r="K27" s="39"/>
      <c r="L27" s="40"/>
      <c r="M27" s="41">
        <f>K27+L27</f>
        <v>0</v>
      </c>
      <c r="N27" s="41">
        <f t="shared" si="0"/>
        <v>0</v>
      </c>
      <c r="O27" s="41">
        <f>ROUND((I27*L27),2)</f>
        <v>0</v>
      </c>
      <c r="P27" s="41">
        <f>ROUND((I27*M27),2)</f>
        <v>0</v>
      </c>
      <c r="Q27" s="41"/>
      <c r="R27" s="23"/>
      <c r="XCY27"/>
      <c r="XCZ27"/>
      <c r="XDA27"/>
      <c r="XDB27"/>
      <c r="XDC27"/>
      <c r="XDD27"/>
      <c r="XDE27"/>
      <c r="XDF27"/>
      <c r="XDG27"/>
      <c r="XDH27"/>
      <c r="XDI27"/>
      <c r="XDJ27"/>
      <c r="XDK27"/>
      <c r="XDL27"/>
      <c r="XDM27"/>
      <c r="XDN27"/>
      <c r="XDO27"/>
      <c r="XDP27"/>
      <c r="XDQ27"/>
      <c r="XDR27"/>
      <c r="XDS27"/>
      <c r="XDT27"/>
      <c r="XDU27"/>
      <c r="XDV27"/>
      <c r="XDW27"/>
      <c r="XDX27"/>
      <c r="XDY27"/>
      <c r="XDZ27"/>
      <c r="XEA27"/>
      <c r="XEB27"/>
      <c r="XEC27"/>
      <c r="XED27"/>
      <c r="XEE27"/>
      <c r="XEF27"/>
      <c r="XEG27"/>
      <c r="XEH27"/>
      <c r="XEI27"/>
      <c r="XEJ27"/>
      <c r="XEK27"/>
      <c r="XEL27"/>
      <c r="XEM27"/>
      <c r="XEN27"/>
      <c r="XEO27"/>
      <c r="XEP27"/>
      <c r="XEQ27"/>
      <c r="XER27"/>
      <c r="XES27"/>
      <c r="XET27"/>
      <c r="XEU27"/>
      <c r="XEV27"/>
      <c r="XEW27"/>
      <c r="XEX27"/>
      <c r="XEY27"/>
      <c r="XEZ27"/>
      <c r="XFA27"/>
      <c r="XFB27"/>
      <c r="XFC27"/>
      <c r="XFD27"/>
    </row>
    <row r="28" spans="1:18 16327:16384" s="26" customFormat="1" ht="29.1" customHeight="1" outlineLevel="3" x14ac:dyDescent="0.25">
      <c r="A28" s="42" t="s">
        <v>51</v>
      </c>
      <c r="B28" s="43"/>
      <c r="C28" s="66" t="s">
        <v>52</v>
      </c>
      <c r="D28" s="66"/>
      <c r="E28" s="43" t="s">
        <v>34</v>
      </c>
      <c r="F28" s="44"/>
      <c r="G28" s="43" t="s">
        <v>31</v>
      </c>
      <c r="H28" s="45">
        <v>1</v>
      </c>
      <c r="I28" s="46">
        <f>97</f>
        <v>97</v>
      </c>
      <c r="J28" s="23"/>
      <c r="K28" s="47"/>
      <c r="L28" s="48"/>
      <c r="M28" s="49"/>
      <c r="N28" s="49">
        <f t="shared" si="0"/>
        <v>0</v>
      </c>
      <c r="O28" s="49"/>
      <c r="P28" s="49"/>
      <c r="Q28" s="49"/>
      <c r="R28" s="23"/>
      <c r="XCY28"/>
      <c r="XCZ28"/>
      <c r="XDA28"/>
      <c r="XDB28"/>
      <c r="XDC28"/>
      <c r="XDD28"/>
      <c r="XDE28"/>
      <c r="XDF28"/>
      <c r="XDG28"/>
      <c r="XDH28"/>
      <c r="XDI28"/>
      <c r="XDJ28"/>
      <c r="XDK28"/>
      <c r="XDL28"/>
      <c r="XDM28"/>
      <c r="XDN28"/>
      <c r="XDO28"/>
      <c r="XDP28"/>
      <c r="XDQ28"/>
      <c r="XDR28"/>
      <c r="XDS28"/>
      <c r="XDT28"/>
      <c r="XDU28"/>
      <c r="XDV28"/>
      <c r="XDW28"/>
      <c r="XDX28"/>
      <c r="XDY28"/>
      <c r="XDZ28"/>
      <c r="XEA28"/>
      <c r="XEB28"/>
      <c r="XEC28"/>
      <c r="XED28"/>
      <c r="XEE28"/>
      <c r="XEF28"/>
      <c r="XEG28"/>
      <c r="XEH28"/>
      <c r="XEI28"/>
      <c r="XEJ28"/>
      <c r="XEK28"/>
      <c r="XEL28"/>
      <c r="XEM28"/>
      <c r="XEN28"/>
      <c r="XEO28"/>
      <c r="XEP28"/>
      <c r="XEQ28"/>
      <c r="XER28"/>
      <c r="XES28"/>
      <c r="XET28"/>
      <c r="XEU28"/>
      <c r="XEV28"/>
      <c r="XEW28"/>
      <c r="XEX28"/>
      <c r="XEY28"/>
      <c r="XEZ28"/>
      <c r="XFA28"/>
      <c r="XFB28"/>
      <c r="XFC28"/>
      <c r="XFD28"/>
    </row>
    <row r="29" spans="1:18 16327:16384" s="26" customFormat="1" ht="29.1" customHeight="1" outlineLevel="3" x14ac:dyDescent="0.25">
      <c r="A29" s="42" t="s">
        <v>53</v>
      </c>
      <c r="B29" s="43"/>
      <c r="C29" s="66" t="s">
        <v>54</v>
      </c>
      <c r="D29" s="66"/>
      <c r="E29" s="43" t="s">
        <v>34</v>
      </c>
      <c r="F29" s="44"/>
      <c r="G29" s="43" t="s">
        <v>31</v>
      </c>
      <c r="H29" s="45">
        <v>1</v>
      </c>
      <c r="I29" s="46">
        <f>1</f>
        <v>1</v>
      </c>
      <c r="J29" s="23"/>
      <c r="K29" s="47"/>
      <c r="L29" s="48"/>
      <c r="M29" s="49"/>
      <c r="N29" s="49">
        <f t="shared" si="0"/>
        <v>0</v>
      </c>
      <c r="O29" s="49"/>
      <c r="P29" s="49"/>
      <c r="Q29" s="49"/>
      <c r="R29" s="23"/>
      <c r="XCY29"/>
      <c r="XCZ29"/>
      <c r="XDA29"/>
      <c r="XDB29"/>
      <c r="XDC29"/>
      <c r="XDD29"/>
      <c r="XDE29"/>
      <c r="XDF29"/>
      <c r="XDG29"/>
      <c r="XDH29"/>
      <c r="XDI29"/>
      <c r="XDJ29"/>
      <c r="XDK29"/>
      <c r="XDL29"/>
      <c r="XDM29"/>
      <c r="XDN29"/>
      <c r="XDO29"/>
      <c r="XDP29"/>
      <c r="XDQ29"/>
      <c r="XDR29"/>
      <c r="XDS29"/>
      <c r="XDT29"/>
      <c r="XDU29"/>
      <c r="XDV29"/>
      <c r="XDW29"/>
      <c r="XDX29"/>
      <c r="XDY29"/>
      <c r="XDZ29"/>
      <c r="XEA29"/>
      <c r="XEB29"/>
      <c r="XEC29"/>
      <c r="XED29"/>
      <c r="XEE29"/>
      <c r="XEF29"/>
      <c r="XEG29"/>
      <c r="XEH29"/>
      <c r="XEI29"/>
      <c r="XEJ29"/>
      <c r="XEK29"/>
      <c r="XEL29"/>
      <c r="XEM29"/>
      <c r="XEN29"/>
      <c r="XEO29"/>
      <c r="XEP29"/>
      <c r="XEQ29"/>
      <c r="XER29"/>
      <c r="XES29"/>
      <c r="XET29"/>
      <c r="XEU29"/>
      <c r="XEV29"/>
      <c r="XEW29"/>
      <c r="XEX29"/>
      <c r="XEY29"/>
      <c r="XEZ29"/>
      <c r="XFA29"/>
      <c r="XFB29"/>
      <c r="XFC29"/>
      <c r="XFD29"/>
    </row>
    <row r="30" spans="1:18 16327:16384" s="26" customFormat="1" ht="29.1" customHeight="1" outlineLevel="2" x14ac:dyDescent="0.25">
      <c r="A30" s="34" t="s">
        <v>55</v>
      </c>
      <c r="B30" s="35"/>
      <c r="C30" s="65" t="s">
        <v>50</v>
      </c>
      <c r="D30" s="65"/>
      <c r="E30" s="35"/>
      <c r="F30" s="36" t="s">
        <v>30</v>
      </c>
      <c r="G30" s="35" t="s">
        <v>31</v>
      </c>
      <c r="H30" s="37"/>
      <c r="I30" s="38">
        <f>9</f>
        <v>9</v>
      </c>
      <c r="J30" s="23"/>
      <c r="K30" s="39"/>
      <c r="L30" s="40"/>
      <c r="M30" s="41">
        <f>K30+L30</f>
        <v>0</v>
      </c>
      <c r="N30" s="41">
        <f t="shared" si="0"/>
        <v>0</v>
      </c>
      <c r="O30" s="41">
        <f>ROUND((I30*L30),2)</f>
        <v>0</v>
      </c>
      <c r="P30" s="41">
        <f>ROUND((I30*M30),2)</f>
        <v>0</v>
      </c>
      <c r="Q30" s="41"/>
      <c r="R30" s="23"/>
      <c r="XCY30"/>
      <c r="XCZ30"/>
      <c r="XDA30"/>
      <c r="XDB30"/>
      <c r="XDC30"/>
      <c r="XDD30"/>
      <c r="XDE30"/>
      <c r="XDF30"/>
      <c r="XDG30"/>
      <c r="XDH30"/>
      <c r="XDI30"/>
      <c r="XDJ30"/>
      <c r="XDK30"/>
      <c r="XDL30"/>
      <c r="XDM30"/>
      <c r="XDN30"/>
      <c r="XDO30"/>
      <c r="XDP30"/>
      <c r="XDQ30"/>
      <c r="XDR30"/>
      <c r="XDS30"/>
      <c r="XDT30"/>
      <c r="XDU30"/>
      <c r="XDV30"/>
      <c r="XDW30"/>
      <c r="XDX30"/>
      <c r="XDY30"/>
      <c r="XDZ30"/>
      <c r="XEA30"/>
      <c r="XEB30"/>
      <c r="XEC30"/>
      <c r="XED30"/>
      <c r="XEE30"/>
      <c r="XEF30"/>
      <c r="XEG30"/>
      <c r="XEH30"/>
      <c r="XEI30"/>
      <c r="XEJ30"/>
      <c r="XEK30"/>
      <c r="XEL30"/>
      <c r="XEM30"/>
      <c r="XEN30"/>
      <c r="XEO30"/>
      <c r="XEP30"/>
      <c r="XEQ30"/>
      <c r="XER30"/>
      <c r="XES30"/>
      <c r="XET30"/>
      <c r="XEU30"/>
      <c r="XEV30"/>
      <c r="XEW30"/>
      <c r="XEX30"/>
      <c r="XEY30"/>
      <c r="XEZ30"/>
      <c r="XFA30"/>
      <c r="XFB30"/>
      <c r="XFC30"/>
      <c r="XFD30"/>
    </row>
    <row r="31" spans="1:18 16327:16384" s="26" customFormat="1" ht="29.1" customHeight="1" outlineLevel="3" x14ac:dyDescent="0.25">
      <c r="A31" s="42" t="s">
        <v>56</v>
      </c>
      <c r="B31" s="43"/>
      <c r="C31" s="66" t="s">
        <v>57</v>
      </c>
      <c r="D31" s="66"/>
      <c r="E31" s="43" t="s">
        <v>34</v>
      </c>
      <c r="F31" s="44"/>
      <c r="G31" s="43" t="s">
        <v>31</v>
      </c>
      <c r="H31" s="45">
        <v>1</v>
      </c>
      <c r="I31" s="46">
        <f>9</f>
        <v>9</v>
      </c>
      <c r="J31" s="23"/>
      <c r="K31" s="47"/>
      <c r="L31" s="48"/>
      <c r="M31" s="49"/>
      <c r="N31" s="49">
        <f t="shared" si="0"/>
        <v>0</v>
      </c>
      <c r="O31" s="49"/>
      <c r="P31" s="49"/>
      <c r="Q31" s="49"/>
      <c r="R31" s="23"/>
      <c r="XCY31"/>
      <c r="XCZ31"/>
      <c r="XDA31"/>
      <c r="XDB31"/>
      <c r="XDC31"/>
      <c r="XDD31"/>
      <c r="XDE31"/>
      <c r="XDF31"/>
      <c r="XDG31"/>
      <c r="XDH31"/>
      <c r="XDI31"/>
      <c r="XDJ31"/>
      <c r="XDK31"/>
      <c r="XDL31"/>
      <c r="XDM31"/>
      <c r="XDN31"/>
      <c r="XDO31"/>
      <c r="XDP31"/>
      <c r="XDQ31"/>
      <c r="XDR31"/>
      <c r="XDS31"/>
      <c r="XDT31"/>
      <c r="XDU31"/>
      <c r="XDV31"/>
      <c r="XDW31"/>
      <c r="XDX31"/>
      <c r="XDY31"/>
      <c r="XDZ31"/>
      <c r="XEA31"/>
      <c r="XEB31"/>
      <c r="XEC31"/>
      <c r="XED31"/>
      <c r="XEE31"/>
      <c r="XEF31"/>
      <c r="XEG31"/>
      <c r="XEH31"/>
      <c r="XEI31"/>
      <c r="XEJ31"/>
      <c r="XEK31"/>
      <c r="XEL31"/>
      <c r="XEM31"/>
      <c r="XEN31"/>
      <c r="XEO31"/>
      <c r="XEP31"/>
      <c r="XEQ31"/>
      <c r="XER31"/>
      <c r="XES31"/>
      <c r="XET31"/>
      <c r="XEU31"/>
      <c r="XEV31"/>
      <c r="XEW31"/>
      <c r="XEX31"/>
      <c r="XEY31"/>
      <c r="XEZ31"/>
      <c r="XFA31"/>
      <c r="XFB31"/>
      <c r="XFC31"/>
      <c r="XFD31"/>
    </row>
    <row r="32" spans="1:18 16327:16384" s="26" customFormat="1" ht="29.1" customHeight="1" outlineLevel="2" x14ac:dyDescent="0.25">
      <c r="A32" s="34" t="s">
        <v>58</v>
      </c>
      <c r="B32" s="35"/>
      <c r="C32" s="65" t="s">
        <v>50</v>
      </c>
      <c r="D32" s="65"/>
      <c r="E32" s="35"/>
      <c r="F32" s="36" t="s">
        <v>30</v>
      </c>
      <c r="G32" s="35" t="s">
        <v>31</v>
      </c>
      <c r="H32" s="37"/>
      <c r="I32" s="38">
        <f>2</f>
        <v>2</v>
      </c>
      <c r="J32" s="23"/>
      <c r="K32" s="39"/>
      <c r="L32" s="40"/>
      <c r="M32" s="41">
        <f>K32+L32</f>
        <v>0</v>
      </c>
      <c r="N32" s="41">
        <f t="shared" si="0"/>
        <v>0</v>
      </c>
      <c r="O32" s="41">
        <f>ROUND((I32*L32),2)</f>
        <v>0</v>
      </c>
      <c r="P32" s="41">
        <f>ROUND((I32*M32),2)</f>
        <v>0</v>
      </c>
      <c r="Q32" s="41"/>
      <c r="R32" s="23"/>
      <c r="XCY32"/>
      <c r="XCZ32"/>
      <c r="XDA32"/>
      <c r="XDB32"/>
      <c r="XDC32"/>
      <c r="XDD32"/>
      <c r="XDE32"/>
      <c r="XDF32"/>
      <c r="XDG32"/>
      <c r="XDH32"/>
      <c r="XDI32"/>
      <c r="XDJ32"/>
      <c r="XDK32"/>
      <c r="XDL32"/>
      <c r="XDM32"/>
      <c r="XDN32"/>
      <c r="XDO32"/>
      <c r="XDP32"/>
      <c r="XDQ32"/>
      <c r="XDR32"/>
      <c r="XDS32"/>
      <c r="XDT32"/>
      <c r="XDU32"/>
      <c r="XDV32"/>
      <c r="XDW32"/>
      <c r="XDX32"/>
      <c r="XDY32"/>
      <c r="XDZ32"/>
      <c r="XEA32"/>
      <c r="XEB32"/>
      <c r="XEC32"/>
      <c r="XED32"/>
      <c r="XEE32"/>
      <c r="XEF32"/>
      <c r="XEG32"/>
      <c r="XEH32"/>
      <c r="XEI32"/>
      <c r="XEJ32"/>
      <c r="XEK32"/>
      <c r="XEL32"/>
      <c r="XEM32"/>
      <c r="XEN32"/>
      <c r="XEO32"/>
      <c r="XEP32"/>
      <c r="XEQ32"/>
      <c r="XER32"/>
      <c r="XES32"/>
      <c r="XET32"/>
      <c r="XEU32"/>
      <c r="XEV32"/>
      <c r="XEW32"/>
      <c r="XEX32"/>
      <c r="XEY32"/>
      <c r="XEZ32"/>
      <c r="XFA32"/>
      <c r="XFB32"/>
      <c r="XFC32"/>
      <c r="XFD32"/>
    </row>
    <row r="33" spans="1:18 16327:16384" s="26" customFormat="1" ht="29.1" customHeight="1" outlineLevel="3" x14ac:dyDescent="0.25">
      <c r="A33" s="42" t="s">
        <v>59</v>
      </c>
      <c r="B33" s="43"/>
      <c r="C33" s="66" t="s">
        <v>60</v>
      </c>
      <c r="D33" s="66"/>
      <c r="E33" s="43" t="s">
        <v>34</v>
      </c>
      <c r="F33" s="44"/>
      <c r="G33" s="43" t="s">
        <v>31</v>
      </c>
      <c r="H33" s="45">
        <v>1</v>
      </c>
      <c r="I33" s="46">
        <f>1</f>
        <v>1</v>
      </c>
      <c r="J33" s="23"/>
      <c r="K33" s="47"/>
      <c r="L33" s="48"/>
      <c r="M33" s="49"/>
      <c r="N33" s="49">
        <f t="shared" si="0"/>
        <v>0</v>
      </c>
      <c r="O33" s="49"/>
      <c r="P33" s="49"/>
      <c r="Q33" s="49"/>
      <c r="R33" s="23"/>
      <c r="XCY33"/>
      <c r="XCZ33"/>
      <c r="XDA33"/>
      <c r="XDB33"/>
      <c r="XDC33"/>
      <c r="XDD33"/>
      <c r="XDE33"/>
      <c r="XDF33"/>
      <c r="XDG33"/>
      <c r="XDH33"/>
      <c r="XDI33"/>
      <c r="XDJ33"/>
      <c r="XDK33"/>
      <c r="XDL33"/>
      <c r="XDM33"/>
      <c r="XDN33"/>
      <c r="XDO33"/>
      <c r="XDP33"/>
      <c r="XDQ33"/>
      <c r="XDR33"/>
      <c r="XDS33"/>
      <c r="XDT33"/>
      <c r="XDU33"/>
      <c r="XDV33"/>
      <c r="XDW33"/>
      <c r="XDX33"/>
      <c r="XDY33"/>
      <c r="XDZ33"/>
      <c r="XEA33"/>
      <c r="XEB33"/>
      <c r="XEC33"/>
      <c r="XED33"/>
      <c r="XEE33"/>
      <c r="XEF33"/>
      <c r="XEG33"/>
      <c r="XEH33"/>
      <c r="XEI33"/>
      <c r="XEJ33"/>
      <c r="XEK33"/>
      <c r="XEL33"/>
      <c r="XEM33"/>
      <c r="XEN33"/>
      <c r="XEO33"/>
      <c r="XEP33"/>
      <c r="XEQ33"/>
      <c r="XER33"/>
      <c r="XES33"/>
      <c r="XET33"/>
      <c r="XEU33"/>
      <c r="XEV33"/>
      <c r="XEW33"/>
      <c r="XEX33"/>
      <c r="XEY33"/>
      <c r="XEZ33"/>
      <c r="XFA33"/>
      <c r="XFB33"/>
      <c r="XFC33"/>
      <c r="XFD33"/>
    </row>
    <row r="34" spans="1:18 16327:16384" s="26" customFormat="1" ht="29.1" customHeight="1" outlineLevel="3" x14ac:dyDescent="0.25">
      <c r="A34" s="42" t="s">
        <v>61</v>
      </c>
      <c r="B34" s="43"/>
      <c r="C34" s="66" t="s">
        <v>62</v>
      </c>
      <c r="D34" s="66"/>
      <c r="E34" s="43" t="s">
        <v>34</v>
      </c>
      <c r="F34" s="44"/>
      <c r="G34" s="43" t="s">
        <v>31</v>
      </c>
      <c r="H34" s="45">
        <v>1</v>
      </c>
      <c r="I34" s="46">
        <f>1</f>
        <v>1</v>
      </c>
      <c r="J34" s="23"/>
      <c r="K34" s="47"/>
      <c r="L34" s="48"/>
      <c r="M34" s="49"/>
      <c r="N34" s="49">
        <f t="shared" si="0"/>
        <v>0</v>
      </c>
      <c r="O34" s="49"/>
      <c r="P34" s="49"/>
      <c r="Q34" s="49"/>
      <c r="R34" s="23"/>
      <c r="XCY34"/>
      <c r="XCZ34"/>
      <c r="XDA34"/>
      <c r="XDB34"/>
      <c r="XDC34"/>
      <c r="XDD34"/>
      <c r="XDE34"/>
      <c r="XDF34"/>
      <c r="XDG34"/>
      <c r="XDH34"/>
      <c r="XDI34"/>
      <c r="XDJ34"/>
      <c r="XDK34"/>
      <c r="XDL34"/>
      <c r="XDM34"/>
      <c r="XDN34"/>
      <c r="XDO34"/>
      <c r="XDP34"/>
      <c r="XDQ34"/>
      <c r="XDR34"/>
      <c r="XDS34"/>
      <c r="XDT34"/>
      <c r="XDU34"/>
      <c r="XDV34"/>
      <c r="XDW34"/>
      <c r="XDX34"/>
      <c r="XDY34"/>
      <c r="XDZ34"/>
      <c r="XEA34"/>
      <c r="XEB34"/>
      <c r="XEC34"/>
      <c r="XED34"/>
      <c r="XEE34"/>
      <c r="XEF34"/>
      <c r="XEG34"/>
      <c r="XEH34"/>
      <c r="XEI34"/>
      <c r="XEJ34"/>
      <c r="XEK34"/>
      <c r="XEL34"/>
      <c r="XEM34"/>
      <c r="XEN34"/>
      <c r="XEO34"/>
      <c r="XEP34"/>
      <c r="XEQ34"/>
      <c r="XER34"/>
      <c r="XES34"/>
      <c r="XET34"/>
      <c r="XEU34"/>
      <c r="XEV34"/>
      <c r="XEW34"/>
      <c r="XEX34"/>
      <c r="XEY34"/>
      <c r="XEZ34"/>
      <c r="XFA34"/>
      <c r="XFB34"/>
      <c r="XFC34"/>
      <c r="XFD34"/>
    </row>
    <row r="35" spans="1:18 16327:16384" s="26" customFormat="1" ht="29.1" customHeight="1" outlineLevel="2" x14ac:dyDescent="0.25">
      <c r="A35" s="34" t="s">
        <v>63</v>
      </c>
      <c r="B35" s="35"/>
      <c r="C35" s="65" t="s">
        <v>64</v>
      </c>
      <c r="D35" s="65"/>
      <c r="E35" s="35"/>
      <c r="F35" s="36" t="s">
        <v>30</v>
      </c>
      <c r="G35" s="35" t="s">
        <v>65</v>
      </c>
      <c r="H35" s="37"/>
      <c r="I35" s="38">
        <f>816</f>
        <v>816</v>
      </c>
      <c r="J35" s="23"/>
      <c r="K35" s="39"/>
      <c r="L35" s="40"/>
      <c r="M35" s="41"/>
      <c r="N35" s="41"/>
      <c r="O35" s="41"/>
      <c r="P35" s="41"/>
      <c r="Q35" s="41"/>
      <c r="R35" s="23"/>
      <c r="XCY35"/>
      <c r="XCZ35"/>
      <c r="XDA35"/>
      <c r="XDB35"/>
      <c r="XDC35"/>
      <c r="XDD35"/>
      <c r="XDE35"/>
      <c r="XDF35"/>
      <c r="XDG35"/>
      <c r="XDH35"/>
      <c r="XDI35"/>
      <c r="XDJ35"/>
      <c r="XDK35"/>
      <c r="XDL35"/>
      <c r="XDM35"/>
      <c r="XDN35"/>
      <c r="XDO35"/>
      <c r="XDP35"/>
      <c r="XDQ35"/>
      <c r="XDR35"/>
      <c r="XDS35"/>
      <c r="XDT35"/>
      <c r="XDU35"/>
      <c r="XDV35"/>
      <c r="XDW35"/>
      <c r="XDX35"/>
      <c r="XDY35"/>
      <c r="XDZ35"/>
      <c r="XEA35"/>
      <c r="XEB35"/>
      <c r="XEC35"/>
      <c r="XED35"/>
      <c r="XEE35"/>
      <c r="XEF35"/>
      <c r="XEG35"/>
      <c r="XEH35"/>
      <c r="XEI35"/>
      <c r="XEJ35"/>
      <c r="XEK35"/>
      <c r="XEL35"/>
      <c r="XEM35"/>
      <c r="XEN35"/>
      <c r="XEO35"/>
      <c r="XEP35"/>
      <c r="XEQ35"/>
      <c r="XER35"/>
      <c r="XES35"/>
      <c r="XET35"/>
      <c r="XEU35"/>
      <c r="XEV35"/>
      <c r="XEW35"/>
      <c r="XEX35"/>
      <c r="XEY35"/>
      <c r="XEZ35"/>
      <c r="XFA35"/>
      <c r="XFB35"/>
      <c r="XFC35"/>
      <c r="XFD35"/>
    </row>
    <row r="36" spans="1:18 16327:16384" s="26" customFormat="1" ht="29.1" customHeight="1" outlineLevel="3" x14ac:dyDescent="0.25">
      <c r="A36" s="42" t="s">
        <v>66</v>
      </c>
      <c r="B36" s="43"/>
      <c r="C36" s="66" t="s">
        <v>67</v>
      </c>
      <c r="D36" s="66"/>
      <c r="E36" s="43" t="s">
        <v>34</v>
      </c>
      <c r="F36" s="44"/>
      <c r="G36" s="43" t="s">
        <v>65</v>
      </c>
      <c r="H36" s="45">
        <v>1.02</v>
      </c>
      <c r="I36" s="46">
        <f>832.32</f>
        <v>832.32</v>
      </c>
      <c r="J36" s="23"/>
      <c r="K36" s="47"/>
      <c r="L36" s="48"/>
      <c r="M36" s="49"/>
      <c r="N36" s="49">
        <f t="shared" si="0"/>
        <v>0</v>
      </c>
      <c r="O36" s="49"/>
      <c r="P36" s="49"/>
      <c r="Q36" s="49"/>
      <c r="R36" s="23"/>
      <c r="XCY36"/>
      <c r="XCZ36"/>
      <c r="XDA36"/>
      <c r="XDB36"/>
      <c r="XDC36"/>
      <c r="XDD36"/>
      <c r="XDE36"/>
      <c r="XDF36"/>
      <c r="XDG36"/>
      <c r="XDH36"/>
      <c r="XDI36"/>
      <c r="XDJ36"/>
      <c r="XDK36"/>
      <c r="XDL36"/>
      <c r="XDM36"/>
      <c r="XDN36"/>
      <c r="XDO36"/>
      <c r="XDP36"/>
      <c r="XDQ36"/>
      <c r="XDR36"/>
      <c r="XDS36"/>
      <c r="XDT36"/>
      <c r="XDU36"/>
      <c r="XDV36"/>
      <c r="XDW36"/>
      <c r="XDX36"/>
      <c r="XDY36"/>
      <c r="XDZ36"/>
      <c r="XEA36"/>
      <c r="XEB36"/>
      <c r="XEC36"/>
      <c r="XED36"/>
      <c r="XEE36"/>
      <c r="XEF36"/>
      <c r="XEG36"/>
      <c r="XEH36"/>
      <c r="XEI36"/>
      <c r="XEJ36"/>
      <c r="XEK36"/>
      <c r="XEL36"/>
      <c r="XEM36"/>
      <c r="XEN36"/>
      <c r="XEO36"/>
      <c r="XEP36"/>
      <c r="XEQ36"/>
      <c r="XER36"/>
      <c r="XES36"/>
      <c r="XET36"/>
      <c r="XEU36"/>
      <c r="XEV36"/>
      <c r="XEW36"/>
      <c r="XEX36"/>
      <c r="XEY36"/>
      <c r="XEZ36"/>
      <c r="XFA36"/>
      <c r="XFB36"/>
      <c r="XFC36"/>
      <c r="XFD36"/>
    </row>
    <row r="37" spans="1:18 16327:16384" s="26" customFormat="1" ht="29.1" customHeight="1" outlineLevel="2" x14ac:dyDescent="0.25">
      <c r="A37" s="34" t="s">
        <v>68</v>
      </c>
      <c r="B37" s="35"/>
      <c r="C37" s="65" t="s">
        <v>69</v>
      </c>
      <c r="D37" s="65"/>
      <c r="E37" s="35"/>
      <c r="F37" s="36" t="s">
        <v>30</v>
      </c>
      <c r="G37" s="35" t="s">
        <v>65</v>
      </c>
      <c r="H37" s="37"/>
      <c r="I37" s="38">
        <f>248</f>
        <v>248</v>
      </c>
      <c r="J37" s="23"/>
      <c r="K37" s="39"/>
      <c r="L37" s="40"/>
      <c r="M37" s="41"/>
      <c r="N37" s="41"/>
      <c r="O37" s="41"/>
      <c r="P37" s="41"/>
      <c r="Q37" s="41"/>
      <c r="R37" s="23"/>
      <c r="XCY37"/>
      <c r="XCZ37"/>
      <c r="XDA37"/>
      <c r="XDB37"/>
      <c r="XDC37"/>
      <c r="XDD37"/>
      <c r="XDE37"/>
      <c r="XDF37"/>
      <c r="XDG37"/>
      <c r="XDH37"/>
      <c r="XDI37"/>
      <c r="XDJ37"/>
      <c r="XDK37"/>
      <c r="XDL37"/>
      <c r="XDM37"/>
      <c r="XDN37"/>
      <c r="XDO37"/>
      <c r="XDP37"/>
      <c r="XDQ37"/>
      <c r="XDR37"/>
      <c r="XDS37"/>
      <c r="XDT37"/>
      <c r="XDU37"/>
      <c r="XDV37"/>
      <c r="XDW37"/>
      <c r="XDX37"/>
      <c r="XDY37"/>
      <c r="XDZ37"/>
      <c r="XEA37"/>
      <c r="XEB37"/>
      <c r="XEC37"/>
      <c r="XED37"/>
      <c r="XEE37"/>
      <c r="XEF37"/>
      <c r="XEG37"/>
      <c r="XEH37"/>
      <c r="XEI37"/>
      <c r="XEJ37"/>
      <c r="XEK37"/>
      <c r="XEL37"/>
      <c r="XEM37"/>
      <c r="XEN37"/>
      <c r="XEO37"/>
      <c r="XEP37"/>
      <c r="XEQ37"/>
      <c r="XER37"/>
      <c r="XES37"/>
      <c r="XET37"/>
      <c r="XEU37"/>
      <c r="XEV37"/>
      <c r="XEW37"/>
      <c r="XEX37"/>
      <c r="XEY37"/>
      <c r="XEZ37"/>
      <c r="XFA37"/>
      <c r="XFB37"/>
      <c r="XFC37"/>
      <c r="XFD37"/>
    </row>
    <row r="38" spans="1:18 16327:16384" s="26" customFormat="1" ht="29.1" customHeight="1" outlineLevel="3" x14ac:dyDescent="0.25">
      <c r="A38" s="42" t="s">
        <v>70</v>
      </c>
      <c r="B38" s="43"/>
      <c r="C38" s="66" t="s">
        <v>67</v>
      </c>
      <c r="D38" s="66"/>
      <c r="E38" s="43" t="s">
        <v>34</v>
      </c>
      <c r="F38" s="44"/>
      <c r="G38" s="43" t="s">
        <v>65</v>
      </c>
      <c r="H38" s="45">
        <v>1.02</v>
      </c>
      <c r="I38" s="46">
        <f>252.96</f>
        <v>252.96</v>
      </c>
      <c r="J38" s="23"/>
      <c r="K38" s="47"/>
      <c r="L38" s="48"/>
      <c r="M38" s="49"/>
      <c r="N38" s="49">
        <f t="shared" si="0"/>
        <v>0</v>
      </c>
      <c r="O38" s="49"/>
      <c r="P38" s="49"/>
      <c r="Q38" s="49"/>
      <c r="R38" s="23"/>
      <c r="XCY38"/>
      <c r="XCZ38"/>
      <c r="XDA38"/>
      <c r="XDB38"/>
      <c r="XDC38"/>
      <c r="XDD38"/>
      <c r="XDE38"/>
      <c r="XDF38"/>
      <c r="XDG38"/>
      <c r="XDH38"/>
      <c r="XDI38"/>
      <c r="XDJ38"/>
      <c r="XDK38"/>
      <c r="XDL38"/>
      <c r="XDM38"/>
      <c r="XDN38"/>
      <c r="XDO38"/>
      <c r="XDP38"/>
      <c r="XDQ38"/>
      <c r="XDR38"/>
      <c r="XDS38"/>
      <c r="XDT38"/>
      <c r="XDU38"/>
      <c r="XDV38"/>
      <c r="XDW38"/>
      <c r="XDX38"/>
      <c r="XDY38"/>
      <c r="XDZ38"/>
      <c r="XEA38"/>
      <c r="XEB38"/>
      <c r="XEC38"/>
      <c r="XED38"/>
      <c r="XEE38"/>
      <c r="XEF38"/>
      <c r="XEG38"/>
      <c r="XEH38"/>
      <c r="XEI38"/>
      <c r="XEJ38"/>
      <c r="XEK38"/>
      <c r="XEL38"/>
      <c r="XEM38"/>
      <c r="XEN38"/>
      <c r="XEO38"/>
      <c r="XEP38"/>
      <c r="XEQ38"/>
      <c r="XER38"/>
      <c r="XES38"/>
      <c r="XET38"/>
      <c r="XEU38"/>
      <c r="XEV38"/>
      <c r="XEW38"/>
      <c r="XEX38"/>
      <c r="XEY38"/>
      <c r="XEZ38"/>
      <c r="XFA38"/>
      <c r="XFB38"/>
      <c r="XFC38"/>
      <c r="XFD38"/>
    </row>
    <row r="39" spans="1:18 16327:16384" s="26" customFormat="1" ht="29.1" customHeight="1" outlineLevel="2" x14ac:dyDescent="0.25">
      <c r="A39" s="34" t="s">
        <v>71</v>
      </c>
      <c r="B39" s="35"/>
      <c r="C39" s="65" t="s">
        <v>69</v>
      </c>
      <c r="D39" s="65"/>
      <c r="E39" s="35"/>
      <c r="F39" s="36" t="s">
        <v>30</v>
      </c>
      <c r="G39" s="35" t="s">
        <v>65</v>
      </c>
      <c r="H39" s="37"/>
      <c r="I39" s="38">
        <f>9</f>
        <v>9</v>
      </c>
      <c r="J39" s="23"/>
      <c r="K39" s="39"/>
      <c r="L39" s="40"/>
      <c r="M39" s="41"/>
      <c r="N39" s="41"/>
      <c r="O39" s="41"/>
      <c r="P39" s="41"/>
      <c r="Q39" s="41"/>
      <c r="R39" s="23"/>
      <c r="XCY39"/>
      <c r="XCZ39"/>
      <c r="XDA39"/>
      <c r="XDB39"/>
      <c r="XDC39"/>
      <c r="XDD39"/>
      <c r="XDE39"/>
      <c r="XDF39"/>
      <c r="XDG39"/>
      <c r="XDH39"/>
      <c r="XDI39"/>
      <c r="XDJ39"/>
      <c r="XDK39"/>
      <c r="XDL39"/>
      <c r="XDM39"/>
      <c r="XDN39"/>
      <c r="XDO39"/>
      <c r="XDP39"/>
      <c r="XDQ39"/>
      <c r="XDR39"/>
      <c r="XDS39"/>
      <c r="XDT39"/>
      <c r="XDU39"/>
      <c r="XDV39"/>
      <c r="XDW39"/>
      <c r="XDX39"/>
      <c r="XDY39"/>
      <c r="XDZ39"/>
      <c r="XEA39"/>
      <c r="XEB39"/>
      <c r="XEC39"/>
      <c r="XED39"/>
      <c r="XEE39"/>
      <c r="XEF39"/>
      <c r="XEG39"/>
      <c r="XEH39"/>
      <c r="XEI39"/>
      <c r="XEJ39"/>
      <c r="XEK39"/>
      <c r="XEL39"/>
      <c r="XEM39"/>
      <c r="XEN39"/>
      <c r="XEO39"/>
      <c r="XEP39"/>
      <c r="XEQ39"/>
      <c r="XER39"/>
      <c r="XES39"/>
      <c r="XET39"/>
      <c r="XEU39"/>
      <c r="XEV39"/>
      <c r="XEW39"/>
      <c r="XEX39"/>
      <c r="XEY39"/>
      <c r="XEZ39"/>
      <c r="XFA39"/>
      <c r="XFB39"/>
      <c r="XFC39"/>
      <c r="XFD39"/>
    </row>
    <row r="40" spans="1:18 16327:16384" s="26" customFormat="1" ht="29.1" customHeight="1" outlineLevel="3" x14ac:dyDescent="0.25">
      <c r="A40" s="42" t="s">
        <v>72</v>
      </c>
      <c r="B40" s="43"/>
      <c r="C40" s="66" t="s">
        <v>73</v>
      </c>
      <c r="D40" s="66"/>
      <c r="E40" s="43" t="s">
        <v>34</v>
      </c>
      <c r="F40" s="44"/>
      <c r="G40" s="43" t="s">
        <v>65</v>
      </c>
      <c r="H40" s="45">
        <v>1.02</v>
      </c>
      <c r="I40" s="46">
        <f>9.18</f>
        <v>9.18</v>
      </c>
      <c r="J40" s="23"/>
      <c r="K40" s="47"/>
      <c r="L40" s="48"/>
      <c r="M40" s="49"/>
      <c r="N40" s="49">
        <f t="shared" si="0"/>
        <v>0</v>
      </c>
      <c r="O40" s="49"/>
      <c r="P40" s="49"/>
      <c r="Q40" s="49"/>
      <c r="R40" s="23"/>
      <c r="XCY40"/>
      <c r="XCZ40"/>
      <c r="XDA40"/>
      <c r="XDB40"/>
      <c r="XDC40"/>
      <c r="XDD40"/>
      <c r="XDE40"/>
      <c r="XDF40"/>
      <c r="XDG40"/>
      <c r="XDH40"/>
      <c r="XDI40"/>
      <c r="XDJ40"/>
      <c r="XDK40"/>
      <c r="XDL40"/>
      <c r="XDM40"/>
      <c r="XDN40"/>
      <c r="XDO40"/>
      <c r="XDP40"/>
      <c r="XDQ40"/>
      <c r="XDR40"/>
      <c r="XDS40"/>
      <c r="XDT40"/>
      <c r="XDU40"/>
      <c r="XDV40"/>
      <c r="XDW40"/>
      <c r="XDX40"/>
      <c r="XDY40"/>
      <c r="XDZ40"/>
      <c r="XEA40"/>
      <c r="XEB40"/>
      <c r="XEC40"/>
      <c r="XED40"/>
      <c r="XEE40"/>
      <c r="XEF40"/>
      <c r="XEG40"/>
      <c r="XEH40"/>
      <c r="XEI40"/>
      <c r="XEJ40"/>
      <c r="XEK40"/>
      <c r="XEL40"/>
      <c r="XEM40"/>
      <c r="XEN40"/>
      <c r="XEO40"/>
      <c r="XEP40"/>
      <c r="XEQ40"/>
      <c r="XER40"/>
      <c r="XES40"/>
      <c r="XET40"/>
      <c r="XEU40"/>
      <c r="XEV40"/>
      <c r="XEW40"/>
      <c r="XEX40"/>
      <c r="XEY40"/>
      <c r="XEZ40"/>
      <c r="XFA40"/>
      <c r="XFB40"/>
      <c r="XFC40"/>
      <c r="XFD40"/>
    </row>
    <row r="41" spans="1:18 16327:16384" s="26" customFormat="1" ht="29.1" customHeight="1" outlineLevel="2" x14ac:dyDescent="0.25">
      <c r="A41" s="34" t="s">
        <v>74</v>
      </c>
      <c r="B41" s="35"/>
      <c r="C41" s="65" t="s">
        <v>75</v>
      </c>
      <c r="D41" s="65"/>
      <c r="E41" s="35"/>
      <c r="F41" s="36" t="s">
        <v>30</v>
      </c>
      <c r="G41" s="35" t="s">
        <v>65</v>
      </c>
      <c r="H41" s="37"/>
      <c r="I41" s="38">
        <f>9</f>
        <v>9</v>
      </c>
      <c r="J41" s="23"/>
      <c r="K41" s="39"/>
      <c r="L41" s="40"/>
      <c r="M41" s="41"/>
      <c r="N41" s="41"/>
      <c r="O41" s="41"/>
      <c r="P41" s="41"/>
      <c r="Q41" s="41"/>
      <c r="R41" s="23"/>
      <c r="XCY41"/>
      <c r="XCZ41"/>
      <c r="XDA41"/>
      <c r="XDB41"/>
      <c r="XDC41"/>
      <c r="XDD41"/>
      <c r="XDE41"/>
      <c r="XDF41"/>
      <c r="XDG41"/>
      <c r="XDH41"/>
      <c r="XDI41"/>
      <c r="XDJ41"/>
      <c r="XDK41"/>
      <c r="XDL41"/>
      <c r="XDM41"/>
      <c r="XDN41"/>
      <c r="XDO41"/>
      <c r="XDP41"/>
      <c r="XDQ41"/>
      <c r="XDR41"/>
      <c r="XDS41"/>
      <c r="XDT41"/>
      <c r="XDU41"/>
      <c r="XDV41"/>
      <c r="XDW41"/>
      <c r="XDX41"/>
      <c r="XDY41"/>
      <c r="XDZ41"/>
      <c r="XEA41"/>
      <c r="XEB41"/>
      <c r="XEC41"/>
      <c r="XED41"/>
      <c r="XEE41"/>
      <c r="XEF41"/>
      <c r="XEG41"/>
      <c r="XEH41"/>
      <c r="XEI41"/>
      <c r="XEJ41"/>
      <c r="XEK41"/>
      <c r="XEL41"/>
      <c r="XEM41"/>
      <c r="XEN41"/>
      <c r="XEO41"/>
      <c r="XEP41"/>
      <c r="XEQ41"/>
      <c r="XER41"/>
      <c r="XES41"/>
      <c r="XET41"/>
      <c r="XEU41"/>
      <c r="XEV41"/>
      <c r="XEW41"/>
      <c r="XEX41"/>
      <c r="XEY41"/>
      <c r="XEZ41"/>
      <c r="XFA41"/>
      <c r="XFB41"/>
      <c r="XFC41"/>
      <c r="XFD41"/>
    </row>
    <row r="42" spans="1:18 16327:16384" s="26" customFormat="1" ht="29.1" customHeight="1" outlineLevel="3" x14ac:dyDescent="0.25">
      <c r="A42" s="42" t="s">
        <v>76</v>
      </c>
      <c r="B42" s="43"/>
      <c r="C42" s="66" t="s">
        <v>77</v>
      </c>
      <c r="D42" s="66"/>
      <c r="E42" s="43" t="s">
        <v>34</v>
      </c>
      <c r="F42" s="44"/>
      <c r="G42" s="43" t="s">
        <v>65</v>
      </c>
      <c r="H42" s="45">
        <v>1.02</v>
      </c>
      <c r="I42" s="46">
        <f>9.18</f>
        <v>9.18</v>
      </c>
      <c r="J42" s="23"/>
      <c r="K42" s="47"/>
      <c r="L42" s="48"/>
      <c r="M42" s="49"/>
      <c r="N42" s="49">
        <f t="shared" si="0"/>
        <v>0</v>
      </c>
      <c r="O42" s="49"/>
      <c r="P42" s="49"/>
      <c r="Q42" s="49"/>
      <c r="R42" s="23"/>
      <c r="XCY42"/>
      <c r="XCZ42"/>
      <c r="XDA42"/>
      <c r="XDB42"/>
      <c r="XDC42"/>
      <c r="XDD42"/>
      <c r="XDE42"/>
      <c r="XDF42"/>
      <c r="XDG42"/>
      <c r="XDH42"/>
      <c r="XDI42"/>
      <c r="XDJ42"/>
      <c r="XDK42"/>
      <c r="XDL42"/>
      <c r="XDM42"/>
      <c r="XDN42"/>
      <c r="XDO42"/>
      <c r="XDP42"/>
      <c r="XDQ42"/>
      <c r="XDR42"/>
      <c r="XDS42"/>
      <c r="XDT42"/>
      <c r="XDU42"/>
      <c r="XDV42"/>
      <c r="XDW42"/>
      <c r="XDX42"/>
      <c r="XDY42"/>
      <c r="XDZ42"/>
      <c r="XEA42"/>
      <c r="XEB42"/>
      <c r="XEC42"/>
      <c r="XED42"/>
      <c r="XEE42"/>
      <c r="XEF42"/>
      <c r="XEG42"/>
      <c r="XEH42"/>
      <c r="XEI42"/>
      <c r="XEJ42"/>
      <c r="XEK42"/>
      <c r="XEL42"/>
      <c r="XEM42"/>
      <c r="XEN42"/>
      <c r="XEO42"/>
      <c r="XEP42"/>
      <c r="XEQ42"/>
      <c r="XER42"/>
      <c r="XES42"/>
      <c r="XET42"/>
      <c r="XEU42"/>
      <c r="XEV42"/>
      <c r="XEW42"/>
      <c r="XEX42"/>
      <c r="XEY42"/>
      <c r="XEZ42"/>
      <c r="XFA42"/>
      <c r="XFB42"/>
      <c r="XFC42"/>
      <c r="XFD42"/>
    </row>
    <row r="43" spans="1:18 16327:16384" s="26" customFormat="1" ht="29.1" customHeight="1" outlineLevel="2" x14ac:dyDescent="0.25">
      <c r="A43" s="34" t="s">
        <v>78</v>
      </c>
      <c r="B43" s="35"/>
      <c r="C43" s="65" t="s">
        <v>79</v>
      </c>
      <c r="D43" s="65"/>
      <c r="E43" s="35"/>
      <c r="F43" s="36" t="s">
        <v>30</v>
      </c>
      <c r="G43" s="35" t="s">
        <v>65</v>
      </c>
      <c r="H43" s="37"/>
      <c r="I43" s="38">
        <f>266</f>
        <v>266</v>
      </c>
      <c r="J43" s="23"/>
      <c r="K43" s="39"/>
      <c r="L43" s="40"/>
      <c r="M43" s="41">
        <f>K43+L43</f>
        <v>0</v>
      </c>
      <c r="N43" s="41">
        <f t="shared" si="0"/>
        <v>0</v>
      </c>
      <c r="O43" s="41">
        <f>ROUND((I43*L43),2)</f>
        <v>0</v>
      </c>
      <c r="P43" s="41">
        <f>ROUND((I43*M43),2)</f>
        <v>0</v>
      </c>
      <c r="Q43" s="41"/>
      <c r="R43" s="23"/>
      <c r="XCY43"/>
      <c r="XCZ43"/>
      <c r="XDA43"/>
      <c r="XDB43"/>
      <c r="XDC43"/>
      <c r="XDD43"/>
      <c r="XDE43"/>
      <c r="XDF43"/>
      <c r="XDG43"/>
      <c r="XDH43"/>
      <c r="XDI43"/>
      <c r="XDJ43"/>
      <c r="XDK43"/>
      <c r="XDL43"/>
      <c r="XDM43"/>
      <c r="XDN43"/>
      <c r="XDO43"/>
      <c r="XDP43"/>
      <c r="XDQ43"/>
      <c r="XDR43"/>
      <c r="XDS43"/>
      <c r="XDT43"/>
      <c r="XDU43"/>
      <c r="XDV43"/>
      <c r="XDW43"/>
      <c r="XDX43"/>
      <c r="XDY43"/>
      <c r="XDZ43"/>
      <c r="XEA43"/>
      <c r="XEB43"/>
      <c r="XEC43"/>
      <c r="XED43"/>
      <c r="XEE43"/>
      <c r="XEF43"/>
      <c r="XEG43"/>
      <c r="XEH43"/>
      <c r="XEI43"/>
      <c r="XEJ43"/>
      <c r="XEK43"/>
      <c r="XEL43"/>
      <c r="XEM43"/>
      <c r="XEN43"/>
      <c r="XEO43"/>
      <c r="XEP43"/>
      <c r="XEQ43"/>
      <c r="XER43"/>
      <c r="XES43"/>
      <c r="XET43"/>
      <c r="XEU43"/>
      <c r="XEV43"/>
      <c r="XEW43"/>
      <c r="XEX43"/>
      <c r="XEY43"/>
      <c r="XEZ43"/>
      <c r="XFA43"/>
      <c r="XFB43"/>
      <c r="XFC43"/>
      <c r="XFD43"/>
    </row>
    <row r="44" spans="1:18 16327:16384" s="26" customFormat="1" ht="29.1" customHeight="1" outlineLevel="3" x14ac:dyDescent="0.25">
      <c r="A44" s="42" t="s">
        <v>80</v>
      </c>
      <c r="B44" s="43"/>
      <c r="C44" s="66" t="s">
        <v>81</v>
      </c>
      <c r="D44" s="66"/>
      <c r="E44" s="43" t="s">
        <v>34</v>
      </c>
      <c r="F44" s="44"/>
      <c r="G44" s="43" t="s">
        <v>65</v>
      </c>
      <c r="H44" s="45">
        <v>1.012</v>
      </c>
      <c r="I44" s="46">
        <f>269.192</f>
        <v>269.19200000000001</v>
      </c>
      <c r="J44" s="23"/>
      <c r="K44" s="47"/>
      <c r="L44" s="48"/>
      <c r="M44" s="49"/>
      <c r="N44" s="49">
        <f t="shared" si="0"/>
        <v>0</v>
      </c>
      <c r="O44" s="49"/>
      <c r="P44" s="49"/>
      <c r="Q44" s="49"/>
      <c r="R44" s="23"/>
      <c r="XCY44"/>
      <c r="XCZ44"/>
      <c r="XDA44"/>
      <c r="XDB44"/>
      <c r="XDC44"/>
      <c r="XDD44"/>
      <c r="XDE44"/>
      <c r="XDF44"/>
      <c r="XDG44"/>
      <c r="XDH44"/>
      <c r="XDI44"/>
      <c r="XDJ44"/>
      <c r="XDK44"/>
      <c r="XDL44"/>
      <c r="XDM44"/>
      <c r="XDN44"/>
      <c r="XDO44"/>
      <c r="XDP44"/>
      <c r="XDQ44"/>
      <c r="XDR44"/>
      <c r="XDS44"/>
      <c r="XDT44"/>
      <c r="XDU44"/>
      <c r="XDV44"/>
      <c r="XDW44"/>
      <c r="XDX44"/>
      <c r="XDY44"/>
      <c r="XDZ44"/>
      <c r="XEA44"/>
      <c r="XEB44"/>
      <c r="XEC44"/>
      <c r="XED44"/>
      <c r="XEE44"/>
      <c r="XEF44"/>
      <c r="XEG44"/>
      <c r="XEH44"/>
      <c r="XEI44"/>
      <c r="XEJ44"/>
      <c r="XEK44"/>
      <c r="XEL44"/>
      <c r="XEM44"/>
      <c r="XEN44"/>
      <c r="XEO44"/>
      <c r="XEP44"/>
      <c r="XEQ44"/>
      <c r="XER44"/>
      <c r="XES44"/>
      <c r="XET44"/>
      <c r="XEU44"/>
      <c r="XEV44"/>
      <c r="XEW44"/>
      <c r="XEX44"/>
      <c r="XEY44"/>
      <c r="XEZ44"/>
      <c r="XFA44"/>
      <c r="XFB44"/>
      <c r="XFC44"/>
      <c r="XFD44"/>
    </row>
    <row r="45" spans="1:18 16327:16384" s="26" customFormat="1" ht="29.1" customHeight="1" outlineLevel="3" x14ac:dyDescent="0.25">
      <c r="A45" s="42" t="s">
        <v>82</v>
      </c>
      <c r="B45" s="43"/>
      <c r="C45" s="66" t="s">
        <v>83</v>
      </c>
      <c r="D45" s="66"/>
      <c r="E45" s="43" t="s">
        <v>34</v>
      </c>
      <c r="F45" s="44"/>
      <c r="G45" s="43" t="s">
        <v>31</v>
      </c>
      <c r="H45" s="45">
        <v>1</v>
      </c>
      <c r="I45" s="46">
        <f>2100</f>
        <v>2100</v>
      </c>
      <c r="J45" s="23"/>
      <c r="K45" s="47"/>
      <c r="L45" s="48"/>
      <c r="M45" s="49"/>
      <c r="N45" s="49">
        <f t="shared" si="0"/>
        <v>0</v>
      </c>
      <c r="O45" s="49"/>
      <c r="P45" s="49"/>
      <c r="Q45" s="49"/>
      <c r="R45" s="23"/>
      <c r="XCY45"/>
      <c r="XCZ45"/>
      <c r="XDA45"/>
      <c r="XDB45"/>
      <c r="XDC45"/>
      <c r="XDD45"/>
      <c r="XDE45"/>
      <c r="XDF45"/>
      <c r="XDG45"/>
      <c r="XDH45"/>
      <c r="XDI45"/>
      <c r="XDJ45"/>
      <c r="XDK45"/>
      <c r="XDL45"/>
      <c r="XDM45"/>
      <c r="XDN45"/>
      <c r="XDO45"/>
      <c r="XDP45"/>
      <c r="XDQ45"/>
      <c r="XDR45"/>
      <c r="XDS45"/>
      <c r="XDT45"/>
      <c r="XDU45"/>
      <c r="XDV45"/>
      <c r="XDW45"/>
      <c r="XDX45"/>
      <c r="XDY45"/>
      <c r="XDZ45"/>
      <c r="XEA45"/>
      <c r="XEB45"/>
      <c r="XEC45"/>
      <c r="XED45"/>
      <c r="XEE45"/>
      <c r="XEF45"/>
      <c r="XEG45"/>
      <c r="XEH45"/>
      <c r="XEI45"/>
      <c r="XEJ45"/>
      <c r="XEK45"/>
      <c r="XEL45"/>
      <c r="XEM45"/>
      <c r="XEN45"/>
      <c r="XEO45"/>
      <c r="XEP45"/>
      <c r="XEQ45"/>
      <c r="XER45"/>
      <c r="XES45"/>
      <c r="XET45"/>
      <c r="XEU45"/>
      <c r="XEV45"/>
      <c r="XEW45"/>
      <c r="XEX45"/>
      <c r="XEY45"/>
      <c r="XEZ45"/>
      <c r="XFA45"/>
      <c r="XFB45"/>
      <c r="XFC45"/>
      <c r="XFD45"/>
    </row>
    <row r="46" spans="1:18 16327:16384" s="26" customFormat="1" ht="29.1" customHeight="1" outlineLevel="2" x14ac:dyDescent="0.25">
      <c r="A46" s="34" t="s">
        <v>84</v>
      </c>
      <c r="B46" s="35"/>
      <c r="C46" s="65" t="s">
        <v>85</v>
      </c>
      <c r="D46" s="65"/>
      <c r="E46" s="35"/>
      <c r="F46" s="36" t="s">
        <v>30</v>
      </c>
      <c r="G46" s="35" t="s">
        <v>31</v>
      </c>
      <c r="H46" s="37"/>
      <c r="I46" s="38">
        <f>6</f>
        <v>6</v>
      </c>
      <c r="J46" s="23"/>
      <c r="K46" s="39"/>
      <c r="L46" s="40"/>
      <c r="M46" s="41">
        <f>K46+L46</f>
        <v>0</v>
      </c>
      <c r="N46" s="41">
        <f t="shared" si="0"/>
        <v>0</v>
      </c>
      <c r="O46" s="41">
        <f>ROUND((I46*L46),2)</f>
        <v>0</v>
      </c>
      <c r="P46" s="41">
        <f>ROUND((I46*M46),2)</f>
        <v>0</v>
      </c>
      <c r="Q46" s="41"/>
      <c r="R46" s="23"/>
      <c r="XCY46"/>
      <c r="XCZ46"/>
      <c r="XDA46"/>
      <c r="XDB46"/>
      <c r="XDC46"/>
      <c r="XDD46"/>
      <c r="XDE46"/>
      <c r="XDF46"/>
      <c r="XDG46"/>
      <c r="XDH46"/>
      <c r="XDI46"/>
      <c r="XDJ46"/>
      <c r="XDK46"/>
      <c r="XDL46"/>
      <c r="XDM46"/>
      <c r="XDN46"/>
      <c r="XDO46"/>
      <c r="XDP46"/>
      <c r="XDQ46"/>
      <c r="XDR46"/>
      <c r="XDS46"/>
      <c r="XDT46"/>
      <c r="XDU46"/>
      <c r="XDV46"/>
      <c r="XDW46"/>
      <c r="XDX46"/>
      <c r="XDY46"/>
      <c r="XDZ46"/>
      <c r="XEA46"/>
      <c r="XEB46"/>
      <c r="XEC46"/>
      <c r="XED46"/>
      <c r="XEE46"/>
      <c r="XEF46"/>
      <c r="XEG46"/>
      <c r="XEH46"/>
      <c r="XEI46"/>
      <c r="XEJ46"/>
      <c r="XEK46"/>
      <c r="XEL46"/>
      <c r="XEM46"/>
      <c r="XEN46"/>
      <c r="XEO46"/>
      <c r="XEP46"/>
      <c r="XEQ46"/>
      <c r="XER46"/>
      <c r="XES46"/>
      <c r="XET46"/>
      <c r="XEU46"/>
      <c r="XEV46"/>
      <c r="XEW46"/>
      <c r="XEX46"/>
      <c r="XEY46"/>
      <c r="XEZ46"/>
      <c r="XFA46"/>
      <c r="XFB46"/>
      <c r="XFC46"/>
      <c r="XFD46"/>
    </row>
    <row r="47" spans="1:18 16327:16384" s="26" customFormat="1" ht="29.1" customHeight="1" outlineLevel="3" x14ac:dyDescent="0.25">
      <c r="A47" s="42" t="s">
        <v>86</v>
      </c>
      <c r="B47" s="43"/>
      <c r="C47" s="66" t="s">
        <v>87</v>
      </c>
      <c r="D47" s="66"/>
      <c r="E47" s="43" t="s">
        <v>34</v>
      </c>
      <c r="F47" s="44"/>
      <c r="G47" s="43" t="s">
        <v>31</v>
      </c>
      <c r="H47" s="45">
        <v>1</v>
      </c>
      <c r="I47" s="46">
        <f>10</f>
        <v>10</v>
      </c>
      <c r="J47" s="23"/>
      <c r="K47" s="47"/>
      <c r="L47" s="48"/>
      <c r="M47" s="49"/>
      <c r="N47" s="49">
        <f t="shared" si="0"/>
        <v>0</v>
      </c>
      <c r="O47" s="49"/>
      <c r="P47" s="49"/>
      <c r="Q47" s="49"/>
      <c r="R47" s="23"/>
      <c r="XCY47"/>
      <c r="XCZ47"/>
      <c r="XDA47"/>
      <c r="XDB47"/>
      <c r="XDC47"/>
      <c r="XDD47"/>
      <c r="XDE47"/>
      <c r="XDF47"/>
      <c r="XDG47"/>
      <c r="XDH47"/>
      <c r="XDI47"/>
      <c r="XDJ47"/>
      <c r="XDK47"/>
      <c r="XDL47"/>
      <c r="XDM47"/>
      <c r="XDN47"/>
      <c r="XDO47"/>
      <c r="XDP47"/>
      <c r="XDQ47"/>
      <c r="XDR47"/>
      <c r="XDS47"/>
      <c r="XDT47"/>
      <c r="XDU47"/>
      <c r="XDV47"/>
      <c r="XDW47"/>
      <c r="XDX47"/>
      <c r="XDY47"/>
      <c r="XDZ47"/>
      <c r="XEA47"/>
      <c r="XEB47"/>
      <c r="XEC47"/>
      <c r="XED47"/>
      <c r="XEE47"/>
      <c r="XEF47"/>
      <c r="XEG47"/>
      <c r="XEH47"/>
      <c r="XEI47"/>
      <c r="XEJ47"/>
      <c r="XEK47"/>
      <c r="XEL47"/>
      <c r="XEM47"/>
      <c r="XEN47"/>
      <c r="XEO47"/>
      <c r="XEP47"/>
      <c r="XEQ47"/>
      <c r="XER47"/>
      <c r="XES47"/>
      <c r="XET47"/>
      <c r="XEU47"/>
      <c r="XEV47"/>
      <c r="XEW47"/>
      <c r="XEX47"/>
      <c r="XEY47"/>
      <c r="XEZ47"/>
      <c r="XFA47"/>
      <c r="XFB47"/>
      <c r="XFC47"/>
      <c r="XFD47"/>
    </row>
    <row r="48" spans="1:18 16327:16384" s="26" customFormat="1" ht="29.1" customHeight="1" outlineLevel="2" x14ac:dyDescent="0.25">
      <c r="A48" s="34" t="s">
        <v>88</v>
      </c>
      <c r="B48" s="35"/>
      <c r="C48" s="65" t="s">
        <v>89</v>
      </c>
      <c r="D48" s="65"/>
      <c r="E48" s="35"/>
      <c r="F48" s="36"/>
      <c r="G48" s="35" t="s">
        <v>90</v>
      </c>
      <c r="H48" s="37">
        <v>1</v>
      </c>
      <c r="I48" s="38">
        <f>1</f>
        <v>1</v>
      </c>
      <c r="J48" s="23"/>
      <c r="K48" s="39"/>
      <c r="L48" s="40"/>
      <c r="M48" s="41">
        <f>K48+L48</f>
        <v>0</v>
      </c>
      <c r="N48" s="41">
        <f t="shared" si="0"/>
        <v>0</v>
      </c>
      <c r="O48" s="41">
        <f>ROUND((I48*L48),2)</f>
        <v>0</v>
      </c>
      <c r="P48" s="41">
        <f>ROUND((I48*M48),2)</f>
        <v>0</v>
      </c>
      <c r="Q48" s="41"/>
      <c r="R48" s="23"/>
      <c r="XCY48"/>
      <c r="XCZ48"/>
      <c r="XDA48"/>
      <c r="XDB48"/>
      <c r="XDC48"/>
      <c r="XDD48"/>
      <c r="XDE48"/>
      <c r="XDF48"/>
      <c r="XDG48"/>
      <c r="XDH48"/>
      <c r="XDI48"/>
      <c r="XDJ48"/>
      <c r="XDK48"/>
      <c r="XDL48"/>
      <c r="XDM48"/>
      <c r="XDN48"/>
      <c r="XDO48"/>
      <c r="XDP48"/>
      <c r="XDQ48"/>
      <c r="XDR48"/>
      <c r="XDS48"/>
      <c r="XDT48"/>
      <c r="XDU48"/>
      <c r="XDV48"/>
      <c r="XDW48"/>
      <c r="XDX48"/>
      <c r="XDY48"/>
      <c r="XDZ48"/>
      <c r="XEA48"/>
      <c r="XEB48"/>
      <c r="XEC48"/>
      <c r="XED48"/>
      <c r="XEE48"/>
      <c r="XEF48"/>
      <c r="XEG48"/>
      <c r="XEH48"/>
      <c r="XEI48"/>
      <c r="XEJ48"/>
      <c r="XEK48"/>
      <c r="XEL48"/>
      <c r="XEM48"/>
      <c r="XEN48"/>
      <c r="XEO48"/>
      <c r="XEP48"/>
      <c r="XEQ48"/>
      <c r="XER48"/>
      <c r="XES48"/>
      <c r="XET48"/>
      <c r="XEU48"/>
      <c r="XEV48"/>
      <c r="XEW48"/>
      <c r="XEX48"/>
      <c r="XEY48"/>
      <c r="XEZ48"/>
      <c r="XFA48"/>
      <c r="XFB48"/>
      <c r="XFC48"/>
      <c r="XFD48"/>
    </row>
    <row r="49" spans="1:18 16327:16384" s="26" customFormat="1" ht="29.1" customHeight="1" outlineLevel="1" x14ac:dyDescent="0.25">
      <c r="A49" s="27" t="s">
        <v>91</v>
      </c>
      <c r="B49" s="28" t="s">
        <v>32</v>
      </c>
      <c r="C49" s="69" t="s">
        <v>92</v>
      </c>
      <c r="D49" s="69"/>
      <c r="E49" s="28"/>
      <c r="F49" s="29"/>
      <c r="G49" s="28"/>
      <c r="H49" s="30"/>
      <c r="I49" s="31"/>
      <c r="J49" s="23"/>
      <c r="K49" s="32"/>
      <c r="L49" s="32"/>
      <c r="M49" s="32"/>
      <c r="N49" s="32">
        <f>N50+N62+N64+N66+N68+N70+N72+N74+N79+N83+N85+N87+N100+N102+N104+N106+N108+N113+N115+N119+N121+N123+N126+N128+N130+N132+N134+N136+N138+N140+N142+N144+N146+N149+N153+N157</f>
        <v>0</v>
      </c>
      <c r="O49" s="32">
        <f>O50+O62+O64+O66+O68+O70+O72+O74+O79+O83+O85+O87+O100+O102+O104+O106+O108+O113+O115+O119+O121+O123+O126+O128+O130+O132+O134+O136+O138+O140+O142+O144+O146+O149+O153+O157</f>
        <v>0</v>
      </c>
      <c r="P49" s="32">
        <f>P50+P62+P64+P66+P68+P70+P72+P74+P79+P83+P85+P87+P100+P102+P104+P106+P108+P113+P115+P119+P121+P123+P126+P128+P130+P132+P134+P136+P138+P140+P142+P144+P146+P149+P153+P157</f>
        <v>0</v>
      </c>
      <c r="Q49" s="33"/>
      <c r="R49" s="23"/>
      <c r="XCY49"/>
      <c r="XCZ49"/>
      <c r="XDA49"/>
      <c r="XDB49"/>
      <c r="XDC49"/>
      <c r="XDD49"/>
      <c r="XDE49"/>
      <c r="XDF49"/>
      <c r="XDG49"/>
      <c r="XDH49"/>
      <c r="XDI49"/>
      <c r="XDJ49"/>
      <c r="XDK49"/>
      <c r="XDL49"/>
      <c r="XDM49"/>
      <c r="XDN49"/>
      <c r="XDO49"/>
      <c r="XDP49"/>
      <c r="XDQ49"/>
      <c r="XDR49"/>
      <c r="XDS49"/>
      <c r="XDT49"/>
      <c r="XDU49"/>
      <c r="XDV49"/>
      <c r="XDW49"/>
      <c r="XDX49"/>
      <c r="XDY49"/>
      <c r="XDZ49"/>
      <c r="XEA49"/>
      <c r="XEB49"/>
      <c r="XEC49"/>
      <c r="XED49"/>
      <c r="XEE49"/>
      <c r="XEF49"/>
      <c r="XEG49"/>
      <c r="XEH49"/>
      <c r="XEI49"/>
      <c r="XEJ49"/>
      <c r="XEK49"/>
      <c r="XEL49"/>
      <c r="XEM49"/>
      <c r="XEN49"/>
      <c r="XEO49"/>
      <c r="XEP49"/>
      <c r="XEQ49"/>
      <c r="XER49"/>
      <c r="XES49"/>
      <c r="XET49"/>
      <c r="XEU49"/>
      <c r="XEV49"/>
      <c r="XEW49"/>
      <c r="XEX49"/>
      <c r="XEY49"/>
      <c r="XEZ49"/>
      <c r="XFA49"/>
      <c r="XFB49"/>
      <c r="XFC49"/>
      <c r="XFD49"/>
    </row>
    <row r="50" spans="1:18 16327:16384" s="26" customFormat="1" ht="29.1" customHeight="1" outlineLevel="2" x14ac:dyDescent="0.25">
      <c r="A50" s="34" t="s">
        <v>93</v>
      </c>
      <c r="B50" s="35"/>
      <c r="C50" s="65" t="s">
        <v>94</v>
      </c>
      <c r="D50" s="65"/>
      <c r="E50" s="35"/>
      <c r="F50" s="36" t="s">
        <v>95</v>
      </c>
      <c r="G50" s="35" t="s">
        <v>31</v>
      </c>
      <c r="H50" s="37"/>
      <c r="I50" s="38">
        <f>1</f>
        <v>1</v>
      </c>
      <c r="J50" s="23"/>
      <c r="K50" s="39"/>
      <c r="L50" s="40"/>
      <c r="M50" s="41">
        <f>K50+L50</f>
        <v>0</v>
      </c>
      <c r="N50" s="41">
        <f t="shared" ref="N50:N81" si="1">ROUND((I50*K50),2)</f>
        <v>0</v>
      </c>
      <c r="O50" s="41">
        <f>ROUND((I50*L50),2)</f>
        <v>0</v>
      </c>
      <c r="P50" s="41">
        <f>ROUND((I50*M50),2)</f>
        <v>0</v>
      </c>
      <c r="Q50" s="41"/>
      <c r="R50" s="23"/>
      <c r="XCY50"/>
      <c r="XCZ50"/>
      <c r="XDA50"/>
      <c r="XDB50"/>
      <c r="XDC50"/>
      <c r="XDD50"/>
      <c r="XDE50"/>
      <c r="XDF50"/>
      <c r="XDG50"/>
      <c r="XDH50"/>
      <c r="XDI50"/>
      <c r="XDJ50"/>
      <c r="XDK50"/>
      <c r="XDL50"/>
      <c r="XDM50"/>
      <c r="XDN50"/>
      <c r="XDO50"/>
      <c r="XDP50"/>
      <c r="XDQ50"/>
      <c r="XDR50"/>
      <c r="XDS50"/>
      <c r="XDT50"/>
      <c r="XDU50"/>
      <c r="XDV50"/>
      <c r="XDW50"/>
      <c r="XDX50"/>
      <c r="XDY50"/>
      <c r="XDZ50"/>
      <c r="XEA50"/>
      <c r="XEB50"/>
      <c r="XEC50"/>
      <c r="XED50"/>
      <c r="XEE50"/>
      <c r="XEF50"/>
      <c r="XEG50"/>
      <c r="XEH50"/>
      <c r="XEI50"/>
      <c r="XEJ50"/>
      <c r="XEK50"/>
      <c r="XEL50"/>
      <c r="XEM50"/>
      <c r="XEN50"/>
      <c r="XEO50"/>
      <c r="XEP50"/>
      <c r="XEQ50"/>
      <c r="XER50"/>
      <c r="XES50"/>
      <c r="XET50"/>
      <c r="XEU50"/>
      <c r="XEV50"/>
      <c r="XEW50"/>
      <c r="XEX50"/>
      <c r="XEY50"/>
      <c r="XEZ50"/>
      <c r="XFA50"/>
      <c r="XFB50"/>
      <c r="XFC50"/>
      <c r="XFD50"/>
    </row>
    <row r="51" spans="1:18 16327:16384" s="26" customFormat="1" ht="29.1" customHeight="1" outlineLevel="3" x14ac:dyDescent="0.25">
      <c r="A51" s="42" t="s">
        <v>96</v>
      </c>
      <c r="B51" s="43"/>
      <c r="C51" s="66" t="s">
        <v>97</v>
      </c>
      <c r="D51" s="66"/>
      <c r="E51" s="43" t="s">
        <v>34</v>
      </c>
      <c r="F51" s="44"/>
      <c r="G51" s="43" t="s">
        <v>31</v>
      </c>
      <c r="H51" s="45">
        <v>1</v>
      </c>
      <c r="I51" s="46">
        <f>1</f>
        <v>1</v>
      </c>
      <c r="J51" s="23"/>
      <c r="K51" s="47"/>
      <c r="L51" s="48"/>
      <c r="M51" s="49"/>
      <c r="N51" s="49">
        <f t="shared" si="1"/>
        <v>0</v>
      </c>
      <c r="O51" s="49"/>
      <c r="P51" s="49"/>
      <c r="Q51" s="49"/>
      <c r="R51" s="23"/>
      <c r="XCY51"/>
      <c r="XCZ51"/>
      <c r="XDA51"/>
      <c r="XDB51"/>
      <c r="XDC51"/>
      <c r="XDD51"/>
      <c r="XDE51"/>
      <c r="XDF51"/>
      <c r="XDG51"/>
      <c r="XDH51"/>
      <c r="XDI51"/>
      <c r="XDJ51"/>
      <c r="XDK51"/>
      <c r="XDL51"/>
      <c r="XDM51"/>
      <c r="XDN51"/>
      <c r="XDO51"/>
      <c r="XDP51"/>
      <c r="XDQ51"/>
      <c r="XDR51"/>
      <c r="XDS51"/>
      <c r="XDT51"/>
      <c r="XDU51"/>
      <c r="XDV51"/>
      <c r="XDW51"/>
      <c r="XDX51"/>
      <c r="XDY51"/>
      <c r="XDZ51"/>
      <c r="XEA51"/>
      <c r="XEB51"/>
      <c r="XEC51"/>
      <c r="XED51"/>
      <c r="XEE51"/>
      <c r="XEF51"/>
      <c r="XEG51"/>
      <c r="XEH51"/>
      <c r="XEI51"/>
      <c r="XEJ51"/>
      <c r="XEK51"/>
      <c r="XEL51"/>
      <c r="XEM51"/>
      <c r="XEN51"/>
      <c r="XEO51"/>
      <c r="XEP51"/>
      <c r="XEQ51"/>
      <c r="XER51"/>
      <c r="XES51"/>
      <c r="XET51"/>
      <c r="XEU51"/>
      <c r="XEV51"/>
      <c r="XEW51"/>
      <c r="XEX51"/>
      <c r="XEY51"/>
      <c r="XEZ51"/>
      <c r="XFA51"/>
      <c r="XFB51"/>
      <c r="XFC51"/>
      <c r="XFD51"/>
    </row>
    <row r="52" spans="1:18 16327:16384" s="26" customFormat="1" ht="29.1" customHeight="1" outlineLevel="3" x14ac:dyDescent="0.25">
      <c r="A52" s="42" t="s">
        <v>98</v>
      </c>
      <c r="B52" s="43"/>
      <c r="C52" s="66" t="s">
        <v>99</v>
      </c>
      <c r="D52" s="66"/>
      <c r="E52" s="43" t="s">
        <v>34</v>
      </c>
      <c r="F52" s="44"/>
      <c r="G52" s="43" t="s">
        <v>31</v>
      </c>
      <c r="H52" s="45">
        <v>1</v>
      </c>
      <c r="I52" s="46">
        <f>1</f>
        <v>1</v>
      </c>
      <c r="J52" s="23"/>
      <c r="K52" s="47"/>
      <c r="L52" s="48"/>
      <c r="M52" s="49"/>
      <c r="N52" s="49">
        <f t="shared" si="1"/>
        <v>0</v>
      </c>
      <c r="O52" s="49"/>
      <c r="P52" s="49"/>
      <c r="Q52" s="49"/>
      <c r="R52" s="23"/>
      <c r="XCY52"/>
      <c r="XCZ52"/>
      <c r="XDA52"/>
      <c r="XDB52"/>
      <c r="XDC52"/>
      <c r="XDD52"/>
      <c r="XDE52"/>
      <c r="XDF52"/>
      <c r="XDG52"/>
      <c r="XDH52"/>
      <c r="XDI52"/>
      <c r="XDJ52"/>
      <c r="XDK52"/>
      <c r="XDL52"/>
      <c r="XDM52"/>
      <c r="XDN52"/>
      <c r="XDO52"/>
      <c r="XDP52"/>
      <c r="XDQ52"/>
      <c r="XDR52"/>
      <c r="XDS52"/>
      <c r="XDT52"/>
      <c r="XDU52"/>
      <c r="XDV52"/>
      <c r="XDW52"/>
      <c r="XDX52"/>
      <c r="XDY52"/>
      <c r="XDZ52"/>
      <c r="XEA52"/>
      <c r="XEB52"/>
      <c r="XEC52"/>
      <c r="XED52"/>
      <c r="XEE52"/>
      <c r="XEF52"/>
      <c r="XEG52"/>
      <c r="XEH52"/>
      <c r="XEI52"/>
      <c r="XEJ52"/>
      <c r="XEK52"/>
      <c r="XEL52"/>
      <c r="XEM52"/>
      <c r="XEN52"/>
      <c r="XEO52"/>
      <c r="XEP52"/>
      <c r="XEQ52"/>
      <c r="XER52"/>
      <c r="XES52"/>
      <c r="XET52"/>
      <c r="XEU52"/>
      <c r="XEV52"/>
      <c r="XEW52"/>
      <c r="XEX52"/>
      <c r="XEY52"/>
      <c r="XEZ52"/>
      <c r="XFA52"/>
      <c r="XFB52"/>
      <c r="XFC52"/>
      <c r="XFD52"/>
    </row>
    <row r="53" spans="1:18 16327:16384" s="26" customFormat="1" ht="29.1" customHeight="1" outlineLevel="3" x14ac:dyDescent="0.25">
      <c r="A53" s="42" t="s">
        <v>100</v>
      </c>
      <c r="B53" s="43"/>
      <c r="C53" s="66" t="s">
        <v>101</v>
      </c>
      <c r="D53" s="66"/>
      <c r="E53" s="43" t="s">
        <v>34</v>
      </c>
      <c r="F53" s="44"/>
      <c r="G53" s="43" t="s">
        <v>31</v>
      </c>
      <c r="H53" s="45">
        <v>1</v>
      </c>
      <c r="I53" s="46">
        <f>1</f>
        <v>1</v>
      </c>
      <c r="J53" s="23"/>
      <c r="K53" s="47"/>
      <c r="L53" s="48"/>
      <c r="M53" s="49"/>
      <c r="N53" s="49">
        <f t="shared" si="1"/>
        <v>0</v>
      </c>
      <c r="O53" s="49"/>
      <c r="P53" s="49"/>
      <c r="Q53" s="49"/>
      <c r="R53" s="23"/>
      <c r="XCY53"/>
      <c r="XCZ53"/>
      <c r="XDA53"/>
      <c r="XDB53"/>
      <c r="XDC53"/>
      <c r="XDD53"/>
      <c r="XDE53"/>
      <c r="XDF53"/>
      <c r="XDG53"/>
      <c r="XDH53"/>
      <c r="XDI53"/>
      <c r="XDJ53"/>
      <c r="XDK53"/>
      <c r="XDL53"/>
      <c r="XDM53"/>
      <c r="XDN53"/>
      <c r="XDO53"/>
      <c r="XDP53"/>
      <c r="XDQ53"/>
      <c r="XDR53"/>
      <c r="XDS53"/>
      <c r="XDT53"/>
      <c r="XDU53"/>
      <c r="XDV53"/>
      <c r="XDW53"/>
      <c r="XDX53"/>
      <c r="XDY53"/>
      <c r="XDZ53"/>
      <c r="XEA53"/>
      <c r="XEB53"/>
      <c r="XEC53"/>
      <c r="XED53"/>
      <c r="XEE53"/>
      <c r="XEF53"/>
      <c r="XEG53"/>
      <c r="XEH53"/>
      <c r="XEI53"/>
      <c r="XEJ53"/>
      <c r="XEK53"/>
      <c r="XEL53"/>
      <c r="XEM53"/>
      <c r="XEN53"/>
      <c r="XEO53"/>
      <c r="XEP53"/>
      <c r="XEQ53"/>
      <c r="XER53"/>
      <c r="XES53"/>
      <c r="XET53"/>
      <c r="XEU53"/>
      <c r="XEV53"/>
      <c r="XEW53"/>
      <c r="XEX53"/>
      <c r="XEY53"/>
      <c r="XEZ53"/>
      <c r="XFA53"/>
      <c r="XFB53"/>
      <c r="XFC53"/>
      <c r="XFD53"/>
    </row>
    <row r="54" spans="1:18 16327:16384" s="26" customFormat="1" ht="29.1" customHeight="1" outlineLevel="3" x14ac:dyDescent="0.25">
      <c r="A54" s="42" t="s">
        <v>102</v>
      </c>
      <c r="B54" s="43"/>
      <c r="C54" s="66" t="s">
        <v>103</v>
      </c>
      <c r="D54" s="66"/>
      <c r="E54" s="43" t="s">
        <v>34</v>
      </c>
      <c r="F54" s="44"/>
      <c r="G54" s="43" t="s">
        <v>90</v>
      </c>
      <c r="H54" s="45">
        <v>1</v>
      </c>
      <c r="I54" s="46">
        <f>1</f>
        <v>1</v>
      </c>
      <c r="J54" s="23"/>
      <c r="K54" s="47"/>
      <c r="L54" s="48"/>
      <c r="M54" s="49"/>
      <c r="N54" s="49">
        <f t="shared" si="1"/>
        <v>0</v>
      </c>
      <c r="O54" s="49"/>
      <c r="P54" s="49"/>
      <c r="Q54" s="49"/>
      <c r="R54" s="23"/>
      <c r="XCY54"/>
      <c r="XCZ54"/>
      <c r="XDA54"/>
      <c r="XDB54"/>
      <c r="XDC54"/>
      <c r="XDD54"/>
      <c r="XDE54"/>
      <c r="XDF54"/>
      <c r="XDG54"/>
      <c r="XDH54"/>
      <c r="XDI54"/>
      <c r="XDJ54"/>
      <c r="XDK54"/>
      <c r="XDL54"/>
      <c r="XDM54"/>
      <c r="XDN54"/>
      <c r="XDO54"/>
      <c r="XDP54"/>
      <c r="XDQ54"/>
      <c r="XDR54"/>
      <c r="XDS54"/>
      <c r="XDT54"/>
      <c r="XDU54"/>
      <c r="XDV54"/>
      <c r="XDW54"/>
      <c r="XDX54"/>
      <c r="XDY54"/>
      <c r="XDZ54"/>
      <c r="XEA54"/>
      <c r="XEB54"/>
      <c r="XEC54"/>
      <c r="XED54"/>
      <c r="XEE54"/>
      <c r="XEF54"/>
      <c r="XEG54"/>
      <c r="XEH54"/>
      <c r="XEI54"/>
      <c r="XEJ54"/>
      <c r="XEK54"/>
      <c r="XEL54"/>
      <c r="XEM54"/>
      <c r="XEN54"/>
      <c r="XEO54"/>
      <c r="XEP54"/>
      <c r="XEQ54"/>
      <c r="XER54"/>
      <c r="XES54"/>
      <c r="XET54"/>
      <c r="XEU54"/>
      <c r="XEV54"/>
      <c r="XEW54"/>
      <c r="XEX54"/>
      <c r="XEY54"/>
      <c r="XEZ54"/>
      <c r="XFA54"/>
      <c r="XFB54"/>
      <c r="XFC54"/>
      <c r="XFD54"/>
    </row>
    <row r="55" spans="1:18 16327:16384" s="26" customFormat="1" ht="29.1" customHeight="1" outlineLevel="3" x14ac:dyDescent="0.25">
      <c r="A55" s="42" t="s">
        <v>104</v>
      </c>
      <c r="B55" s="43"/>
      <c r="C55" s="66" t="s">
        <v>105</v>
      </c>
      <c r="D55" s="66"/>
      <c r="E55" s="43" t="s">
        <v>34</v>
      </c>
      <c r="F55" s="44"/>
      <c r="G55" s="43" t="s">
        <v>31</v>
      </c>
      <c r="H55" s="45">
        <v>1</v>
      </c>
      <c r="I55" s="46">
        <f>2</f>
        <v>2</v>
      </c>
      <c r="J55" s="23"/>
      <c r="K55" s="47"/>
      <c r="L55" s="48"/>
      <c r="M55" s="49"/>
      <c r="N55" s="49">
        <f t="shared" si="1"/>
        <v>0</v>
      </c>
      <c r="O55" s="49"/>
      <c r="P55" s="49"/>
      <c r="Q55" s="49"/>
      <c r="R55" s="23"/>
      <c r="XCY55"/>
      <c r="XCZ55"/>
      <c r="XDA55"/>
      <c r="XDB55"/>
      <c r="XDC55"/>
      <c r="XDD55"/>
      <c r="XDE55"/>
      <c r="XDF55"/>
      <c r="XDG55"/>
      <c r="XDH55"/>
      <c r="XDI55"/>
      <c r="XDJ55"/>
      <c r="XDK55"/>
      <c r="XDL55"/>
      <c r="XDM55"/>
      <c r="XDN55"/>
      <c r="XDO55"/>
      <c r="XDP55"/>
      <c r="XDQ55"/>
      <c r="XDR55"/>
      <c r="XDS55"/>
      <c r="XDT55"/>
      <c r="XDU55"/>
      <c r="XDV55"/>
      <c r="XDW55"/>
      <c r="XDX55"/>
      <c r="XDY55"/>
      <c r="XDZ55"/>
      <c r="XEA55"/>
      <c r="XEB55"/>
      <c r="XEC55"/>
      <c r="XED55"/>
      <c r="XEE55"/>
      <c r="XEF55"/>
      <c r="XEG55"/>
      <c r="XEH55"/>
      <c r="XEI55"/>
      <c r="XEJ55"/>
      <c r="XEK55"/>
      <c r="XEL55"/>
      <c r="XEM55"/>
      <c r="XEN55"/>
      <c r="XEO55"/>
      <c r="XEP55"/>
      <c r="XEQ55"/>
      <c r="XER55"/>
      <c r="XES55"/>
      <c r="XET55"/>
      <c r="XEU55"/>
      <c r="XEV55"/>
      <c r="XEW55"/>
      <c r="XEX55"/>
      <c r="XEY55"/>
      <c r="XEZ55"/>
      <c r="XFA55"/>
      <c r="XFB55"/>
      <c r="XFC55"/>
      <c r="XFD55"/>
    </row>
    <row r="56" spans="1:18 16327:16384" s="26" customFormat="1" ht="29.1" customHeight="1" outlineLevel="3" x14ac:dyDescent="0.25">
      <c r="A56" s="42" t="s">
        <v>106</v>
      </c>
      <c r="B56" s="43"/>
      <c r="C56" s="66" t="s">
        <v>107</v>
      </c>
      <c r="D56" s="66"/>
      <c r="E56" s="43" t="s">
        <v>34</v>
      </c>
      <c r="F56" s="44"/>
      <c r="G56" s="43" t="s">
        <v>31</v>
      </c>
      <c r="H56" s="45">
        <v>1</v>
      </c>
      <c r="I56" s="46">
        <f>2</f>
        <v>2</v>
      </c>
      <c r="J56" s="23"/>
      <c r="K56" s="47"/>
      <c r="L56" s="48"/>
      <c r="M56" s="49"/>
      <c r="N56" s="49">
        <f t="shared" si="1"/>
        <v>0</v>
      </c>
      <c r="O56" s="49"/>
      <c r="P56" s="49"/>
      <c r="Q56" s="49"/>
      <c r="R56" s="23"/>
      <c r="XCY56"/>
      <c r="XCZ56"/>
      <c r="XDA56"/>
      <c r="XDB56"/>
      <c r="XDC56"/>
      <c r="XDD56"/>
      <c r="XDE56"/>
      <c r="XDF56"/>
      <c r="XDG56"/>
      <c r="XDH56"/>
      <c r="XDI56"/>
      <c r="XDJ56"/>
      <c r="XDK56"/>
      <c r="XDL56"/>
      <c r="XDM56"/>
      <c r="XDN56"/>
      <c r="XDO56"/>
      <c r="XDP56"/>
      <c r="XDQ56"/>
      <c r="XDR56"/>
      <c r="XDS56"/>
      <c r="XDT56"/>
      <c r="XDU56"/>
      <c r="XDV56"/>
      <c r="XDW56"/>
      <c r="XDX56"/>
      <c r="XDY56"/>
      <c r="XDZ56"/>
      <c r="XEA56"/>
      <c r="XEB56"/>
      <c r="XEC56"/>
      <c r="XED56"/>
      <c r="XEE56"/>
      <c r="XEF56"/>
      <c r="XEG56"/>
      <c r="XEH56"/>
      <c r="XEI56"/>
      <c r="XEJ56"/>
      <c r="XEK56"/>
      <c r="XEL56"/>
      <c r="XEM56"/>
      <c r="XEN56"/>
      <c r="XEO56"/>
      <c r="XEP56"/>
      <c r="XEQ56"/>
      <c r="XER56"/>
      <c r="XES56"/>
      <c r="XET56"/>
      <c r="XEU56"/>
      <c r="XEV56"/>
      <c r="XEW56"/>
      <c r="XEX56"/>
      <c r="XEY56"/>
      <c r="XEZ56"/>
      <c r="XFA56"/>
      <c r="XFB56"/>
      <c r="XFC56"/>
      <c r="XFD56"/>
    </row>
    <row r="57" spans="1:18 16327:16384" s="26" customFormat="1" ht="29.1" customHeight="1" outlineLevel="3" x14ac:dyDescent="0.25">
      <c r="A57" s="42" t="s">
        <v>108</v>
      </c>
      <c r="B57" s="43"/>
      <c r="C57" s="66" t="s">
        <v>109</v>
      </c>
      <c r="D57" s="66"/>
      <c r="E57" s="43" t="s">
        <v>34</v>
      </c>
      <c r="F57" s="44"/>
      <c r="G57" s="43" t="s">
        <v>31</v>
      </c>
      <c r="H57" s="45">
        <v>1</v>
      </c>
      <c r="I57" s="46">
        <f>1</f>
        <v>1</v>
      </c>
      <c r="J57" s="23"/>
      <c r="K57" s="47"/>
      <c r="L57" s="48"/>
      <c r="M57" s="49"/>
      <c r="N57" s="49">
        <f t="shared" si="1"/>
        <v>0</v>
      </c>
      <c r="O57" s="49"/>
      <c r="P57" s="49"/>
      <c r="Q57" s="49"/>
      <c r="R57" s="23"/>
      <c r="XCY57"/>
      <c r="XCZ57"/>
      <c r="XDA57"/>
      <c r="XDB57"/>
      <c r="XDC57"/>
      <c r="XDD57"/>
      <c r="XDE57"/>
      <c r="XDF57"/>
      <c r="XDG57"/>
      <c r="XDH57"/>
      <c r="XDI57"/>
      <c r="XDJ57"/>
      <c r="XDK57"/>
      <c r="XDL57"/>
      <c r="XDM57"/>
      <c r="XDN57"/>
      <c r="XDO57"/>
      <c r="XDP57"/>
      <c r="XDQ57"/>
      <c r="XDR57"/>
      <c r="XDS57"/>
      <c r="XDT57"/>
      <c r="XDU57"/>
      <c r="XDV57"/>
      <c r="XDW57"/>
      <c r="XDX57"/>
      <c r="XDY57"/>
      <c r="XDZ57"/>
      <c r="XEA57"/>
      <c r="XEB57"/>
      <c r="XEC57"/>
      <c r="XED57"/>
      <c r="XEE57"/>
      <c r="XEF57"/>
      <c r="XEG57"/>
      <c r="XEH57"/>
      <c r="XEI57"/>
      <c r="XEJ57"/>
      <c r="XEK57"/>
      <c r="XEL57"/>
      <c r="XEM57"/>
      <c r="XEN57"/>
      <c r="XEO57"/>
      <c r="XEP57"/>
      <c r="XEQ57"/>
      <c r="XER57"/>
      <c r="XES57"/>
      <c r="XET57"/>
      <c r="XEU57"/>
      <c r="XEV57"/>
      <c r="XEW57"/>
      <c r="XEX57"/>
      <c r="XEY57"/>
      <c r="XEZ57"/>
      <c r="XFA57"/>
      <c r="XFB57"/>
      <c r="XFC57"/>
      <c r="XFD57"/>
    </row>
    <row r="58" spans="1:18 16327:16384" s="26" customFormat="1" ht="29.1" customHeight="1" outlineLevel="3" x14ac:dyDescent="0.25">
      <c r="A58" s="42" t="s">
        <v>110</v>
      </c>
      <c r="B58" s="43"/>
      <c r="C58" s="66" t="s">
        <v>111</v>
      </c>
      <c r="D58" s="66"/>
      <c r="E58" s="43" t="s">
        <v>34</v>
      </c>
      <c r="F58" s="44"/>
      <c r="G58" s="43" t="s">
        <v>31</v>
      </c>
      <c r="H58" s="45">
        <v>1</v>
      </c>
      <c r="I58" s="46">
        <f>2</f>
        <v>2</v>
      </c>
      <c r="J58" s="23"/>
      <c r="K58" s="47"/>
      <c r="L58" s="48"/>
      <c r="M58" s="49"/>
      <c r="N58" s="49">
        <f t="shared" si="1"/>
        <v>0</v>
      </c>
      <c r="O58" s="49"/>
      <c r="P58" s="49"/>
      <c r="Q58" s="49"/>
      <c r="R58" s="23"/>
      <c r="XCY58"/>
      <c r="XCZ58"/>
      <c r="XDA58"/>
      <c r="XDB58"/>
      <c r="XDC58"/>
      <c r="XDD58"/>
      <c r="XDE58"/>
      <c r="XDF58"/>
      <c r="XDG58"/>
      <c r="XDH58"/>
      <c r="XDI58"/>
      <c r="XDJ58"/>
      <c r="XDK58"/>
      <c r="XDL58"/>
      <c r="XDM58"/>
      <c r="XDN58"/>
      <c r="XDO58"/>
      <c r="XDP58"/>
      <c r="XDQ58"/>
      <c r="XDR58"/>
      <c r="XDS58"/>
      <c r="XDT58"/>
      <c r="XDU58"/>
      <c r="XDV58"/>
      <c r="XDW58"/>
      <c r="XDX58"/>
      <c r="XDY58"/>
      <c r="XDZ58"/>
      <c r="XEA58"/>
      <c r="XEB58"/>
      <c r="XEC58"/>
      <c r="XED58"/>
      <c r="XEE58"/>
      <c r="XEF58"/>
      <c r="XEG58"/>
      <c r="XEH58"/>
      <c r="XEI58"/>
      <c r="XEJ58"/>
      <c r="XEK58"/>
      <c r="XEL58"/>
      <c r="XEM58"/>
      <c r="XEN58"/>
      <c r="XEO58"/>
      <c r="XEP58"/>
      <c r="XEQ58"/>
      <c r="XER58"/>
      <c r="XES58"/>
      <c r="XET58"/>
      <c r="XEU58"/>
      <c r="XEV58"/>
      <c r="XEW58"/>
      <c r="XEX58"/>
      <c r="XEY58"/>
      <c r="XEZ58"/>
      <c r="XFA58"/>
      <c r="XFB58"/>
      <c r="XFC58"/>
      <c r="XFD58"/>
    </row>
    <row r="59" spans="1:18 16327:16384" s="26" customFormat="1" ht="29.1" customHeight="1" outlineLevel="3" x14ac:dyDescent="0.25">
      <c r="A59" s="42" t="s">
        <v>112</v>
      </c>
      <c r="B59" s="43"/>
      <c r="C59" s="66" t="s">
        <v>113</v>
      </c>
      <c r="D59" s="66"/>
      <c r="E59" s="43" t="s">
        <v>34</v>
      </c>
      <c r="F59" s="44"/>
      <c r="G59" s="43" t="s">
        <v>90</v>
      </c>
      <c r="H59" s="45">
        <v>1</v>
      </c>
      <c r="I59" s="46">
        <f>3</f>
        <v>3</v>
      </c>
      <c r="J59" s="23"/>
      <c r="K59" s="47"/>
      <c r="L59" s="48"/>
      <c r="M59" s="49"/>
      <c r="N59" s="49">
        <f t="shared" si="1"/>
        <v>0</v>
      </c>
      <c r="O59" s="49"/>
      <c r="P59" s="49"/>
      <c r="Q59" s="49"/>
      <c r="R59" s="23"/>
      <c r="XCY59"/>
      <c r="XCZ59"/>
      <c r="XDA59"/>
      <c r="XDB59"/>
      <c r="XDC59"/>
      <c r="XDD59"/>
      <c r="XDE59"/>
      <c r="XDF59"/>
      <c r="XDG59"/>
      <c r="XDH59"/>
      <c r="XDI59"/>
      <c r="XDJ59"/>
      <c r="XDK59"/>
      <c r="XDL59"/>
      <c r="XDM59"/>
      <c r="XDN59"/>
      <c r="XDO59"/>
      <c r="XDP59"/>
      <c r="XDQ59"/>
      <c r="XDR59"/>
      <c r="XDS59"/>
      <c r="XDT59"/>
      <c r="XDU59"/>
      <c r="XDV59"/>
      <c r="XDW59"/>
      <c r="XDX59"/>
      <c r="XDY59"/>
      <c r="XDZ59"/>
      <c r="XEA59"/>
      <c r="XEB59"/>
      <c r="XEC59"/>
      <c r="XED59"/>
      <c r="XEE59"/>
      <c r="XEF59"/>
      <c r="XEG59"/>
      <c r="XEH59"/>
      <c r="XEI59"/>
      <c r="XEJ59"/>
      <c r="XEK59"/>
      <c r="XEL59"/>
      <c r="XEM59"/>
      <c r="XEN59"/>
      <c r="XEO59"/>
      <c r="XEP59"/>
      <c r="XEQ59"/>
      <c r="XER59"/>
      <c r="XES59"/>
      <c r="XET59"/>
      <c r="XEU59"/>
      <c r="XEV59"/>
      <c r="XEW59"/>
      <c r="XEX59"/>
      <c r="XEY59"/>
      <c r="XEZ59"/>
      <c r="XFA59"/>
      <c r="XFB59"/>
      <c r="XFC59"/>
      <c r="XFD59"/>
    </row>
    <row r="60" spans="1:18 16327:16384" s="26" customFormat="1" ht="29.1" customHeight="1" outlineLevel="3" x14ac:dyDescent="0.25">
      <c r="A60" s="42" t="s">
        <v>114</v>
      </c>
      <c r="B60" s="43"/>
      <c r="C60" s="66" t="s">
        <v>115</v>
      </c>
      <c r="D60" s="66"/>
      <c r="E60" s="43" t="s">
        <v>34</v>
      </c>
      <c r="F60" s="44"/>
      <c r="G60" s="43" t="s">
        <v>65</v>
      </c>
      <c r="H60" s="45">
        <v>1</v>
      </c>
      <c r="I60" s="46">
        <f>10</f>
        <v>10</v>
      </c>
      <c r="J60" s="23"/>
      <c r="K60" s="47"/>
      <c r="L60" s="48"/>
      <c r="M60" s="49"/>
      <c r="N60" s="49">
        <f t="shared" si="1"/>
        <v>0</v>
      </c>
      <c r="O60" s="49"/>
      <c r="P60" s="49"/>
      <c r="Q60" s="49"/>
      <c r="R60" s="23"/>
      <c r="XCY60"/>
      <c r="XCZ60"/>
      <c r="XDA60"/>
      <c r="XDB60"/>
      <c r="XDC60"/>
      <c r="XDD60"/>
      <c r="XDE60"/>
      <c r="XDF60"/>
      <c r="XDG60"/>
      <c r="XDH60"/>
      <c r="XDI60"/>
      <c r="XDJ60"/>
      <c r="XDK60"/>
      <c r="XDL60"/>
      <c r="XDM60"/>
      <c r="XDN60"/>
      <c r="XDO60"/>
      <c r="XDP60"/>
      <c r="XDQ60"/>
      <c r="XDR60"/>
      <c r="XDS60"/>
      <c r="XDT60"/>
      <c r="XDU60"/>
      <c r="XDV60"/>
      <c r="XDW60"/>
      <c r="XDX60"/>
      <c r="XDY60"/>
      <c r="XDZ60"/>
      <c r="XEA60"/>
      <c r="XEB60"/>
      <c r="XEC60"/>
      <c r="XED60"/>
      <c r="XEE60"/>
      <c r="XEF60"/>
      <c r="XEG60"/>
      <c r="XEH60"/>
      <c r="XEI60"/>
      <c r="XEJ60"/>
      <c r="XEK60"/>
      <c r="XEL60"/>
      <c r="XEM60"/>
      <c r="XEN60"/>
      <c r="XEO60"/>
      <c r="XEP60"/>
      <c r="XEQ60"/>
      <c r="XER60"/>
      <c r="XES60"/>
      <c r="XET60"/>
      <c r="XEU60"/>
      <c r="XEV60"/>
      <c r="XEW60"/>
      <c r="XEX60"/>
      <c r="XEY60"/>
      <c r="XEZ60"/>
      <c r="XFA60"/>
      <c r="XFB60"/>
      <c r="XFC60"/>
      <c r="XFD60"/>
    </row>
    <row r="61" spans="1:18 16327:16384" s="26" customFormat="1" ht="29.1" customHeight="1" outlineLevel="3" x14ac:dyDescent="0.25">
      <c r="A61" s="42" t="s">
        <v>116</v>
      </c>
      <c r="B61" s="43"/>
      <c r="C61" s="66" t="s">
        <v>117</v>
      </c>
      <c r="D61" s="66"/>
      <c r="E61" s="43" t="s">
        <v>34</v>
      </c>
      <c r="F61" s="44" t="s">
        <v>118</v>
      </c>
      <c r="G61" s="43" t="s">
        <v>65</v>
      </c>
      <c r="H61" s="45">
        <v>1</v>
      </c>
      <c r="I61" s="46">
        <f>10</f>
        <v>10</v>
      </c>
      <c r="J61" s="23"/>
      <c r="K61" s="47"/>
      <c r="L61" s="48"/>
      <c r="M61" s="49"/>
      <c r="N61" s="49">
        <f t="shared" si="1"/>
        <v>0</v>
      </c>
      <c r="O61" s="49"/>
      <c r="P61" s="49"/>
      <c r="Q61" s="49"/>
      <c r="R61" s="23"/>
      <c r="XCY61"/>
      <c r="XCZ61"/>
      <c r="XDA61"/>
      <c r="XDB61"/>
      <c r="XDC61"/>
      <c r="XDD61"/>
      <c r="XDE61"/>
      <c r="XDF61"/>
      <c r="XDG61"/>
      <c r="XDH61"/>
      <c r="XDI61"/>
      <c r="XDJ61"/>
      <c r="XDK61"/>
      <c r="XDL61"/>
      <c r="XDM61"/>
      <c r="XDN61"/>
      <c r="XDO61"/>
      <c r="XDP61"/>
      <c r="XDQ61"/>
      <c r="XDR61"/>
      <c r="XDS61"/>
      <c r="XDT61"/>
      <c r="XDU61"/>
      <c r="XDV61"/>
      <c r="XDW61"/>
      <c r="XDX61"/>
      <c r="XDY61"/>
      <c r="XDZ61"/>
      <c r="XEA61"/>
      <c r="XEB61"/>
      <c r="XEC61"/>
      <c r="XED61"/>
      <c r="XEE61"/>
      <c r="XEF61"/>
      <c r="XEG61"/>
      <c r="XEH61"/>
      <c r="XEI61"/>
      <c r="XEJ61"/>
      <c r="XEK61"/>
      <c r="XEL61"/>
      <c r="XEM61"/>
      <c r="XEN61"/>
      <c r="XEO61"/>
      <c r="XEP61"/>
      <c r="XEQ61"/>
      <c r="XER61"/>
      <c r="XES61"/>
      <c r="XET61"/>
      <c r="XEU61"/>
      <c r="XEV61"/>
      <c r="XEW61"/>
      <c r="XEX61"/>
      <c r="XEY61"/>
      <c r="XEZ61"/>
      <c r="XFA61"/>
      <c r="XFB61"/>
      <c r="XFC61"/>
      <c r="XFD61"/>
    </row>
    <row r="62" spans="1:18 16327:16384" s="26" customFormat="1" ht="29.1" customHeight="1" outlineLevel="2" x14ac:dyDescent="0.25">
      <c r="A62" s="34" t="s">
        <v>119</v>
      </c>
      <c r="B62" s="35"/>
      <c r="C62" s="65" t="s">
        <v>120</v>
      </c>
      <c r="D62" s="65"/>
      <c r="E62" s="35"/>
      <c r="F62" s="36" t="s">
        <v>95</v>
      </c>
      <c r="G62" s="35" t="s">
        <v>31</v>
      </c>
      <c r="H62" s="37"/>
      <c r="I62" s="38">
        <f>2</f>
        <v>2</v>
      </c>
      <c r="J62" s="23"/>
      <c r="K62" s="39"/>
      <c r="L62" s="40"/>
      <c r="M62" s="41">
        <f>K62+L62</f>
        <v>0</v>
      </c>
      <c r="N62" s="41">
        <f t="shared" si="1"/>
        <v>0</v>
      </c>
      <c r="O62" s="41">
        <f>ROUND((I62*L62),2)</f>
        <v>0</v>
      </c>
      <c r="P62" s="41">
        <f>ROUND((I62*M62),2)</f>
        <v>0</v>
      </c>
      <c r="Q62" s="41"/>
      <c r="R62" s="23"/>
      <c r="XCY62"/>
      <c r="XCZ62"/>
      <c r="XDA62"/>
      <c r="XDB62"/>
      <c r="XDC62"/>
      <c r="XDD62"/>
      <c r="XDE62"/>
      <c r="XDF62"/>
      <c r="XDG62"/>
      <c r="XDH62"/>
      <c r="XDI62"/>
      <c r="XDJ62"/>
      <c r="XDK62"/>
      <c r="XDL62"/>
      <c r="XDM62"/>
      <c r="XDN62"/>
      <c r="XDO62"/>
      <c r="XDP62"/>
      <c r="XDQ62"/>
      <c r="XDR62"/>
      <c r="XDS62"/>
      <c r="XDT62"/>
      <c r="XDU62"/>
      <c r="XDV62"/>
      <c r="XDW62"/>
      <c r="XDX62"/>
      <c r="XDY62"/>
      <c r="XDZ62"/>
      <c r="XEA62"/>
      <c r="XEB62"/>
      <c r="XEC62"/>
      <c r="XED62"/>
      <c r="XEE62"/>
      <c r="XEF62"/>
      <c r="XEG62"/>
      <c r="XEH62"/>
      <c r="XEI62"/>
      <c r="XEJ62"/>
      <c r="XEK62"/>
      <c r="XEL62"/>
      <c r="XEM62"/>
      <c r="XEN62"/>
      <c r="XEO62"/>
      <c r="XEP62"/>
      <c r="XEQ62"/>
      <c r="XER62"/>
      <c r="XES62"/>
      <c r="XET62"/>
      <c r="XEU62"/>
      <c r="XEV62"/>
      <c r="XEW62"/>
      <c r="XEX62"/>
      <c r="XEY62"/>
      <c r="XEZ62"/>
      <c r="XFA62"/>
      <c r="XFB62"/>
      <c r="XFC62"/>
      <c r="XFD62"/>
    </row>
    <row r="63" spans="1:18 16327:16384" s="26" customFormat="1" ht="29.1" customHeight="1" outlineLevel="3" x14ac:dyDescent="0.25">
      <c r="A63" s="42" t="s">
        <v>121</v>
      </c>
      <c r="B63" s="43"/>
      <c r="C63" s="66" t="s">
        <v>122</v>
      </c>
      <c r="D63" s="66"/>
      <c r="E63" s="43" t="s">
        <v>34</v>
      </c>
      <c r="F63" s="44"/>
      <c r="G63" s="43" t="s">
        <v>31</v>
      </c>
      <c r="H63" s="45">
        <v>1</v>
      </c>
      <c r="I63" s="46">
        <f>2</f>
        <v>2</v>
      </c>
      <c r="J63" s="23"/>
      <c r="K63" s="47"/>
      <c r="L63" s="48"/>
      <c r="M63" s="49"/>
      <c r="N63" s="49">
        <f t="shared" si="1"/>
        <v>0</v>
      </c>
      <c r="O63" s="49"/>
      <c r="P63" s="49"/>
      <c r="Q63" s="49"/>
      <c r="R63" s="23"/>
      <c r="XCY63"/>
      <c r="XCZ63"/>
      <c r="XDA63"/>
      <c r="XDB63"/>
      <c r="XDC63"/>
      <c r="XDD63"/>
      <c r="XDE63"/>
      <c r="XDF63"/>
      <c r="XDG63"/>
      <c r="XDH63"/>
      <c r="XDI63"/>
      <c r="XDJ63"/>
      <c r="XDK63"/>
      <c r="XDL63"/>
      <c r="XDM63"/>
      <c r="XDN63"/>
      <c r="XDO63"/>
      <c r="XDP63"/>
      <c r="XDQ63"/>
      <c r="XDR63"/>
      <c r="XDS63"/>
      <c r="XDT63"/>
      <c r="XDU63"/>
      <c r="XDV63"/>
      <c r="XDW63"/>
      <c r="XDX63"/>
      <c r="XDY63"/>
      <c r="XDZ63"/>
      <c r="XEA63"/>
      <c r="XEB63"/>
      <c r="XEC63"/>
      <c r="XED63"/>
      <c r="XEE63"/>
      <c r="XEF63"/>
      <c r="XEG63"/>
      <c r="XEH63"/>
      <c r="XEI63"/>
      <c r="XEJ63"/>
      <c r="XEK63"/>
      <c r="XEL63"/>
      <c r="XEM63"/>
      <c r="XEN63"/>
      <c r="XEO63"/>
      <c r="XEP63"/>
      <c r="XEQ63"/>
      <c r="XER63"/>
      <c r="XES63"/>
      <c r="XET63"/>
      <c r="XEU63"/>
      <c r="XEV63"/>
      <c r="XEW63"/>
      <c r="XEX63"/>
      <c r="XEY63"/>
      <c r="XEZ63"/>
      <c r="XFA63"/>
      <c r="XFB63"/>
      <c r="XFC63"/>
      <c r="XFD63"/>
    </row>
    <row r="64" spans="1:18 16327:16384" s="26" customFormat="1" ht="29.1" customHeight="1" outlineLevel="2" x14ac:dyDescent="0.25">
      <c r="A64" s="34" t="s">
        <v>123</v>
      </c>
      <c r="B64" s="35"/>
      <c r="C64" s="65" t="s">
        <v>124</v>
      </c>
      <c r="D64" s="65"/>
      <c r="E64" s="35"/>
      <c r="F64" s="36" t="s">
        <v>95</v>
      </c>
      <c r="G64" s="35" t="s">
        <v>31</v>
      </c>
      <c r="H64" s="37"/>
      <c r="I64" s="38">
        <f>1</f>
        <v>1</v>
      </c>
      <c r="J64" s="23"/>
      <c r="K64" s="39"/>
      <c r="L64" s="40"/>
      <c r="M64" s="41">
        <f>K64+L64</f>
        <v>0</v>
      </c>
      <c r="N64" s="41">
        <f t="shared" si="1"/>
        <v>0</v>
      </c>
      <c r="O64" s="41">
        <f>ROUND((I64*L64),2)</f>
        <v>0</v>
      </c>
      <c r="P64" s="41">
        <f>ROUND((I64*M64),2)</f>
        <v>0</v>
      </c>
      <c r="Q64" s="41"/>
      <c r="R64" s="23"/>
      <c r="XCY64"/>
      <c r="XCZ64"/>
      <c r="XDA64"/>
      <c r="XDB64"/>
      <c r="XDC64"/>
      <c r="XDD64"/>
      <c r="XDE64"/>
      <c r="XDF64"/>
      <c r="XDG64"/>
      <c r="XDH64"/>
      <c r="XDI64"/>
      <c r="XDJ64"/>
      <c r="XDK64"/>
      <c r="XDL64"/>
      <c r="XDM64"/>
      <c r="XDN64"/>
      <c r="XDO64"/>
      <c r="XDP64"/>
      <c r="XDQ64"/>
      <c r="XDR64"/>
      <c r="XDS64"/>
      <c r="XDT64"/>
      <c r="XDU64"/>
      <c r="XDV64"/>
      <c r="XDW64"/>
      <c r="XDX64"/>
      <c r="XDY64"/>
      <c r="XDZ64"/>
      <c r="XEA64"/>
      <c r="XEB64"/>
      <c r="XEC64"/>
      <c r="XED64"/>
      <c r="XEE64"/>
      <c r="XEF64"/>
      <c r="XEG64"/>
      <c r="XEH64"/>
      <c r="XEI64"/>
      <c r="XEJ64"/>
      <c r="XEK64"/>
      <c r="XEL64"/>
      <c r="XEM64"/>
      <c r="XEN64"/>
      <c r="XEO64"/>
      <c r="XEP64"/>
      <c r="XEQ64"/>
      <c r="XER64"/>
      <c r="XES64"/>
      <c r="XET64"/>
      <c r="XEU64"/>
      <c r="XEV64"/>
      <c r="XEW64"/>
      <c r="XEX64"/>
      <c r="XEY64"/>
      <c r="XEZ64"/>
      <c r="XFA64"/>
      <c r="XFB64"/>
      <c r="XFC64"/>
      <c r="XFD64"/>
    </row>
    <row r="65" spans="1:18 16327:16384" s="26" customFormat="1" ht="29.1" customHeight="1" outlineLevel="3" x14ac:dyDescent="0.25">
      <c r="A65" s="42" t="s">
        <v>125</v>
      </c>
      <c r="B65" s="43"/>
      <c r="C65" s="66" t="s">
        <v>126</v>
      </c>
      <c r="D65" s="66"/>
      <c r="E65" s="43" t="s">
        <v>34</v>
      </c>
      <c r="F65" s="44"/>
      <c r="G65" s="43" t="s">
        <v>31</v>
      </c>
      <c r="H65" s="45">
        <v>1</v>
      </c>
      <c r="I65" s="46">
        <f>1</f>
        <v>1</v>
      </c>
      <c r="J65" s="23"/>
      <c r="K65" s="47"/>
      <c r="L65" s="48"/>
      <c r="M65" s="49"/>
      <c r="N65" s="49">
        <f t="shared" si="1"/>
        <v>0</v>
      </c>
      <c r="O65" s="49"/>
      <c r="P65" s="49"/>
      <c r="Q65" s="49"/>
      <c r="R65" s="23"/>
      <c r="XCY65"/>
      <c r="XCZ65"/>
      <c r="XDA65"/>
      <c r="XDB65"/>
      <c r="XDC65"/>
      <c r="XDD65"/>
      <c r="XDE65"/>
      <c r="XDF65"/>
      <c r="XDG65"/>
      <c r="XDH65"/>
      <c r="XDI65"/>
      <c r="XDJ65"/>
      <c r="XDK65"/>
      <c r="XDL65"/>
      <c r="XDM65"/>
      <c r="XDN65"/>
      <c r="XDO65"/>
      <c r="XDP65"/>
      <c r="XDQ65"/>
      <c r="XDR65"/>
      <c r="XDS65"/>
      <c r="XDT65"/>
      <c r="XDU65"/>
      <c r="XDV65"/>
      <c r="XDW65"/>
      <c r="XDX65"/>
      <c r="XDY65"/>
      <c r="XDZ65"/>
      <c r="XEA65"/>
      <c r="XEB65"/>
      <c r="XEC65"/>
      <c r="XED65"/>
      <c r="XEE65"/>
      <c r="XEF65"/>
      <c r="XEG65"/>
      <c r="XEH65"/>
      <c r="XEI65"/>
      <c r="XEJ65"/>
      <c r="XEK65"/>
      <c r="XEL65"/>
      <c r="XEM65"/>
      <c r="XEN65"/>
      <c r="XEO65"/>
      <c r="XEP65"/>
      <c r="XEQ65"/>
      <c r="XER65"/>
      <c r="XES65"/>
      <c r="XET65"/>
      <c r="XEU65"/>
      <c r="XEV65"/>
      <c r="XEW65"/>
      <c r="XEX65"/>
      <c r="XEY65"/>
      <c r="XEZ65"/>
      <c r="XFA65"/>
      <c r="XFB65"/>
      <c r="XFC65"/>
      <c r="XFD65"/>
    </row>
    <row r="66" spans="1:18 16327:16384" s="26" customFormat="1" ht="29.1" customHeight="1" outlineLevel="2" x14ac:dyDescent="0.25">
      <c r="A66" s="34" t="s">
        <v>127</v>
      </c>
      <c r="B66" s="35"/>
      <c r="C66" s="65" t="s">
        <v>124</v>
      </c>
      <c r="D66" s="65"/>
      <c r="E66" s="35"/>
      <c r="F66" s="36" t="s">
        <v>95</v>
      </c>
      <c r="G66" s="35" t="s">
        <v>31</v>
      </c>
      <c r="H66" s="37"/>
      <c r="I66" s="38">
        <f>1</f>
        <v>1</v>
      </c>
      <c r="J66" s="23"/>
      <c r="K66" s="39"/>
      <c r="L66" s="40"/>
      <c r="M66" s="41">
        <f>K66+L66</f>
        <v>0</v>
      </c>
      <c r="N66" s="41">
        <f t="shared" si="1"/>
        <v>0</v>
      </c>
      <c r="O66" s="41">
        <f>ROUND((I66*L66),2)</f>
        <v>0</v>
      </c>
      <c r="P66" s="41">
        <f>ROUND((I66*M66),2)</f>
        <v>0</v>
      </c>
      <c r="Q66" s="41"/>
      <c r="R66" s="23"/>
      <c r="XCY66"/>
      <c r="XCZ66"/>
      <c r="XDA66"/>
      <c r="XDB66"/>
      <c r="XDC66"/>
      <c r="XDD66"/>
      <c r="XDE66"/>
      <c r="XDF66"/>
      <c r="XDG66"/>
      <c r="XDH66"/>
      <c r="XDI66"/>
      <c r="XDJ66"/>
      <c r="XDK66"/>
      <c r="XDL66"/>
      <c r="XDM66"/>
      <c r="XDN66"/>
      <c r="XDO66"/>
      <c r="XDP66"/>
      <c r="XDQ66"/>
      <c r="XDR66"/>
      <c r="XDS66"/>
      <c r="XDT66"/>
      <c r="XDU66"/>
      <c r="XDV66"/>
      <c r="XDW66"/>
      <c r="XDX66"/>
      <c r="XDY66"/>
      <c r="XDZ66"/>
      <c r="XEA66"/>
      <c r="XEB66"/>
      <c r="XEC66"/>
      <c r="XED66"/>
      <c r="XEE66"/>
      <c r="XEF66"/>
      <c r="XEG66"/>
      <c r="XEH66"/>
      <c r="XEI66"/>
      <c r="XEJ66"/>
      <c r="XEK66"/>
      <c r="XEL66"/>
      <c r="XEM66"/>
      <c r="XEN66"/>
      <c r="XEO66"/>
      <c r="XEP66"/>
      <c r="XEQ66"/>
      <c r="XER66"/>
      <c r="XES66"/>
      <c r="XET66"/>
      <c r="XEU66"/>
      <c r="XEV66"/>
      <c r="XEW66"/>
      <c r="XEX66"/>
      <c r="XEY66"/>
      <c r="XEZ66"/>
      <c r="XFA66"/>
      <c r="XFB66"/>
      <c r="XFC66"/>
      <c r="XFD66"/>
    </row>
    <row r="67" spans="1:18 16327:16384" s="26" customFormat="1" ht="29.1" customHeight="1" outlineLevel="3" x14ac:dyDescent="0.25">
      <c r="A67" s="42" t="s">
        <v>128</v>
      </c>
      <c r="B67" s="43"/>
      <c r="C67" s="66" t="s">
        <v>129</v>
      </c>
      <c r="D67" s="66"/>
      <c r="E67" s="43" t="s">
        <v>34</v>
      </c>
      <c r="F67" s="44"/>
      <c r="G67" s="43" t="s">
        <v>31</v>
      </c>
      <c r="H67" s="45">
        <v>1</v>
      </c>
      <c r="I67" s="46">
        <f>1</f>
        <v>1</v>
      </c>
      <c r="J67" s="23"/>
      <c r="K67" s="47"/>
      <c r="L67" s="48"/>
      <c r="M67" s="49"/>
      <c r="N67" s="49">
        <f t="shared" si="1"/>
        <v>0</v>
      </c>
      <c r="O67" s="49"/>
      <c r="P67" s="49"/>
      <c r="Q67" s="49"/>
      <c r="R67" s="23"/>
      <c r="XCY67"/>
      <c r="XCZ67"/>
      <c r="XDA67"/>
      <c r="XDB67"/>
      <c r="XDC67"/>
      <c r="XDD67"/>
      <c r="XDE67"/>
      <c r="XDF67"/>
      <c r="XDG67"/>
      <c r="XDH67"/>
      <c r="XDI67"/>
      <c r="XDJ67"/>
      <c r="XDK67"/>
      <c r="XDL67"/>
      <c r="XDM67"/>
      <c r="XDN67"/>
      <c r="XDO67"/>
      <c r="XDP67"/>
      <c r="XDQ67"/>
      <c r="XDR67"/>
      <c r="XDS67"/>
      <c r="XDT67"/>
      <c r="XDU67"/>
      <c r="XDV67"/>
      <c r="XDW67"/>
      <c r="XDX67"/>
      <c r="XDY67"/>
      <c r="XDZ67"/>
      <c r="XEA67"/>
      <c r="XEB67"/>
      <c r="XEC67"/>
      <c r="XED67"/>
      <c r="XEE67"/>
      <c r="XEF67"/>
      <c r="XEG67"/>
      <c r="XEH67"/>
      <c r="XEI67"/>
      <c r="XEJ67"/>
      <c r="XEK67"/>
      <c r="XEL67"/>
      <c r="XEM67"/>
      <c r="XEN67"/>
      <c r="XEO67"/>
      <c r="XEP67"/>
      <c r="XEQ67"/>
      <c r="XER67"/>
      <c r="XES67"/>
      <c r="XET67"/>
      <c r="XEU67"/>
      <c r="XEV67"/>
      <c r="XEW67"/>
      <c r="XEX67"/>
      <c r="XEY67"/>
      <c r="XEZ67"/>
      <c r="XFA67"/>
      <c r="XFB67"/>
      <c r="XFC67"/>
      <c r="XFD67"/>
    </row>
    <row r="68" spans="1:18 16327:16384" s="26" customFormat="1" ht="29.1" customHeight="1" outlineLevel="2" x14ac:dyDescent="0.25">
      <c r="A68" s="34" t="s">
        <v>130</v>
      </c>
      <c r="B68" s="35"/>
      <c r="C68" s="65" t="s">
        <v>36</v>
      </c>
      <c r="D68" s="65"/>
      <c r="E68" s="35"/>
      <c r="F68" s="36" t="s">
        <v>95</v>
      </c>
      <c r="G68" s="35" t="s">
        <v>31</v>
      </c>
      <c r="H68" s="37"/>
      <c r="I68" s="38">
        <f>3</f>
        <v>3</v>
      </c>
      <c r="J68" s="23"/>
      <c r="K68" s="39"/>
      <c r="L68" s="40"/>
      <c r="M68" s="41">
        <f>K68+L68</f>
        <v>0</v>
      </c>
      <c r="N68" s="41">
        <f t="shared" si="1"/>
        <v>0</v>
      </c>
      <c r="O68" s="41">
        <f>ROUND((I68*L68),2)</f>
        <v>0</v>
      </c>
      <c r="P68" s="41">
        <f>ROUND((I68*M68),2)</f>
        <v>0</v>
      </c>
      <c r="Q68" s="41"/>
      <c r="R68" s="23"/>
      <c r="XCY68"/>
      <c r="XCZ68"/>
      <c r="XDA68"/>
      <c r="XDB68"/>
      <c r="XDC68"/>
      <c r="XDD68"/>
      <c r="XDE68"/>
      <c r="XDF68"/>
      <c r="XDG68"/>
      <c r="XDH68"/>
      <c r="XDI68"/>
      <c r="XDJ68"/>
      <c r="XDK68"/>
      <c r="XDL68"/>
      <c r="XDM68"/>
      <c r="XDN68"/>
      <c r="XDO68"/>
      <c r="XDP68"/>
      <c r="XDQ68"/>
      <c r="XDR68"/>
      <c r="XDS68"/>
      <c r="XDT68"/>
      <c r="XDU68"/>
      <c r="XDV68"/>
      <c r="XDW68"/>
      <c r="XDX68"/>
      <c r="XDY68"/>
      <c r="XDZ68"/>
      <c r="XEA68"/>
      <c r="XEB68"/>
      <c r="XEC68"/>
      <c r="XED68"/>
      <c r="XEE68"/>
      <c r="XEF68"/>
      <c r="XEG68"/>
      <c r="XEH68"/>
      <c r="XEI68"/>
      <c r="XEJ68"/>
      <c r="XEK68"/>
      <c r="XEL68"/>
      <c r="XEM68"/>
      <c r="XEN68"/>
      <c r="XEO68"/>
      <c r="XEP68"/>
      <c r="XEQ68"/>
      <c r="XER68"/>
      <c r="XES68"/>
      <c r="XET68"/>
      <c r="XEU68"/>
      <c r="XEV68"/>
      <c r="XEW68"/>
      <c r="XEX68"/>
      <c r="XEY68"/>
      <c r="XEZ68"/>
      <c r="XFA68"/>
      <c r="XFB68"/>
      <c r="XFC68"/>
      <c r="XFD68"/>
    </row>
    <row r="69" spans="1:18 16327:16384" s="26" customFormat="1" ht="29.1" customHeight="1" outlineLevel="3" x14ac:dyDescent="0.25">
      <c r="A69" s="42" t="s">
        <v>131</v>
      </c>
      <c r="B69" s="43"/>
      <c r="C69" s="66" t="s">
        <v>132</v>
      </c>
      <c r="D69" s="66"/>
      <c r="E69" s="43" t="s">
        <v>34</v>
      </c>
      <c r="F69" s="44"/>
      <c r="G69" s="43" t="s">
        <v>31</v>
      </c>
      <c r="H69" s="45">
        <v>1</v>
      </c>
      <c r="I69" s="46">
        <f>3</f>
        <v>3</v>
      </c>
      <c r="J69" s="23"/>
      <c r="K69" s="47"/>
      <c r="L69" s="48"/>
      <c r="M69" s="49"/>
      <c r="N69" s="49">
        <f t="shared" si="1"/>
        <v>0</v>
      </c>
      <c r="O69" s="49"/>
      <c r="P69" s="49"/>
      <c r="Q69" s="49"/>
      <c r="R69" s="23"/>
      <c r="XCY69"/>
      <c r="XCZ69"/>
      <c r="XDA69"/>
      <c r="XDB69"/>
      <c r="XDC69"/>
      <c r="XDD69"/>
      <c r="XDE69"/>
      <c r="XDF69"/>
      <c r="XDG69"/>
      <c r="XDH69"/>
      <c r="XDI69"/>
      <c r="XDJ69"/>
      <c r="XDK69"/>
      <c r="XDL69"/>
      <c r="XDM69"/>
      <c r="XDN69"/>
      <c r="XDO69"/>
      <c r="XDP69"/>
      <c r="XDQ69"/>
      <c r="XDR69"/>
      <c r="XDS69"/>
      <c r="XDT69"/>
      <c r="XDU69"/>
      <c r="XDV69"/>
      <c r="XDW69"/>
      <c r="XDX69"/>
      <c r="XDY69"/>
      <c r="XDZ69"/>
      <c r="XEA69"/>
      <c r="XEB69"/>
      <c r="XEC69"/>
      <c r="XED69"/>
      <c r="XEE69"/>
      <c r="XEF69"/>
      <c r="XEG69"/>
      <c r="XEH69"/>
      <c r="XEI69"/>
      <c r="XEJ69"/>
      <c r="XEK69"/>
      <c r="XEL69"/>
      <c r="XEM69"/>
      <c r="XEN69"/>
      <c r="XEO69"/>
      <c r="XEP69"/>
      <c r="XEQ69"/>
      <c r="XER69"/>
      <c r="XES69"/>
      <c r="XET69"/>
      <c r="XEU69"/>
      <c r="XEV69"/>
      <c r="XEW69"/>
      <c r="XEX69"/>
      <c r="XEY69"/>
      <c r="XEZ69"/>
      <c r="XFA69"/>
      <c r="XFB69"/>
      <c r="XFC69"/>
      <c r="XFD69"/>
    </row>
    <row r="70" spans="1:18 16327:16384" s="26" customFormat="1" ht="29.1" customHeight="1" outlineLevel="2" x14ac:dyDescent="0.25">
      <c r="A70" s="34" t="s">
        <v>133</v>
      </c>
      <c r="B70" s="35"/>
      <c r="C70" s="65" t="s">
        <v>36</v>
      </c>
      <c r="D70" s="65"/>
      <c r="E70" s="35"/>
      <c r="F70" s="36" t="s">
        <v>95</v>
      </c>
      <c r="G70" s="35" t="s">
        <v>31</v>
      </c>
      <c r="H70" s="37"/>
      <c r="I70" s="38">
        <f>2</f>
        <v>2</v>
      </c>
      <c r="J70" s="23"/>
      <c r="K70" s="39"/>
      <c r="L70" s="40"/>
      <c r="M70" s="41">
        <f>K70+L70</f>
        <v>0</v>
      </c>
      <c r="N70" s="41">
        <f t="shared" si="1"/>
        <v>0</v>
      </c>
      <c r="O70" s="41">
        <f>ROUND((I70*L70),2)</f>
        <v>0</v>
      </c>
      <c r="P70" s="41">
        <f>ROUND((I70*M70),2)</f>
        <v>0</v>
      </c>
      <c r="Q70" s="41"/>
      <c r="R70" s="23"/>
      <c r="XCY70"/>
      <c r="XCZ70"/>
      <c r="XDA70"/>
      <c r="XDB70"/>
      <c r="XDC70"/>
      <c r="XDD70"/>
      <c r="XDE70"/>
      <c r="XDF70"/>
      <c r="XDG70"/>
      <c r="XDH70"/>
      <c r="XDI70"/>
      <c r="XDJ70"/>
      <c r="XDK70"/>
      <c r="XDL70"/>
      <c r="XDM70"/>
      <c r="XDN70"/>
      <c r="XDO70"/>
      <c r="XDP70"/>
      <c r="XDQ70"/>
      <c r="XDR70"/>
      <c r="XDS70"/>
      <c r="XDT70"/>
      <c r="XDU70"/>
      <c r="XDV70"/>
      <c r="XDW70"/>
      <c r="XDX70"/>
      <c r="XDY70"/>
      <c r="XDZ70"/>
      <c r="XEA70"/>
      <c r="XEB70"/>
      <c r="XEC70"/>
      <c r="XED70"/>
      <c r="XEE70"/>
      <c r="XEF70"/>
      <c r="XEG70"/>
      <c r="XEH70"/>
      <c r="XEI70"/>
      <c r="XEJ70"/>
      <c r="XEK70"/>
      <c r="XEL70"/>
      <c r="XEM70"/>
      <c r="XEN70"/>
      <c r="XEO70"/>
      <c r="XEP70"/>
      <c r="XEQ70"/>
      <c r="XER70"/>
      <c r="XES70"/>
      <c r="XET70"/>
      <c r="XEU70"/>
      <c r="XEV70"/>
      <c r="XEW70"/>
      <c r="XEX70"/>
      <c r="XEY70"/>
      <c r="XEZ70"/>
      <c r="XFA70"/>
      <c r="XFB70"/>
      <c r="XFC70"/>
      <c r="XFD70"/>
    </row>
    <row r="71" spans="1:18 16327:16384" s="26" customFormat="1" ht="29.1" customHeight="1" outlineLevel="3" x14ac:dyDescent="0.25">
      <c r="A71" s="42" t="s">
        <v>134</v>
      </c>
      <c r="B71" s="43"/>
      <c r="C71" s="66" t="s">
        <v>135</v>
      </c>
      <c r="D71" s="66"/>
      <c r="E71" s="43" t="s">
        <v>34</v>
      </c>
      <c r="F71" s="44"/>
      <c r="G71" s="43" t="s">
        <v>31</v>
      </c>
      <c r="H71" s="45">
        <v>1</v>
      </c>
      <c r="I71" s="46">
        <f>2</f>
        <v>2</v>
      </c>
      <c r="J71" s="23"/>
      <c r="K71" s="47"/>
      <c r="L71" s="48"/>
      <c r="M71" s="49"/>
      <c r="N71" s="49">
        <f t="shared" si="1"/>
        <v>0</v>
      </c>
      <c r="O71" s="49"/>
      <c r="P71" s="49"/>
      <c r="Q71" s="49"/>
      <c r="R71" s="23"/>
      <c r="XCY71"/>
      <c r="XCZ71"/>
      <c r="XDA71"/>
      <c r="XDB71"/>
      <c r="XDC71"/>
      <c r="XDD71"/>
      <c r="XDE71"/>
      <c r="XDF71"/>
      <c r="XDG71"/>
      <c r="XDH71"/>
      <c r="XDI71"/>
      <c r="XDJ71"/>
      <c r="XDK71"/>
      <c r="XDL71"/>
      <c r="XDM71"/>
      <c r="XDN71"/>
      <c r="XDO71"/>
      <c r="XDP71"/>
      <c r="XDQ71"/>
      <c r="XDR71"/>
      <c r="XDS71"/>
      <c r="XDT71"/>
      <c r="XDU71"/>
      <c r="XDV71"/>
      <c r="XDW71"/>
      <c r="XDX71"/>
      <c r="XDY71"/>
      <c r="XDZ71"/>
      <c r="XEA71"/>
      <c r="XEB71"/>
      <c r="XEC71"/>
      <c r="XED71"/>
      <c r="XEE71"/>
      <c r="XEF71"/>
      <c r="XEG71"/>
      <c r="XEH71"/>
      <c r="XEI71"/>
      <c r="XEJ71"/>
      <c r="XEK71"/>
      <c r="XEL71"/>
      <c r="XEM71"/>
      <c r="XEN71"/>
      <c r="XEO71"/>
      <c r="XEP71"/>
      <c r="XEQ71"/>
      <c r="XER71"/>
      <c r="XES71"/>
      <c r="XET71"/>
      <c r="XEU71"/>
      <c r="XEV71"/>
      <c r="XEW71"/>
      <c r="XEX71"/>
      <c r="XEY71"/>
      <c r="XEZ71"/>
      <c r="XFA71"/>
      <c r="XFB71"/>
      <c r="XFC71"/>
      <c r="XFD71"/>
    </row>
    <row r="72" spans="1:18 16327:16384" s="26" customFormat="1" ht="29.1" customHeight="1" outlineLevel="2" x14ac:dyDescent="0.25">
      <c r="A72" s="34" t="s">
        <v>136</v>
      </c>
      <c r="B72" s="35"/>
      <c r="C72" s="65" t="s">
        <v>36</v>
      </c>
      <c r="D72" s="65"/>
      <c r="E72" s="35"/>
      <c r="F72" s="36" t="s">
        <v>95</v>
      </c>
      <c r="G72" s="35" t="s">
        <v>31</v>
      </c>
      <c r="H72" s="37"/>
      <c r="I72" s="38">
        <f>6</f>
        <v>6</v>
      </c>
      <c r="J72" s="23"/>
      <c r="K72" s="39"/>
      <c r="L72" s="40"/>
      <c r="M72" s="41">
        <f>K72+L72</f>
        <v>0</v>
      </c>
      <c r="N72" s="41">
        <f t="shared" si="1"/>
        <v>0</v>
      </c>
      <c r="O72" s="41">
        <f>ROUND((I72*L72),2)</f>
        <v>0</v>
      </c>
      <c r="P72" s="41">
        <f>ROUND((I72*M72),2)</f>
        <v>0</v>
      </c>
      <c r="Q72" s="41"/>
      <c r="R72" s="23"/>
      <c r="XCY72"/>
      <c r="XCZ72"/>
      <c r="XDA72"/>
      <c r="XDB72"/>
      <c r="XDC72"/>
      <c r="XDD72"/>
      <c r="XDE72"/>
      <c r="XDF72"/>
      <c r="XDG72"/>
      <c r="XDH72"/>
      <c r="XDI72"/>
      <c r="XDJ72"/>
      <c r="XDK72"/>
      <c r="XDL72"/>
      <c r="XDM72"/>
      <c r="XDN72"/>
      <c r="XDO72"/>
      <c r="XDP72"/>
      <c r="XDQ72"/>
      <c r="XDR72"/>
      <c r="XDS72"/>
      <c r="XDT72"/>
      <c r="XDU72"/>
      <c r="XDV72"/>
      <c r="XDW72"/>
      <c r="XDX72"/>
      <c r="XDY72"/>
      <c r="XDZ72"/>
      <c r="XEA72"/>
      <c r="XEB72"/>
      <c r="XEC72"/>
      <c r="XED72"/>
      <c r="XEE72"/>
      <c r="XEF72"/>
      <c r="XEG72"/>
      <c r="XEH72"/>
      <c r="XEI72"/>
      <c r="XEJ72"/>
      <c r="XEK72"/>
      <c r="XEL72"/>
      <c r="XEM72"/>
      <c r="XEN72"/>
      <c r="XEO72"/>
      <c r="XEP72"/>
      <c r="XEQ72"/>
      <c r="XER72"/>
      <c r="XES72"/>
      <c r="XET72"/>
      <c r="XEU72"/>
      <c r="XEV72"/>
      <c r="XEW72"/>
      <c r="XEX72"/>
      <c r="XEY72"/>
      <c r="XEZ72"/>
      <c r="XFA72"/>
      <c r="XFB72"/>
      <c r="XFC72"/>
      <c r="XFD72"/>
    </row>
    <row r="73" spans="1:18 16327:16384" s="26" customFormat="1" ht="29.1" customHeight="1" outlineLevel="3" x14ac:dyDescent="0.25">
      <c r="A73" s="42" t="s">
        <v>137</v>
      </c>
      <c r="B73" s="43"/>
      <c r="C73" s="66" t="s">
        <v>138</v>
      </c>
      <c r="D73" s="66"/>
      <c r="E73" s="43" t="s">
        <v>34</v>
      </c>
      <c r="F73" s="44"/>
      <c r="G73" s="43" t="s">
        <v>31</v>
      </c>
      <c r="H73" s="45">
        <v>1</v>
      </c>
      <c r="I73" s="46">
        <f>6</f>
        <v>6</v>
      </c>
      <c r="J73" s="23"/>
      <c r="K73" s="47"/>
      <c r="L73" s="48"/>
      <c r="M73" s="49"/>
      <c r="N73" s="49">
        <f t="shared" si="1"/>
        <v>0</v>
      </c>
      <c r="O73" s="49"/>
      <c r="P73" s="49"/>
      <c r="Q73" s="49"/>
      <c r="R73" s="23"/>
      <c r="XCY73"/>
      <c r="XCZ73"/>
      <c r="XDA73"/>
      <c r="XDB73"/>
      <c r="XDC73"/>
      <c r="XDD73"/>
      <c r="XDE73"/>
      <c r="XDF73"/>
      <c r="XDG73"/>
      <c r="XDH73"/>
      <c r="XDI73"/>
      <c r="XDJ73"/>
      <c r="XDK73"/>
      <c r="XDL73"/>
      <c r="XDM73"/>
      <c r="XDN73"/>
      <c r="XDO73"/>
      <c r="XDP73"/>
      <c r="XDQ73"/>
      <c r="XDR73"/>
      <c r="XDS73"/>
      <c r="XDT73"/>
      <c r="XDU73"/>
      <c r="XDV73"/>
      <c r="XDW73"/>
      <c r="XDX73"/>
      <c r="XDY73"/>
      <c r="XDZ73"/>
      <c r="XEA73"/>
      <c r="XEB73"/>
      <c r="XEC73"/>
      <c r="XED73"/>
      <c r="XEE73"/>
      <c r="XEF73"/>
      <c r="XEG73"/>
      <c r="XEH73"/>
      <c r="XEI73"/>
      <c r="XEJ73"/>
      <c r="XEK73"/>
      <c r="XEL73"/>
      <c r="XEM73"/>
      <c r="XEN73"/>
      <c r="XEO73"/>
      <c r="XEP73"/>
      <c r="XEQ73"/>
      <c r="XER73"/>
      <c r="XES73"/>
      <c r="XET73"/>
      <c r="XEU73"/>
      <c r="XEV73"/>
      <c r="XEW73"/>
      <c r="XEX73"/>
      <c r="XEY73"/>
      <c r="XEZ73"/>
      <c r="XFA73"/>
      <c r="XFB73"/>
      <c r="XFC73"/>
      <c r="XFD73"/>
    </row>
    <row r="74" spans="1:18 16327:16384" s="26" customFormat="1" ht="29.1" customHeight="1" outlineLevel="2" x14ac:dyDescent="0.25">
      <c r="A74" s="34" t="s">
        <v>139</v>
      </c>
      <c r="B74" s="35"/>
      <c r="C74" s="65" t="s">
        <v>36</v>
      </c>
      <c r="D74" s="65"/>
      <c r="E74" s="35"/>
      <c r="F74" s="36" t="s">
        <v>95</v>
      </c>
      <c r="G74" s="35" t="s">
        <v>31</v>
      </c>
      <c r="H74" s="37"/>
      <c r="I74" s="38">
        <f>1</f>
        <v>1</v>
      </c>
      <c r="J74" s="23"/>
      <c r="K74" s="39"/>
      <c r="L74" s="40"/>
      <c r="M74" s="41">
        <f>K74+L74</f>
        <v>0</v>
      </c>
      <c r="N74" s="41">
        <f t="shared" si="1"/>
        <v>0</v>
      </c>
      <c r="O74" s="41">
        <f>ROUND((I74*L74),2)</f>
        <v>0</v>
      </c>
      <c r="P74" s="41">
        <f>ROUND((I74*M74),2)</f>
        <v>0</v>
      </c>
      <c r="Q74" s="41"/>
      <c r="R74" s="23"/>
      <c r="XCY74"/>
      <c r="XCZ74"/>
      <c r="XDA74"/>
      <c r="XDB74"/>
      <c r="XDC74"/>
      <c r="XDD74"/>
      <c r="XDE74"/>
      <c r="XDF74"/>
      <c r="XDG74"/>
      <c r="XDH74"/>
      <c r="XDI74"/>
      <c r="XDJ74"/>
      <c r="XDK74"/>
      <c r="XDL74"/>
      <c r="XDM74"/>
      <c r="XDN74"/>
      <c r="XDO74"/>
      <c r="XDP74"/>
      <c r="XDQ74"/>
      <c r="XDR74"/>
      <c r="XDS74"/>
      <c r="XDT74"/>
      <c r="XDU74"/>
      <c r="XDV74"/>
      <c r="XDW74"/>
      <c r="XDX74"/>
      <c r="XDY74"/>
      <c r="XDZ74"/>
      <c r="XEA74"/>
      <c r="XEB74"/>
      <c r="XEC74"/>
      <c r="XED74"/>
      <c r="XEE74"/>
      <c r="XEF74"/>
      <c r="XEG74"/>
      <c r="XEH74"/>
      <c r="XEI74"/>
      <c r="XEJ74"/>
      <c r="XEK74"/>
      <c r="XEL74"/>
      <c r="XEM74"/>
      <c r="XEN74"/>
      <c r="XEO74"/>
      <c r="XEP74"/>
      <c r="XEQ74"/>
      <c r="XER74"/>
      <c r="XES74"/>
      <c r="XET74"/>
      <c r="XEU74"/>
      <c r="XEV74"/>
      <c r="XEW74"/>
      <c r="XEX74"/>
      <c r="XEY74"/>
      <c r="XEZ74"/>
      <c r="XFA74"/>
      <c r="XFB74"/>
      <c r="XFC74"/>
      <c r="XFD74"/>
    </row>
    <row r="75" spans="1:18 16327:16384" s="26" customFormat="1" ht="29.1" customHeight="1" outlineLevel="3" x14ac:dyDescent="0.25">
      <c r="A75" s="42" t="s">
        <v>140</v>
      </c>
      <c r="B75" s="43"/>
      <c r="C75" s="66" t="s">
        <v>141</v>
      </c>
      <c r="D75" s="66"/>
      <c r="E75" s="43" t="s">
        <v>34</v>
      </c>
      <c r="F75" s="44"/>
      <c r="G75" s="43" t="s">
        <v>31</v>
      </c>
      <c r="H75" s="45">
        <v>1</v>
      </c>
      <c r="I75" s="46">
        <f>1</f>
        <v>1</v>
      </c>
      <c r="J75" s="23"/>
      <c r="K75" s="47"/>
      <c r="L75" s="48"/>
      <c r="M75" s="49"/>
      <c r="N75" s="49">
        <f t="shared" si="1"/>
        <v>0</v>
      </c>
      <c r="O75" s="49"/>
      <c r="P75" s="49"/>
      <c r="Q75" s="49"/>
      <c r="R75" s="23"/>
      <c r="XCY75"/>
      <c r="XCZ75"/>
      <c r="XDA75"/>
      <c r="XDB75"/>
      <c r="XDC75"/>
      <c r="XDD75"/>
      <c r="XDE75"/>
      <c r="XDF75"/>
      <c r="XDG75"/>
      <c r="XDH75"/>
      <c r="XDI75"/>
      <c r="XDJ75"/>
      <c r="XDK75"/>
      <c r="XDL75"/>
      <c r="XDM75"/>
      <c r="XDN75"/>
      <c r="XDO75"/>
      <c r="XDP75"/>
      <c r="XDQ75"/>
      <c r="XDR75"/>
      <c r="XDS75"/>
      <c r="XDT75"/>
      <c r="XDU75"/>
      <c r="XDV75"/>
      <c r="XDW75"/>
      <c r="XDX75"/>
      <c r="XDY75"/>
      <c r="XDZ75"/>
      <c r="XEA75"/>
      <c r="XEB75"/>
      <c r="XEC75"/>
      <c r="XED75"/>
      <c r="XEE75"/>
      <c r="XEF75"/>
      <c r="XEG75"/>
      <c r="XEH75"/>
      <c r="XEI75"/>
      <c r="XEJ75"/>
      <c r="XEK75"/>
      <c r="XEL75"/>
      <c r="XEM75"/>
      <c r="XEN75"/>
      <c r="XEO75"/>
      <c r="XEP75"/>
      <c r="XEQ75"/>
      <c r="XER75"/>
      <c r="XES75"/>
      <c r="XET75"/>
      <c r="XEU75"/>
      <c r="XEV75"/>
      <c r="XEW75"/>
      <c r="XEX75"/>
      <c r="XEY75"/>
      <c r="XEZ75"/>
      <c r="XFA75"/>
      <c r="XFB75"/>
      <c r="XFC75"/>
      <c r="XFD75"/>
    </row>
    <row r="76" spans="1:18 16327:16384" s="26" customFormat="1" ht="29.1" customHeight="1" outlineLevel="3" x14ac:dyDescent="0.25">
      <c r="A76" s="42" t="s">
        <v>142</v>
      </c>
      <c r="B76" s="43"/>
      <c r="C76" s="66" t="s">
        <v>143</v>
      </c>
      <c r="D76" s="66"/>
      <c r="E76" s="43" t="s">
        <v>34</v>
      </c>
      <c r="F76" s="44"/>
      <c r="G76" s="43" t="s">
        <v>31</v>
      </c>
      <c r="H76" s="45">
        <v>1</v>
      </c>
      <c r="I76" s="46">
        <f>3</f>
        <v>3</v>
      </c>
      <c r="J76" s="23"/>
      <c r="K76" s="47"/>
      <c r="L76" s="48"/>
      <c r="M76" s="49"/>
      <c r="N76" s="49">
        <f t="shared" si="1"/>
        <v>0</v>
      </c>
      <c r="O76" s="49"/>
      <c r="P76" s="49"/>
      <c r="Q76" s="49"/>
      <c r="R76" s="23"/>
      <c r="XCY76"/>
      <c r="XCZ76"/>
      <c r="XDA76"/>
      <c r="XDB76"/>
      <c r="XDC76"/>
      <c r="XDD76"/>
      <c r="XDE76"/>
      <c r="XDF76"/>
      <c r="XDG76"/>
      <c r="XDH76"/>
      <c r="XDI76"/>
      <c r="XDJ76"/>
      <c r="XDK76"/>
      <c r="XDL76"/>
      <c r="XDM76"/>
      <c r="XDN76"/>
      <c r="XDO76"/>
      <c r="XDP76"/>
      <c r="XDQ76"/>
      <c r="XDR76"/>
      <c r="XDS76"/>
      <c r="XDT76"/>
      <c r="XDU76"/>
      <c r="XDV76"/>
      <c r="XDW76"/>
      <c r="XDX76"/>
      <c r="XDY76"/>
      <c r="XDZ76"/>
      <c r="XEA76"/>
      <c r="XEB76"/>
      <c r="XEC76"/>
      <c r="XED76"/>
      <c r="XEE76"/>
      <c r="XEF76"/>
      <c r="XEG76"/>
      <c r="XEH76"/>
      <c r="XEI76"/>
      <c r="XEJ76"/>
      <c r="XEK76"/>
      <c r="XEL76"/>
      <c r="XEM76"/>
      <c r="XEN76"/>
      <c r="XEO76"/>
      <c r="XEP76"/>
      <c r="XEQ76"/>
      <c r="XER76"/>
      <c r="XES76"/>
      <c r="XET76"/>
      <c r="XEU76"/>
      <c r="XEV76"/>
      <c r="XEW76"/>
      <c r="XEX76"/>
      <c r="XEY76"/>
      <c r="XEZ76"/>
      <c r="XFA76"/>
      <c r="XFB76"/>
      <c r="XFC76"/>
      <c r="XFD76"/>
    </row>
    <row r="77" spans="1:18 16327:16384" s="26" customFormat="1" ht="29.1" customHeight="1" outlineLevel="3" x14ac:dyDescent="0.25">
      <c r="A77" s="42" t="s">
        <v>144</v>
      </c>
      <c r="B77" s="43"/>
      <c r="C77" s="66" t="s">
        <v>145</v>
      </c>
      <c r="D77" s="66"/>
      <c r="E77" s="43" t="s">
        <v>34</v>
      </c>
      <c r="F77" s="44"/>
      <c r="G77" s="43" t="s">
        <v>31</v>
      </c>
      <c r="H77" s="45">
        <v>1</v>
      </c>
      <c r="I77" s="46">
        <f>1</f>
        <v>1</v>
      </c>
      <c r="J77" s="23"/>
      <c r="K77" s="47"/>
      <c r="L77" s="48"/>
      <c r="M77" s="49"/>
      <c r="N77" s="49">
        <f t="shared" si="1"/>
        <v>0</v>
      </c>
      <c r="O77" s="49"/>
      <c r="P77" s="49"/>
      <c r="Q77" s="49"/>
      <c r="R77" s="23"/>
      <c r="XCY77"/>
      <c r="XCZ77"/>
      <c r="XDA77"/>
      <c r="XDB77"/>
      <c r="XDC77"/>
      <c r="XDD77"/>
      <c r="XDE77"/>
      <c r="XDF77"/>
      <c r="XDG77"/>
      <c r="XDH77"/>
      <c r="XDI77"/>
      <c r="XDJ77"/>
      <c r="XDK77"/>
      <c r="XDL77"/>
      <c r="XDM77"/>
      <c r="XDN77"/>
      <c r="XDO77"/>
      <c r="XDP77"/>
      <c r="XDQ77"/>
      <c r="XDR77"/>
      <c r="XDS77"/>
      <c r="XDT77"/>
      <c r="XDU77"/>
      <c r="XDV77"/>
      <c r="XDW77"/>
      <c r="XDX77"/>
      <c r="XDY77"/>
      <c r="XDZ77"/>
      <c r="XEA77"/>
      <c r="XEB77"/>
      <c r="XEC77"/>
      <c r="XED77"/>
      <c r="XEE77"/>
      <c r="XEF77"/>
      <c r="XEG77"/>
      <c r="XEH77"/>
      <c r="XEI77"/>
      <c r="XEJ77"/>
      <c r="XEK77"/>
      <c r="XEL77"/>
      <c r="XEM77"/>
      <c r="XEN77"/>
      <c r="XEO77"/>
      <c r="XEP77"/>
      <c r="XEQ77"/>
      <c r="XER77"/>
      <c r="XES77"/>
      <c r="XET77"/>
      <c r="XEU77"/>
      <c r="XEV77"/>
      <c r="XEW77"/>
      <c r="XEX77"/>
      <c r="XEY77"/>
      <c r="XEZ77"/>
      <c r="XFA77"/>
      <c r="XFB77"/>
      <c r="XFC77"/>
      <c r="XFD77"/>
    </row>
    <row r="78" spans="1:18 16327:16384" s="26" customFormat="1" ht="29.1" customHeight="1" outlineLevel="3" x14ac:dyDescent="0.25">
      <c r="A78" s="42" t="s">
        <v>146</v>
      </c>
      <c r="B78" s="43"/>
      <c r="C78" s="66" t="s">
        <v>147</v>
      </c>
      <c r="D78" s="66"/>
      <c r="E78" s="43" t="s">
        <v>34</v>
      </c>
      <c r="F78" s="44"/>
      <c r="G78" s="43" t="s">
        <v>31</v>
      </c>
      <c r="H78" s="45">
        <v>1</v>
      </c>
      <c r="I78" s="46">
        <f>1</f>
        <v>1</v>
      </c>
      <c r="J78" s="23"/>
      <c r="K78" s="47"/>
      <c r="L78" s="48"/>
      <c r="M78" s="49"/>
      <c r="N78" s="49">
        <f t="shared" si="1"/>
        <v>0</v>
      </c>
      <c r="O78" s="49"/>
      <c r="P78" s="49"/>
      <c r="Q78" s="49"/>
      <c r="R78" s="23"/>
      <c r="XCY78"/>
      <c r="XCZ78"/>
      <c r="XDA78"/>
      <c r="XDB78"/>
      <c r="XDC78"/>
      <c r="XDD78"/>
      <c r="XDE78"/>
      <c r="XDF78"/>
      <c r="XDG78"/>
      <c r="XDH78"/>
      <c r="XDI78"/>
      <c r="XDJ78"/>
      <c r="XDK78"/>
      <c r="XDL78"/>
      <c r="XDM78"/>
      <c r="XDN78"/>
      <c r="XDO78"/>
      <c r="XDP78"/>
      <c r="XDQ78"/>
      <c r="XDR78"/>
      <c r="XDS78"/>
      <c r="XDT78"/>
      <c r="XDU78"/>
      <c r="XDV78"/>
      <c r="XDW78"/>
      <c r="XDX78"/>
      <c r="XDY78"/>
      <c r="XDZ78"/>
      <c r="XEA78"/>
      <c r="XEB78"/>
      <c r="XEC78"/>
      <c r="XED78"/>
      <c r="XEE78"/>
      <c r="XEF78"/>
      <c r="XEG78"/>
      <c r="XEH78"/>
      <c r="XEI78"/>
      <c r="XEJ78"/>
      <c r="XEK78"/>
      <c r="XEL78"/>
      <c r="XEM78"/>
      <c r="XEN78"/>
      <c r="XEO78"/>
      <c r="XEP78"/>
      <c r="XEQ78"/>
      <c r="XER78"/>
      <c r="XES78"/>
      <c r="XET78"/>
      <c r="XEU78"/>
      <c r="XEV78"/>
      <c r="XEW78"/>
      <c r="XEX78"/>
      <c r="XEY78"/>
      <c r="XEZ78"/>
      <c r="XFA78"/>
      <c r="XFB78"/>
      <c r="XFC78"/>
      <c r="XFD78"/>
    </row>
    <row r="79" spans="1:18 16327:16384" s="26" customFormat="1" ht="29.1" customHeight="1" outlineLevel="2" x14ac:dyDescent="0.25">
      <c r="A79" s="34" t="s">
        <v>148</v>
      </c>
      <c r="B79" s="35"/>
      <c r="C79" s="65" t="s">
        <v>36</v>
      </c>
      <c r="D79" s="65"/>
      <c r="E79" s="35"/>
      <c r="F79" s="36" t="s">
        <v>95</v>
      </c>
      <c r="G79" s="35" t="s">
        <v>31</v>
      </c>
      <c r="H79" s="37"/>
      <c r="I79" s="38">
        <f>17</f>
        <v>17</v>
      </c>
      <c r="J79" s="23"/>
      <c r="K79" s="39"/>
      <c r="L79" s="40"/>
      <c r="M79" s="41">
        <f>K79+L79</f>
        <v>0</v>
      </c>
      <c r="N79" s="41">
        <f t="shared" si="1"/>
        <v>0</v>
      </c>
      <c r="O79" s="41">
        <f>ROUND((I79*L79),2)</f>
        <v>0</v>
      </c>
      <c r="P79" s="41">
        <f>ROUND((I79*M79),2)</f>
        <v>0</v>
      </c>
      <c r="Q79" s="41"/>
      <c r="R79" s="23"/>
      <c r="XCY79"/>
      <c r="XCZ79"/>
      <c r="XDA79"/>
      <c r="XDB79"/>
      <c r="XDC79"/>
      <c r="XDD79"/>
      <c r="XDE79"/>
      <c r="XDF79"/>
      <c r="XDG79"/>
      <c r="XDH79"/>
      <c r="XDI79"/>
      <c r="XDJ79"/>
      <c r="XDK79"/>
      <c r="XDL79"/>
      <c r="XDM79"/>
      <c r="XDN79"/>
      <c r="XDO79"/>
      <c r="XDP79"/>
      <c r="XDQ79"/>
      <c r="XDR79"/>
      <c r="XDS79"/>
      <c r="XDT79"/>
      <c r="XDU79"/>
      <c r="XDV79"/>
      <c r="XDW79"/>
      <c r="XDX79"/>
      <c r="XDY79"/>
      <c r="XDZ79"/>
      <c r="XEA79"/>
      <c r="XEB79"/>
      <c r="XEC79"/>
      <c r="XED79"/>
      <c r="XEE79"/>
      <c r="XEF79"/>
      <c r="XEG79"/>
      <c r="XEH79"/>
      <c r="XEI79"/>
      <c r="XEJ79"/>
      <c r="XEK79"/>
      <c r="XEL79"/>
      <c r="XEM79"/>
      <c r="XEN79"/>
      <c r="XEO79"/>
      <c r="XEP79"/>
      <c r="XEQ79"/>
      <c r="XER79"/>
      <c r="XES79"/>
      <c r="XET79"/>
      <c r="XEU79"/>
      <c r="XEV79"/>
      <c r="XEW79"/>
      <c r="XEX79"/>
      <c r="XEY79"/>
      <c r="XEZ79"/>
      <c r="XFA79"/>
      <c r="XFB79"/>
      <c r="XFC79"/>
      <c r="XFD79"/>
    </row>
    <row r="80" spans="1:18 16327:16384" s="26" customFormat="1" ht="29.1" customHeight="1" outlineLevel="3" x14ac:dyDescent="0.25">
      <c r="A80" s="42" t="s">
        <v>149</v>
      </c>
      <c r="B80" s="43"/>
      <c r="C80" s="66" t="s">
        <v>150</v>
      </c>
      <c r="D80" s="66"/>
      <c r="E80" s="43" t="s">
        <v>34</v>
      </c>
      <c r="F80" s="44"/>
      <c r="G80" s="43" t="s">
        <v>31</v>
      </c>
      <c r="H80" s="45">
        <v>1</v>
      </c>
      <c r="I80" s="46">
        <f>4</f>
        <v>4</v>
      </c>
      <c r="J80" s="23"/>
      <c r="K80" s="47"/>
      <c r="L80" s="48"/>
      <c r="M80" s="49"/>
      <c r="N80" s="49">
        <f t="shared" si="1"/>
        <v>0</v>
      </c>
      <c r="O80" s="49"/>
      <c r="P80" s="49"/>
      <c r="Q80" s="49"/>
      <c r="R80" s="23"/>
      <c r="XCY80"/>
      <c r="XCZ80"/>
      <c r="XDA80"/>
      <c r="XDB80"/>
      <c r="XDC80"/>
      <c r="XDD80"/>
      <c r="XDE80"/>
      <c r="XDF80"/>
      <c r="XDG80"/>
      <c r="XDH80"/>
      <c r="XDI80"/>
      <c r="XDJ80"/>
      <c r="XDK80"/>
      <c r="XDL80"/>
      <c r="XDM80"/>
      <c r="XDN80"/>
      <c r="XDO80"/>
      <c r="XDP80"/>
      <c r="XDQ80"/>
      <c r="XDR80"/>
      <c r="XDS80"/>
      <c r="XDT80"/>
      <c r="XDU80"/>
      <c r="XDV80"/>
      <c r="XDW80"/>
      <c r="XDX80"/>
      <c r="XDY80"/>
      <c r="XDZ80"/>
      <c r="XEA80"/>
      <c r="XEB80"/>
      <c r="XEC80"/>
      <c r="XED80"/>
      <c r="XEE80"/>
      <c r="XEF80"/>
      <c r="XEG80"/>
      <c r="XEH80"/>
      <c r="XEI80"/>
      <c r="XEJ80"/>
      <c r="XEK80"/>
      <c r="XEL80"/>
      <c r="XEM80"/>
      <c r="XEN80"/>
      <c r="XEO80"/>
      <c r="XEP80"/>
      <c r="XEQ80"/>
      <c r="XER80"/>
      <c r="XES80"/>
      <c r="XET80"/>
      <c r="XEU80"/>
      <c r="XEV80"/>
      <c r="XEW80"/>
      <c r="XEX80"/>
      <c r="XEY80"/>
      <c r="XEZ80"/>
      <c r="XFA80"/>
      <c r="XFB80"/>
      <c r="XFC80"/>
      <c r="XFD80"/>
    </row>
    <row r="81" spans="1:18 16327:16384" s="26" customFormat="1" ht="29.1" customHeight="1" outlineLevel="3" x14ac:dyDescent="0.25">
      <c r="A81" s="42" t="s">
        <v>151</v>
      </c>
      <c r="B81" s="43"/>
      <c r="C81" s="66" t="s">
        <v>152</v>
      </c>
      <c r="D81" s="66"/>
      <c r="E81" s="43" t="s">
        <v>34</v>
      </c>
      <c r="F81" s="44"/>
      <c r="G81" s="43" t="s">
        <v>31</v>
      </c>
      <c r="H81" s="45">
        <v>1</v>
      </c>
      <c r="I81" s="46">
        <f>7</f>
        <v>7</v>
      </c>
      <c r="J81" s="23"/>
      <c r="K81" s="47"/>
      <c r="L81" s="48"/>
      <c r="M81" s="49"/>
      <c r="N81" s="49">
        <f t="shared" si="1"/>
        <v>0</v>
      </c>
      <c r="O81" s="49"/>
      <c r="P81" s="49"/>
      <c r="Q81" s="49"/>
      <c r="R81" s="23"/>
      <c r="XCY81"/>
      <c r="XCZ81"/>
      <c r="XDA81"/>
      <c r="XDB81"/>
      <c r="XDC81"/>
      <c r="XDD81"/>
      <c r="XDE81"/>
      <c r="XDF81"/>
      <c r="XDG81"/>
      <c r="XDH81"/>
      <c r="XDI81"/>
      <c r="XDJ81"/>
      <c r="XDK81"/>
      <c r="XDL81"/>
      <c r="XDM81"/>
      <c r="XDN81"/>
      <c r="XDO81"/>
      <c r="XDP81"/>
      <c r="XDQ81"/>
      <c r="XDR81"/>
      <c r="XDS81"/>
      <c r="XDT81"/>
      <c r="XDU81"/>
      <c r="XDV81"/>
      <c r="XDW81"/>
      <c r="XDX81"/>
      <c r="XDY81"/>
      <c r="XDZ81"/>
      <c r="XEA81"/>
      <c r="XEB81"/>
      <c r="XEC81"/>
      <c r="XED81"/>
      <c r="XEE81"/>
      <c r="XEF81"/>
      <c r="XEG81"/>
      <c r="XEH81"/>
      <c r="XEI81"/>
      <c r="XEJ81"/>
      <c r="XEK81"/>
      <c r="XEL81"/>
      <c r="XEM81"/>
      <c r="XEN81"/>
      <c r="XEO81"/>
      <c r="XEP81"/>
      <c r="XEQ81"/>
      <c r="XER81"/>
      <c r="XES81"/>
      <c r="XET81"/>
      <c r="XEU81"/>
      <c r="XEV81"/>
      <c r="XEW81"/>
      <c r="XEX81"/>
      <c r="XEY81"/>
      <c r="XEZ81"/>
      <c r="XFA81"/>
      <c r="XFB81"/>
      <c r="XFC81"/>
      <c r="XFD81"/>
    </row>
    <row r="82" spans="1:18 16327:16384" s="26" customFormat="1" ht="29.1" customHeight="1" outlineLevel="3" x14ac:dyDescent="0.25">
      <c r="A82" s="42" t="s">
        <v>153</v>
      </c>
      <c r="B82" s="43"/>
      <c r="C82" s="66" t="s">
        <v>154</v>
      </c>
      <c r="D82" s="66"/>
      <c r="E82" s="43" t="s">
        <v>34</v>
      </c>
      <c r="F82" s="44"/>
      <c r="G82" s="43" t="s">
        <v>31</v>
      </c>
      <c r="H82" s="45">
        <v>1</v>
      </c>
      <c r="I82" s="46">
        <f>6</f>
        <v>6</v>
      </c>
      <c r="J82" s="23"/>
      <c r="K82" s="47"/>
      <c r="L82" s="48"/>
      <c r="M82" s="49"/>
      <c r="N82" s="49">
        <f t="shared" ref="N82:N113" si="2">ROUND((I82*K82),2)</f>
        <v>0</v>
      </c>
      <c r="O82" s="49"/>
      <c r="P82" s="49"/>
      <c r="Q82" s="49"/>
      <c r="R82" s="23"/>
      <c r="XCY82"/>
      <c r="XCZ82"/>
      <c r="XDA82"/>
      <c r="XDB82"/>
      <c r="XDC82"/>
      <c r="XDD82"/>
      <c r="XDE82"/>
      <c r="XDF82"/>
      <c r="XDG82"/>
      <c r="XDH82"/>
      <c r="XDI82"/>
      <c r="XDJ82"/>
      <c r="XDK82"/>
      <c r="XDL82"/>
      <c r="XDM82"/>
      <c r="XDN82"/>
      <c r="XDO82"/>
      <c r="XDP82"/>
      <c r="XDQ82"/>
      <c r="XDR82"/>
      <c r="XDS82"/>
      <c r="XDT82"/>
      <c r="XDU82"/>
      <c r="XDV82"/>
      <c r="XDW82"/>
      <c r="XDX82"/>
      <c r="XDY82"/>
      <c r="XDZ82"/>
      <c r="XEA82"/>
      <c r="XEB82"/>
      <c r="XEC82"/>
      <c r="XED82"/>
      <c r="XEE82"/>
      <c r="XEF82"/>
      <c r="XEG82"/>
      <c r="XEH82"/>
      <c r="XEI82"/>
      <c r="XEJ82"/>
      <c r="XEK82"/>
      <c r="XEL82"/>
      <c r="XEM82"/>
      <c r="XEN82"/>
      <c r="XEO82"/>
      <c r="XEP82"/>
      <c r="XEQ82"/>
      <c r="XER82"/>
      <c r="XES82"/>
      <c r="XET82"/>
      <c r="XEU82"/>
      <c r="XEV82"/>
      <c r="XEW82"/>
      <c r="XEX82"/>
      <c r="XEY82"/>
      <c r="XEZ82"/>
      <c r="XFA82"/>
      <c r="XFB82"/>
      <c r="XFC82"/>
      <c r="XFD82"/>
    </row>
    <row r="83" spans="1:18 16327:16384" s="26" customFormat="1" ht="29.1" customHeight="1" outlineLevel="2" x14ac:dyDescent="0.25">
      <c r="A83" s="34" t="s">
        <v>155</v>
      </c>
      <c r="B83" s="35"/>
      <c r="C83" s="65" t="s">
        <v>36</v>
      </c>
      <c r="D83" s="65"/>
      <c r="E83" s="35"/>
      <c r="F83" s="36"/>
      <c r="G83" s="35" t="s">
        <v>31</v>
      </c>
      <c r="H83" s="37"/>
      <c r="I83" s="38">
        <f>21</f>
        <v>21</v>
      </c>
      <c r="J83" s="23"/>
      <c r="K83" s="39"/>
      <c r="L83" s="40"/>
      <c r="M83" s="41">
        <f>K83+L83</f>
        <v>0</v>
      </c>
      <c r="N83" s="41">
        <f t="shared" si="2"/>
        <v>0</v>
      </c>
      <c r="O83" s="41">
        <f>ROUND((I83*L83),2)</f>
        <v>0</v>
      </c>
      <c r="P83" s="41">
        <f>ROUND((I83*M83),2)</f>
        <v>0</v>
      </c>
      <c r="Q83" s="41"/>
      <c r="R83" s="23"/>
      <c r="XCY83"/>
      <c r="XCZ83"/>
      <c r="XDA83"/>
      <c r="XDB83"/>
      <c r="XDC83"/>
      <c r="XDD83"/>
      <c r="XDE83"/>
      <c r="XDF83"/>
      <c r="XDG83"/>
      <c r="XDH83"/>
      <c r="XDI83"/>
      <c r="XDJ83"/>
      <c r="XDK83"/>
      <c r="XDL83"/>
      <c r="XDM83"/>
      <c r="XDN83"/>
      <c r="XDO83"/>
      <c r="XDP83"/>
      <c r="XDQ83"/>
      <c r="XDR83"/>
      <c r="XDS83"/>
      <c r="XDT83"/>
      <c r="XDU83"/>
      <c r="XDV83"/>
      <c r="XDW83"/>
      <c r="XDX83"/>
      <c r="XDY83"/>
      <c r="XDZ83"/>
      <c r="XEA83"/>
      <c r="XEB83"/>
      <c r="XEC83"/>
      <c r="XED83"/>
      <c r="XEE83"/>
      <c r="XEF83"/>
      <c r="XEG83"/>
      <c r="XEH83"/>
      <c r="XEI83"/>
      <c r="XEJ83"/>
      <c r="XEK83"/>
      <c r="XEL83"/>
      <c r="XEM83"/>
      <c r="XEN83"/>
      <c r="XEO83"/>
      <c r="XEP83"/>
      <c r="XEQ83"/>
      <c r="XER83"/>
      <c r="XES83"/>
      <c r="XET83"/>
      <c r="XEU83"/>
      <c r="XEV83"/>
      <c r="XEW83"/>
      <c r="XEX83"/>
      <c r="XEY83"/>
      <c r="XEZ83"/>
      <c r="XFA83"/>
      <c r="XFB83"/>
      <c r="XFC83"/>
      <c r="XFD83"/>
    </row>
    <row r="84" spans="1:18 16327:16384" s="26" customFormat="1" ht="29.1" customHeight="1" outlineLevel="3" x14ac:dyDescent="0.25">
      <c r="A84" s="42" t="s">
        <v>156</v>
      </c>
      <c r="B84" s="43"/>
      <c r="C84" s="66" t="s">
        <v>157</v>
      </c>
      <c r="D84" s="66"/>
      <c r="E84" s="43" t="s">
        <v>34</v>
      </c>
      <c r="F84" s="44"/>
      <c r="G84" s="43" t="s">
        <v>31</v>
      </c>
      <c r="H84" s="45">
        <v>1</v>
      </c>
      <c r="I84" s="46">
        <f>21</f>
        <v>21</v>
      </c>
      <c r="J84" s="23"/>
      <c r="K84" s="47"/>
      <c r="L84" s="48"/>
      <c r="M84" s="49"/>
      <c r="N84" s="49">
        <f t="shared" si="2"/>
        <v>0</v>
      </c>
      <c r="O84" s="49"/>
      <c r="P84" s="49"/>
      <c r="Q84" s="49"/>
      <c r="R84" s="23"/>
      <c r="XCY84"/>
      <c r="XCZ84"/>
      <c r="XDA84"/>
      <c r="XDB84"/>
      <c r="XDC84"/>
      <c r="XDD84"/>
      <c r="XDE84"/>
      <c r="XDF84"/>
      <c r="XDG84"/>
      <c r="XDH84"/>
      <c r="XDI84"/>
      <c r="XDJ84"/>
      <c r="XDK84"/>
      <c r="XDL84"/>
      <c r="XDM84"/>
      <c r="XDN84"/>
      <c r="XDO84"/>
      <c r="XDP84"/>
      <c r="XDQ84"/>
      <c r="XDR84"/>
      <c r="XDS84"/>
      <c r="XDT84"/>
      <c r="XDU84"/>
      <c r="XDV84"/>
      <c r="XDW84"/>
      <c r="XDX84"/>
      <c r="XDY84"/>
      <c r="XDZ84"/>
      <c r="XEA84"/>
      <c r="XEB84"/>
      <c r="XEC84"/>
      <c r="XED84"/>
      <c r="XEE84"/>
      <c r="XEF84"/>
      <c r="XEG84"/>
      <c r="XEH84"/>
      <c r="XEI84"/>
      <c r="XEJ84"/>
      <c r="XEK84"/>
      <c r="XEL84"/>
      <c r="XEM84"/>
      <c r="XEN84"/>
      <c r="XEO84"/>
      <c r="XEP84"/>
      <c r="XEQ84"/>
      <c r="XER84"/>
      <c r="XES84"/>
      <c r="XET84"/>
      <c r="XEU84"/>
      <c r="XEV84"/>
      <c r="XEW84"/>
      <c r="XEX84"/>
      <c r="XEY84"/>
      <c r="XEZ84"/>
      <c r="XFA84"/>
      <c r="XFB84"/>
      <c r="XFC84"/>
      <c r="XFD84"/>
    </row>
    <row r="85" spans="1:18 16327:16384" s="26" customFormat="1" ht="29.1" customHeight="1" outlineLevel="2" x14ac:dyDescent="0.25">
      <c r="A85" s="34" t="s">
        <v>158</v>
      </c>
      <c r="B85" s="35"/>
      <c r="C85" s="65" t="s">
        <v>50</v>
      </c>
      <c r="D85" s="65"/>
      <c r="E85" s="35"/>
      <c r="F85" s="36" t="s">
        <v>95</v>
      </c>
      <c r="G85" s="35" t="s">
        <v>31</v>
      </c>
      <c r="H85" s="37"/>
      <c r="I85" s="38">
        <f>3</f>
        <v>3</v>
      </c>
      <c r="J85" s="23"/>
      <c r="K85" s="39"/>
      <c r="L85" s="40"/>
      <c r="M85" s="41">
        <f>K85+L85</f>
        <v>0</v>
      </c>
      <c r="N85" s="41">
        <f t="shared" si="2"/>
        <v>0</v>
      </c>
      <c r="O85" s="41">
        <f>ROUND((I85*L85),2)</f>
        <v>0</v>
      </c>
      <c r="P85" s="41">
        <f>ROUND((I85*M85),2)</f>
        <v>0</v>
      </c>
      <c r="Q85" s="41"/>
      <c r="R85" s="23"/>
      <c r="XCY85"/>
      <c r="XCZ85"/>
      <c r="XDA85"/>
      <c r="XDB85"/>
      <c r="XDC85"/>
      <c r="XDD85"/>
      <c r="XDE85"/>
      <c r="XDF85"/>
      <c r="XDG85"/>
      <c r="XDH85"/>
      <c r="XDI85"/>
      <c r="XDJ85"/>
      <c r="XDK85"/>
      <c r="XDL85"/>
      <c r="XDM85"/>
      <c r="XDN85"/>
      <c r="XDO85"/>
      <c r="XDP85"/>
      <c r="XDQ85"/>
      <c r="XDR85"/>
      <c r="XDS85"/>
      <c r="XDT85"/>
      <c r="XDU85"/>
      <c r="XDV85"/>
      <c r="XDW85"/>
      <c r="XDX85"/>
      <c r="XDY85"/>
      <c r="XDZ85"/>
      <c r="XEA85"/>
      <c r="XEB85"/>
      <c r="XEC85"/>
      <c r="XED85"/>
      <c r="XEE85"/>
      <c r="XEF85"/>
      <c r="XEG85"/>
      <c r="XEH85"/>
      <c r="XEI85"/>
      <c r="XEJ85"/>
      <c r="XEK85"/>
      <c r="XEL85"/>
      <c r="XEM85"/>
      <c r="XEN85"/>
      <c r="XEO85"/>
      <c r="XEP85"/>
      <c r="XEQ85"/>
      <c r="XER85"/>
      <c r="XES85"/>
      <c r="XET85"/>
      <c r="XEU85"/>
      <c r="XEV85"/>
      <c r="XEW85"/>
      <c r="XEX85"/>
      <c r="XEY85"/>
      <c r="XEZ85"/>
      <c r="XFA85"/>
      <c r="XFB85"/>
      <c r="XFC85"/>
      <c r="XFD85"/>
    </row>
    <row r="86" spans="1:18 16327:16384" s="26" customFormat="1" ht="29.1" customHeight="1" outlineLevel="3" x14ac:dyDescent="0.25">
      <c r="A86" s="42" t="s">
        <v>159</v>
      </c>
      <c r="B86" s="43"/>
      <c r="C86" s="66" t="s">
        <v>160</v>
      </c>
      <c r="D86" s="66"/>
      <c r="E86" s="43" t="s">
        <v>34</v>
      </c>
      <c r="F86" s="44"/>
      <c r="G86" s="43" t="s">
        <v>31</v>
      </c>
      <c r="H86" s="45">
        <v>1</v>
      </c>
      <c r="I86" s="46">
        <f>3</f>
        <v>3</v>
      </c>
      <c r="J86" s="23"/>
      <c r="K86" s="47"/>
      <c r="L86" s="48"/>
      <c r="M86" s="49"/>
      <c r="N86" s="49">
        <f t="shared" si="2"/>
        <v>0</v>
      </c>
      <c r="O86" s="49"/>
      <c r="P86" s="49"/>
      <c r="Q86" s="49"/>
      <c r="R86" s="23"/>
      <c r="XCY86"/>
      <c r="XCZ86"/>
      <c r="XDA86"/>
      <c r="XDB86"/>
      <c r="XDC86"/>
      <c r="XDD86"/>
      <c r="XDE86"/>
      <c r="XDF86"/>
      <c r="XDG86"/>
      <c r="XDH86"/>
      <c r="XDI86"/>
      <c r="XDJ86"/>
      <c r="XDK86"/>
      <c r="XDL86"/>
      <c r="XDM86"/>
      <c r="XDN86"/>
      <c r="XDO86"/>
      <c r="XDP86"/>
      <c r="XDQ86"/>
      <c r="XDR86"/>
      <c r="XDS86"/>
      <c r="XDT86"/>
      <c r="XDU86"/>
      <c r="XDV86"/>
      <c r="XDW86"/>
      <c r="XDX86"/>
      <c r="XDY86"/>
      <c r="XDZ86"/>
      <c r="XEA86"/>
      <c r="XEB86"/>
      <c r="XEC86"/>
      <c r="XED86"/>
      <c r="XEE86"/>
      <c r="XEF86"/>
      <c r="XEG86"/>
      <c r="XEH86"/>
      <c r="XEI86"/>
      <c r="XEJ86"/>
      <c r="XEK86"/>
      <c r="XEL86"/>
      <c r="XEM86"/>
      <c r="XEN86"/>
      <c r="XEO86"/>
      <c r="XEP86"/>
      <c r="XEQ86"/>
      <c r="XER86"/>
      <c r="XES86"/>
      <c r="XET86"/>
      <c r="XEU86"/>
      <c r="XEV86"/>
      <c r="XEW86"/>
      <c r="XEX86"/>
      <c r="XEY86"/>
      <c r="XEZ86"/>
      <c r="XFA86"/>
      <c r="XFB86"/>
      <c r="XFC86"/>
      <c r="XFD86"/>
    </row>
    <row r="87" spans="1:18 16327:16384" s="26" customFormat="1" ht="29.1" customHeight="1" outlineLevel="2" x14ac:dyDescent="0.25">
      <c r="A87" s="34" t="s">
        <v>161</v>
      </c>
      <c r="B87" s="35"/>
      <c r="C87" s="65" t="s">
        <v>94</v>
      </c>
      <c r="D87" s="65"/>
      <c r="E87" s="35"/>
      <c r="F87" s="36" t="s">
        <v>162</v>
      </c>
      <c r="G87" s="35" t="s">
        <v>31</v>
      </c>
      <c r="H87" s="37"/>
      <c r="I87" s="38">
        <f>4</f>
        <v>4</v>
      </c>
      <c r="J87" s="23"/>
      <c r="K87" s="39"/>
      <c r="L87" s="40"/>
      <c r="M87" s="41">
        <f>K87+L87</f>
        <v>0</v>
      </c>
      <c r="N87" s="41">
        <f t="shared" si="2"/>
        <v>0</v>
      </c>
      <c r="O87" s="41">
        <f>ROUND((I87*L87),2)</f>
        <v>0</v>
      </c>
      <c r="P87" s="41">
        <f>ROUND((I87*M87),2)</f>
        <v>0</v>
      </c>
      <c r="Q87" s="41"/>
      <c r="R87" s="23"/>
      <c r="XCY87"/>
      <c r="XCZ87"/>
      <c r="XDA87"/>
      <c r="XDB87"/>
      <c r="XDC87"/>
      <c r="XDD87"/>
      <c r="XDE87"/>
      <c r="XDF87"/>
      <c r="XDG87"/>
      <c r="XDH87"/>
      <c r="XDI87"/>
      <c r="XDJ87"/>
      <c r="XDK87"/>
      <c r="XDL87"/>
      <c r="XDM87"/>
      <c r="XDN87"/>
      <c r="XDO87"/>
      <c r="XDP87"/>
      <c r="XDQ87"/>
      <c r="XDR87"/>
      <c r="XDS87"/>
      <c r="XDT87"/>
      <c r="XDU87"/>
      <c r="XDV87"/>
      <c r="XDW87"/>
      <c r="XDX87"/>
      <c r="XDY87"/>
      <c r="XDZ87"/>
      <c r="XEA87"/>
      <c r="XEB87"/>
      <c r="XEC87"/>
      <c r="XED87"/>
      <c r="XEE87"/>
      <c r="XEF87"/>
      <c r="XEG87"/>
      <c r="XEH87"/>
      <c r="XEI87"/>
      <c r="XEJ87"/>
      <c r="XEK87"/>
      <c r="XEL87"/>
      <c r="XEM87"/>
      <c r="XEN87"/>
      <c r="XEO87"/>
      <c r="XEP87"/>
      <c r="XEQ87"/>
      <c r="XER87"/>
      <c r="XES87"/>
      <c r="XET87"/>
      <c r="XEU87"/>
      <c r="XEV87"/>
      <c r="XEW87"/>
      <c r="XEX87"/>
      <c r="XEY87"/>
      <c r="XEZ87"/>
      <c r="XFA87"/>
      <c r="XFB87"/>
      <c r="XFC87"/>
      <c r="XFD87"/>
    </row>
    <row r="88" spans="1:18 16327:16384" s="26" customFormat="1" ht="29.1" customHeight="1" outlineLevel="3" x14ac:dyDescent="0.25">
      <c r="A88" s="42" t="s">
        <v>163</v>
      </c>
      <c r="B88" s="43"/>
      <c r="C88" s="66" t="s">
        <v>164</v>
      </c>
      <c r="D88" s="66"/>
      <c r="E88" s="43" t="s">
        <v>34</v>
      </c>
      <c r="F88" s="44"/>
      <c r="G88" s="43" t="s">
        <v>31</v>
      </c>
      <c r="H88" s="45">
        <v>1</v>
      </c>
      <c r="I88" s="46">
        <f>4</f>
        <v>4</v>
      </c>
      <c r="J88" s="23"/>
      <c r="K88" s="47"/>
      <c r="L88" s="48"/>
      <c r="M88" s="49"/>
      <c r="N88" s="49">
        <f t="shared" si="2"/>
        <v>0</v>
      </c>
      <c r="O88" s="49"/>
      <c r="P88" s="49"/>
      <c r="Q88" s="49"/>
      <c r="R88" s="23"/>
      <c r="XCY88"/>
      <c r="XCZ88"/>
      <c r="XDA88"/>
      <c r="XDB88"/>
      <c r="XDC88"/>
      <c r="XDD88"/>
      <c r="XDE88"/>
      <c r="XDF88"/>
      <c r="XDG88"/>
      <c r="XDH88"/>
      <c r="XDI88"/>
      <c r="XDJ88"/>
      <c r="XDK88"/>
      <c r="XDL88"/>
      <c r="XDM88"/>
      <c r="XDN88"/>
      <c r="XDO88"/>
      <c r="XDP88"/>
      <c r="XDQ88"/>
      <c r="XDR88"/>
      <c r="XDS88"/>
      <c r="XDT88"/>
      <c r="XDU88"/>
      <c r="XDV88"/>
      <c r="XDW88"/>
      <c r="XDX88"/>
      <c r="XDY88"/>
      <c r="XDZ88"/>
      <c r="XEA88"/>
      <c r="XEB88"/>
      <c r="XEC88"/>
      <c r="XED88"/>
      <c r="XEE88"/>
      <c r="XEF88"/>
      <c r="XEG88"/>
      <c r="XEH88"/>
      <c r="XEI88"/>
      <c r="XEJ88"/>
      <c r="XEK88"/>
      <c r="XEL88"/>
      <c r="XEM88"/>
      <c r="XEN88"/>
      <c r="XEO88"/>
      <c r="XEP88"/>
      <c r="XEQ88"/>
      <c r="XER88"/>
      <c r="XES88"/>
      <c r="XET88"/>
      <c r="XEU88"/>
      <c r="XEV88"/>
      <c r="XEW88"/>
      <c r="XEX88"/>
      <c r="XEY88"/>
      <c r="XEZ88"/>
      <c r="XFA88"/>
      <c r="XFB88"/>
      <c r="XFC88"/>
      <c r="XFD88"/>
    </row>
    <row r="89" spans="1:18 16327:16384" s="26" customFormat="1" ht="29.1" customHeight="1" outlineLevel="3" x14ac:dyDescent="0.25">
      <c r="A89" s="42" t="s">
        <v>165</v>
      </c>
      <c r="B89" s="43"/>
      <c r="C89" s="66" t="s">
        <v>166</v>
      </c>
      <c r="D89" s="66"/>
      <c r="E89" s="43" t="s">
        <v>34</v>
      </c>
      <c r="F89" s="44"/>
      <c r="G89" s="43" t="s">
        <v>31</v>
      </c>
      <c r="H89" s="45">
        <v>1</v>
      </c>
      <c r="I89" s="46">
        <f>4</f>
        <v>4</v>
      </c>
      <c r="J89" s="23"/>
      <c r="K89" s="47"/>
      <c r="L89" s="48"/>
      <c r="M89" s="49"/>
      <c r="N89" s="49">
        <f t="shared" si="2"/>
        <v>0</v>
      </c>
      <c r="O89" s="49"/>
      <c r="P89" s="49"/>
      <c r="Q89" s="49"/>
      <c r="R89" s="23"/>
      <c r="XCY89"/>
      <c r="XCZ89"/>
      <c r="XDA89"/>
      <c r="XDB89"/>
      <c r="XDC89"/>
      <c r="XDD89"/>
      <c r="XDE89"/>
      <c r="XDF89"/>
      <c r="XDG89"/>
      <c r="XDH89"/>
      <c r="XDI89"/>
      <c r="XDJ89"/>
      <c r="XDK89"/>
      <c r="XDL89"/>
      <c r="XDM89"/>
      <c r="XDN89"/>
      <c r="XDO89"/>
      <c r="XDP89"/>
      <c r="XDQ89"/>
      <c r="XDR89"/>
      <c r="XDS89"/>
      <c r="XDT89"/>
      <c r="XDU89"/>
      <c r="XDV89"/>
      <c r="XDW89"/>
      <c r="XDX89"/>
      <c r="XDY89"/>
      <c r="XDZ89"/>
      <c r="XEA89"/>
      <c r="XEB89"/>
      <c r="XEC89"/>
      <c r="XED89"/>
      <c r="XEE89"/>
      <c r="XEF89"/>
      <c r="XEG89"/>
      <c r="XEH89"/>
      <c r="XEI89"/>
      <c r="XEJ89"/>
      <c r="XEK89"/>
      <c r="XEL89"/>
      <c r="XEM89"/>
      <c r="XEN89"/>
      <c r="XEO89"/>
      <c r="XEP89"/>
      <c r="XEQ89"/>
      <c r="XER89"/>
      <c r="XES89"/>
      <c r="XET89"/>
      <c r="XEU89"/>
      <c r="XEV89"/>
      <c r="XEW89"/>
      <c r="XEX89"/>
      <c r="XEY89"/>
      <c r="XEZ89"/>
      <c r="XFA89"/>
      <c r="XFB89"/>
      <c r="XFC89"/>
      <c r="XFD89"/>
    </row>
    <row r="90" spans="1:18 16327:16384" s="26" customFormat="1" ht="29.1" customHeight="1" outlineLevel="3" x14ac:dyDescent="0.25">
      <c r="A90" s="42" t="s">
        <v>167</v>
      </c>
      <c r="B90" s="43"/>
      <c r="C90" s="66" t="s">
        <v>168</v>
      </c>
      <c r="D90" s="66"/>
      <c r="E90" s="43" t="s">
        <v>34</v>
      </c>
      <c r="F90" s="44"/>
      <c r="G90" s="43" t="s">
        <v>31</v>
      </c>
      <c r="H90" s="45">
        <v>1</v>
      </c>
      <c r="I90" s="46">
        <f>4</f>
        <v>4</v>
      </c>
      <c r="J90" s="23"/>
      <c r="K90" s="47"/>
      <c r="L90" s="48"/>
      <c r="M90" s="49"/>
      <c r="N90" s="49">
        <f t="shared" si="2"/>
        <v>0</v>
      </c>
      <c r="O90" s="49"/>
      <c r="P90" s="49"/>
      <c r="Q90" s="49"/>
      <c r="R90" s="23"/>
      <c r="XCY90"/>
      <c r="XCZ90"/>
      <c r="XDA90"/>
      <c r="XDB90"/>
      <c r="XDC90"/>
      <c r="XDD90"/>
      <c r="XDE90"/>
      <c r="XDF90"/>
      <c r="XDG90"/>
      <c r="XDH90"/>
      <c r="XDI90"/>
      <c r="XDJ90"/>
      <c r="XDK90"/>
      <c r="XDL90"/>
      <c r="XDM90"/>
      <c r="XDN90"/>
      <c r="XDO90"/>
      <c r="XDP90"/>
      <c r="XDQ90"/>
      <c r="XDR90"/>
      <c r="XDS90"/>
      <c r="XDT90"/>
      <c r="XDU90"/>
      <c r="XDV90"/>
      <c r="XDW90"/>
      <c r="XDX90"/>
      <c r="XDY90"/>
      <c r="XDZ90"/>
      <c r="XEA90"/>
      <c r="XEB90"/>
      <c r="XEC90"/>
      <c r="XED90"/>
      <c r="XEE90"/>
      <c r="XEF90"/>
      <c r="XEG90"/>
      <c r="XEH90"/>
      <c r="XEI90"/>
      <c r="XEJ90"/>
      <c r="XEK90"/>
      <c r="XEL90"/>
      <c r="XEM90"/>
      <c r="XEN90"/>
      <c r="XEO90"/>
      <c r="XEP90"/>
      <c r="XEQ90"/>
      <c r="XER90"/>
      <c r="XES90"/>
      <c r="XET90"/>
      <c r="XEU90"/>
      <c r="XEV90"/>
      <c r="XEW90"/>
      <c r="XEX90"/>
      <c r="XEY90"/>
      <c r="XEZ90"/>
      <c r="XFA90"/>
      <c r="XFB90"/>
      <c r="XFC90"/>
      <c r="XFD90"/>
    </row>
    <row r="91" spans="1:18 16327:16384" s="26" customFormat="1" ht="29.1" customHeight="1" outlineLevel="3" x14ac:dyDescent="0.25">
      <c r="A91" s="42" t="s">
        <v>169</v>
      </c>
      <c r="B91" s="43"/>
      <c r="C91" s="66" t="s">
        <v>170</v>
      </c>
      <c r="D91" s="66"/>
      <c r="E91" s="43" t="s">
        <v>34</v>
      </c>
      <c r="F91" s="44"/>
      <c r="G91" s="43" t="s">
        <v>90</v>
      </c>
      <c r="H91" s="45">
        <v>1</v>
      </c>
      <c r="I91" s="46">
        <f>4</f>
        <v>4</v>
      </c>
      <c r="J91" s="23"/>
      <c r="K91" s="47"/>
      <c r="L91" s="48"/>
      <c r="M91" s="49"/>
      <c r="N91" s="49">
        <f t="shared" si="2"/>
        <v>0</v>
      </c>
      <c r="O91" s="49"/>
      <c r="P91" s="49"/>
      <c r="Q91" s="49"/>
      <c r="R91" s="23"/>
      <c r="XCY91"/>
      <c r="XCZ91"/>
      <c r="XDA91"/>
      <c r="XDB91"/>
      <c r="XDC91"/>
      <c r="XDD91"/>
      <c r="XDE91"/>
      <c r="XDF91"/>
      <c r="XDG91"/>
      <c r="XDH91"/>
      <c r="XDI91"/>
      <c r="XDJ91"/>
      <c r="XDK91"/>
      <c r="XDL91"/>
      <c r="XDM91"/>
      <c r="XDN91"/>
      <c r="XDO91"/>
      <c r="XDP91"/>
      <c r="XDQ91"/>
      <c r="XDR91"/>
      <c r="XDS91"/>
      <c r="XDT91"/>
      <c r="XDU91"/>
      <c r="XDV91"/>
      <c r="XDW91"/>
      <c r="XDX91"/>
      <c r="XDY91"/>
      <c r="XDZ91"/>
      <c r="XEA91"/>
      <c r="XEB91"/>
      <c r="XEC91"/>
      <c r="XED91"/>
      <c r="XEE91"/>
      <c r="XEF91"/>
      <c r="XEG91"/>
      <c r="XEH91"/>
      <c r="XEI91"/>
      <c r="XEJ91"/>
      <c r="XEK91"/>
      <c r="XEL91"/>
      <c r="XEM91"/>
      <c r="XEN91"/>
      <c r="XEO91"/>
      <c r="XEP91"/>
      <c r="XEQ91"/>
      <c r="XER91"/>
      <c r="XES91"/>
      <c r="XET91"/>
      <c r="XEU91"/>
      <c r="XEV91"/>
      <c r="XEW91"/>
      <c r="XEX91"/>
      <c r="XEY91"/>
      <c r="XEZ91"/>
      <c r="XFA91"/>
      <c r="XFB91"/>
      <c r="XFC91"/>
      <c r="XFD91"/>
    </row>
    <row r="92" spans="1:18 16327:16384" s="26" customFormat="1" ht="29.1" customHeight="1" outlineLevel="3" x14ac:dyDescent="0.25">
      <c r="A92" s="42" t="s">
        <v>171</v>
      </c>
      <c r="B92" s="43"/>
      <c r="C92" s="66" t="s">
        <v>172</v>
      </c>
      <c r="D92" s="66"/>
      <c r="E92" s="43" t="s">
        <v>34</v>
      </c>
      <c r="F92" s="44"/>
      <c r="G92" s="43" t="s">
        <v>31</v>
      </c>
      <c r="H92" s="45">
        <v>1</v>
      </c>
      <c r="I92" s="46">
        <f>4</f>
        <v>4</v>
      </c>
      <c r="J92" s="23"/>
      <c r="K92" s="47"/>
      <c r="L92" s="48"/>
      <c r="M92" s="49"/>
      <c r="N92" s="49">
        <f t="shared" si="2"/>
        <v>0</v>
      </c>
      <c r="O92" s="49"/>
      <c r="P92" s="49"/>
      <c r="Q92" s="49"/>
      <c r="R92" s="23"/>
      <c r="XCY92"/>
      <c r="XCZ92"/>
      <c r="XDA92"/>
      <c r="XDB92"/>
      <c r="XDC92"/>
      <c r="XDD92"/>
      <c r="XDE92"/>
      <c r="XDF92"/>
      <c r="XDG92"/>
      <c r="XDH92"/>
      <c r="XDI92"/>
      <c r="XDJ92"/>
      <c r="XDK92"/>
      <c r="XDL92"/>
      <c r="XDM92"/>
      <c r="XDN92"/>
      <c r="XDO92"/>
      <c r="XDP92"/>
      <c r="XDQ92"/>
      <c r="XDR92"/>
      <c r="XDS92"/>
      <c r="XDT92"/>
      <c r="XDU92"/>
      <c r="XDV92"/>
      <c r="XDW92"/>
      <c r="XDX92"/>
      <c r="XDY92"/>
      <c r="XDZ92"/>
      <c r="XEA92"/>
      <c r="XEB92"/>
      <c r="XEC92"/>
      <c r="XED92"/>
      <c r="XEE92"/>
      <c r="XEF92"/>
      <c r="XEG92"/>
      <c r="XEH92"/>
      <c r="XEI92"/>
      <c r="XEJ92"/>
      <c r="XEK92"/>
      <c r="XEL92"/>
      <c r="XEM92"/>
      <c r="XEN92"/>
      <c r="XEO92"/>
      <c r="XEP92"/>
      <c r="XEQ92"/>
      <c r="XER92"/>
      <c r="XES92"/>
      <c r="XET92"/>
      <c r="XEU92"/>
      <c r="XEV92"/>
      <c r="XEW92"/>
      <c r="XEX92"/>
      <c r="XEY92"/>
      <c r="XEZ92"/>
      <c r="XFA92"/>
      <c r="XFB92"/>
      <c r="XFC92"/>
      <c r="XFD92"/>
    </row>
    <row r="93" spans="1:18 16327:16384" s="26" customFormat="1" ht="29.1" customHeight="1" outlineLevel="3" x14ac:dyDescent="0.25">
      <c r="A93" s="42" t="s">
        <v>173</v>
      </c>
      <c r="B93" s="43"/>
      <c r="C93" s="66" t="s">
        <v>174</v>
      </c>
      <c r="D93" s="66"/>
      <c r="E93" s="43" t="s">
        <v>34</v>
      </c>
      <c r="F93" s="44"/>
      <c r="G93" s="43" t="s">
        <v>31</v>
      </c>
      <c r="H93" s="45">
        <v>1</v>
      </c>
      <c r="I93" s="46">
        <f>4</f>
        <v>4</v>
      </c>
      <c r="J93" s="23"/>
      <c r="K93" s="47"/>
      <c r="L93" s="48"/>
      <c r="M93" s="49"/>
      <c r="N93" s="49">
        <f t="shared" si="2"/>
        <v>0</v>
      </c>
      <c r="O93" s="49"/>
      <c r="P93" s="49"/>
      <c r="Q93" s="49"/>
      <c r="R93" s="23"/>
      <c r="XCY93"/>
      <c r="XCZ93"/>
      <c r="XDA93"/>
      <c r="XDB93"/>
      <c r="XDC93"/>
      <c r="XDD93"/>
      <c r="XDE93"/>
      <c r="XDF93"/>
      <c r="XDG93"/>
      <c r="XDH93"/>
      <c r="XDI93"/>
      <c r="XDJ93"/>
      <c r="XDK93"/>
      <c r="XDL93"/>
      <c r="XDM93"/>
      <c r="XDN93"/>
      <c r="XDO93"/>
      <c r="XDP93"/>
      <c r="XDQ93"/>
      <c r="XDR93"/>
      <c r="XDS93"/>
      <c r="XDT93"/>
      <c r="XDU93"/>
      <c r="XDV93"/>
      <c r="XDW93"/>
      <c r="XDX93"/>
      <c r="XDY93"/>
      <c r="XDZ93"/>
      <c r="XEA93"/>
      <c r="XEB93"/>
      <c r="XEC93"/>
      <c r="XED93"/>
      <c r="XEE93"/>
      <c r="XEF93"/>
      <c r="XEG93"/>
      <c r="XEH93"/>
      <c r="XEI93"/>
      <c r="XEJ93"/>
      <c r="XEK93"/>
      <c r="XEL93"/>
      <c r="XEM93"/>
      <c r="XEN93"/>
      <c r="XEO93"/>
      <c r="XEP93"/>
      <c r="XEQ93"/>
      <c r="XER93"/>
      <c r="XES93"/>
      <c r="XET93"/>
      <c r="XEU93"/>
      <c r="XEV93"/>
      <c r="XEW93"/>
      <c r="XEX93"/>
      <c r="XEY93"/>
      <c r="XEZ93"/>
      <c r="XFA93"/>
      <c r="XFB93"/>
      <c r="XFC93"/>
      <c r="XFD93"/>
    </row>
    <row r="94" spans="1:18 16327:16384" s="26" customFormat="1" ht="29.1" customHeight="1" outlineLevel="3" x14ac:dyDescent="0.25">
      <c r="A94" s="42" t="s">
        <v>175</v>
      </c>
      <c r="B94" s="43"/>
      <c r="C94" s="66" t="s">
        <v>176</v>
      </c>
      <c r="D94" s="66"/>
      <c r="E94" s="43" t="s">
        <v>34</v>
      </c>
      <c r="F94" s="44"/>
      <c r="G94" s="43" t="s">
        <v>31</v>
      </c>
      <c r="H94" s="45">
        <v>1</v>
      </c>
      <c r="I94" s="46">
        <f>8</f>
        <v>8</v>
      </c>
      <c r="J94" s="23"/>
      <c r="K94" s="47"/>
      <c r="L94" s="48"/>
      <c r="M94" s="49"/>
      <c r="N94" s="49">
        <f t="shared" si="2"/>
        <v>0</v>
      </c>
      <c r="O94" s="49"/>
      <c r="P94" s="49"/>
      <c r="Q94" s="49"/>
      <c r="R94" s="23"/>
      <c r="XCY94"/>
      <c r="XCZ94"/>
      <c r="XDA94"/>
      <c r="XDB94"/>
      <c r="XDC94"/>
      <c r="XDD94"/>
      <c r="XDE94"/>
      <c r="XDF94"/>
      <c r="XDG94"/>
      <c r="XDH94"/>
      <c r="XDI94"/>
      <c r="XDJ94"/>
      <c r="XDK94"/>
      <c r="XDL94"/>
      <c r="XDM94"/>
      <c r="XDN94"/>
      <c r="XDO94"/>
      <c r="XDP94"/>
      <c r="XDQ94"/>
      <c r="XDR94"/>
      <c r="XDS94"/>
      <c r="XDT94"/>
      <c r="XDU94"/>
      <c r="XDV94"/>
      <c r="XDW94"/>
      <c r="XDX94"/>
      <c r="XDY94"/>
      <c r="XDZ94"/>
      <c r="XEA94"/>
      <c r="XEB94"/>
      <c r="XEC94"/>
      <c r="XED94"/>
      <c r="XEE94"/>
      <c r="XEF94"/>
      <c r="XEG94"/>
      <c r="XEH94"/>
      <c r="XEI94"/>
      <c r="XEJ94"/>
      <c r="XEK94"/>
      <c r="XEL94"/>
      <c r="XEM94"/>
      <c r="XEN94"/>
      <c r="XEO94"/>
      <c r="XEP94"/>
      <c r="XEQ94"/>
      <c r="XER94"/>
      <c r="XES94"/>
      <c r="XET94"/>
      <c r="XEU94"/>
      <c r="XEV94"/>
      <c r="XEW94"/>
      <c r="XEX94"/>
      <c r="XEY94"/>
      <c r="XEZ94"/>
      <c r="XFA94"/>
      <c r="XFB94"/>
      <c r="XFC94"/>
      <c r="XFD94"/>
    </row>
    <row r="95" spans="1:18 16327:16384" s="26" customFormat="1" ht="29.1" customHeight="1" outlineLevel="3" x14ac:dyDescent="0.25">
      <c r="A95" s="42" t="s">
        <v>177</v>
      </c>
      <c r="B95" s="43"/>
      <c r="C95" s="66" t="s">
        <v>178</v>
      </c>
      <c r="D95" s="66"/>
      <c r="E95" s="43" t="s">
        <v>34</v>
      </c>
      <c r="F95" s="44"/>
      <c r="G95" s="43" t="s">
        <v>31</v>
      </c>
      <c r="H95" s="45">
        <v>1</v>
      </c>
      <c r="I95" s="46">
        <f>7</f>
        <v>7</v>
      </c>
      <c r="J95" s="23"/>
      <c r="K95" s="47"/>
      <c r="L95" s="48"/>
      <c r="M95" s="49"/>
      <c r="N95" s="49">
        <f t="shared" si="2"/>
        <v>0</v>
      </c>
      <c r="O95" s="49"/>
      <c r="P95" s="49"/>
      <c r="Q95" s="49"/>
      <c r="R95" s="23"/>
      <c r="XCY95"/>
      <c r="XCZ95"/>
      <c r="XDA95"/>
      <c r="XDB95"/>
      <c r="XDC95"/>
      <c r="XDD95"/>
      <c r="XDE95"/>
      <c r="XDF95"/>
      <c r="XDG95"/>
      <c r="XDH95"/>
      <c r="XDI95"/>
      <c r="XDJ95"/>
      <c r="XDK95"/>
      <c r="XDL95"/>
      <c r="XDM95"/>
      <c r="XDN95"/>
      <c r="XDO95"/>
      <c r="XDP95"/>
      <c r="XDQ95"/>
      <c r="XDR95"/>
      <c r="XDS95"/>
      <c r="XDT95"/>
      <c r="XDU95"/>
      <c r="XDV95"/>
      <c r="XDW95"/>
      <c r="XDX95"/>
      <c r="XDY95"/>
      <c r="XDZ95"/>
      <c r="XEA95"/>
      <c r="XEB95"/>
      <c r="XEC95"/>
      <c r="XED95"/>
      <c r="XEE95"/>
      <c r="XEF95"/>
      <c r="XEG95"/>
      <c r="XEH95"/>
      <c r="XEI95"/>
      <c r="XEJ95"/>
      <c r="XEK95"/>
      <c r="XEL95"/>
      <c r="XEM95"/>
      <c r="XEN95"/>
      <c r="XEO95"/>
      <c r="XEP95"/>
      <c r="XEQ95"/>
      <c r="XER95"/>
      <c r="XES95"/>
      <c r="XET95"/>
      <c r="XEU95"/>
      <c r="XEV95"/>
      <c r="XEW95"/>
      <c r="XEX95"/>
      <c r="XEY95"/>
      <c r="XEZ95"/>
      <c r="XFA95"/>
      <c r="XFB95"/>
      <c r="XFC95"/>
      <c r="XFD95"/>
    </row>
    <row r="96" spans="1:18 16327:16384" s="26" customFormat="1" ht="29.1" customHeight="1" outlineLevel="3" x14ac:dyDescent="0.25">
      <c r="A96" s="42" t="s">
        <v>179</v>
      </c>
      <c r="B96" s="43"/>
      <c r="C96" s="66" t="s">
        <v>180</v>
      </c>
      <c r="D96" s="66"/>
      <c r="E96" s="43" t="s">
        <v>34</v>
      </c>
      <c r="F96" s="44"/>
      <c r="G96" s="43" t="s">
        <v>31</v>
      </c>
      <c r="H96" s="45">
        <v>1</v>
      </c>
      <c r="I96" s="46">
        <f>7</f>
        <v>7</v>
      </c>
      <c r="J96" s="23"/>
      <c r="K96" s="47"/>
      <c r="L96" s="48"/>
      <c r="M96" s="49"/>
      <c r="N96" s="49">
        <f t="shared" si="2"/>
        <v>0</v>
      </c>
      <c r="O96" s="49"/>
      <c r="P96" s="49"/>
      <c r="Q96" s="49"/>
      <c r="R96" s="23"/>
      <c r="XCY96"/>
      <c r="XCZ96"/>
      <c r="XDA96"/>
      <c r="XDB96"/>
      <c r="XDC96"/>
      <c r="XDD96"/>
      <c r="XDE96"/>
      <c r="XDF96"/>
      <c r="XDG96"/>
      <c r="XDH96"/>
      <c r="XDI96"/>
      <c r="XDJ96"/>
      <c r="XDK96"/>
      <c r="XDL96"/>
      <c r="XDM96"/>
      <c r="XDN96"/>
      <c r="XDO96"/>
      <c r="XDP96"/>
      <c r="XDQ96"/>
      <c r="XDR96"/>
      <c r="XDS96"/>
      <c r="XDT96"/>
      <c r="XDU96"/>
      <c r="XDV96"/>
      <c r="XDW96"/>
      <c r="XDX96"/>
      <c r="XDY96"/>
      <c r="XDZ96"/>
      <c r="XEA96"/>
      <c r="XEB96"/>
      <c r="XEC96"/>
      <c r="XED96"/>
      <c r="XEE96"/>
      <c r="XEF96"/>
      <c r="XEG96"/>
      <c r="XEH96"/>
      <c r="XEI96"/>
      <c r="XEJ96"/>
      <c r="XEK96"/>
      <c r="XEL96"/>
      <c r="XEM96"/>
      <c r="XEN96"/>
      <c r="XEO96"/>
      <c r="XEP96"/>
      <c r="XEQ96"/>
      <c r="XER96"/>
      <c r="XES96"/>
      <c r="XET96"/>
      <c r="XEU96"/>
      <c r="XEV96"/>
      <c r="XEW96"/>
      <c r="XEX96"/>
      <c r="XEY96"/>
      <c r="XEZ96"/>
      <c r="XFA96"/>
      <c r="XFB96"/>
      <c r="XFC96"/>
      <c r="XFD96"/>
    </row>
    <row r="97" spans="1:18 16327:16384" s="26" customFormat="1" ht="29.1" customHeight="1" outlineLevel="3" x14ac:dyDescent="0.25">
      <c r="A97" s="42" t="s">
        <v>181</v>
      </c>
      <c r="B97" s="43"/>
      <c r="C97" s="66" t="s">
        <v>182</v>
      </c>
      <c r="D97" s="66"/>
      <c r="E97" s="43" t="s">
        <v>34</v>
      </c>
      <c r="F97" s="44"/>
      <c r="G97" s="43" t="s">
        <v>90</v>
      </c>
      <c r="H97" s="45">
        <v>1</v>
      </c>
      <c r="I97" s="46">
        <f>12</f>
        <v>12</v>
      </c>
      <c r="J97" s="23"/>
      <c r="K97" s="47"/>
      <c r="L97" s="48"/>
      <c r="M97" s="49"/>
      <c r="N97" s="49">
        <f t="shared" si="2"/>
        <v>0</v>
      </c>
      <c r="O97" s="49"/>
      <c r="P97" s="49"/>
      <c r="Q97" s="49"/>
      <c r="R97" s="23"/>
      <c r="XCY97"/>
      <c r="XCZ97"/>
      <c r="XDA97"/>
      <c r="XDB97"/>
      <c r="XDC97"/>
      <c r="XDD97"/>
      <c r="XDE97"/>
      <c r="XDF97"/>
      <c r="XDG97"/>
      <c r="XDH97"/>
      <c r="XDI97"/>
      <c r="XDJ97"/>
      <c r="XDK97"/>
      <c r="XDL97"/>
      <c r="XDM97"/>
      <c r="XDN97"/>
      <c r="XDO97"/>
      <c r="XDP97"/>
      <c r="XDQ97"/>
      <c r="XDR97"/>
      <c r="XDS97"/>
      <c r="XDT97"/>
      <c r="XDU97"/>
      <c r="XDV97"/>
      <c r="XDW97"/>
      <c r="XDX97"/>
      <c r="XDY97"/>
      <c r="XDZ97"/>
      <c r="XEA97"/>
      <c r="XEB97"/>
      <c r="XEC97"/>
      <c r="XED97"/>
      <c r="XEE97"/>
      <c r="XEF97"/>
      <c r="XEG97"/>
      <c r="XEH97"/>
      <c r="XEI97"/>
      <c r="XEJ97"/>
      <c r="XEK97"/>
      <c r="XEL97"/>
      <c r="XEM97"/>
      <c r="XEN97"/>
      <c r="XEO97"/>
      <c r="XEP97"/>
      <c r="XEQ97"/>
      <c r="XER97"/>
      <c r="XES97"/>
      <c r="XET97"/>
      <c r="XEU97"/>
      <c r="XEV97"/>
      <c r="XEW97"/>
      <c r="XEX97"/>
      <c r="XEY97"/>
      <c r="XEZ97"/>
      <c r="XFA97"/>
      <c r="XFB97"/>
      <c r="XFC97"/>
      <c r="XFD97"/>
    </row>
    <row r="98" spans="1:18 16327:16384" s="26" customFormat="1" ht="29.1" customHeight="1" outlineLevel="3" x14ac:dyDescent="0.25">
      <c r="A98" s="42" t="s">
        <v>183</v>
      </c>
      <c r="B98" s="43"/>
      <c r="C98" s="66" t="s">
        <v>184</v>
      </c>
      <c r="D98" s="66"/>
      <c r="E98" s="43" t="s">
        <v>34</v>
      </c>
      <c r="F98" s="44"/>
      <c r="G98" s="43" t="s">
        <v>65</v>
      </c>
      <c r="H98" s="45">
        <v>1</v>
      </c>
      <c r="I98" s="46">
        <f>40</f>
        <v>40</v>
      </c>
      <c r="J98" s="23"/>
      <c r="K98" s="47"/>
      <c r="L98" s="48"/>
      <c r="M98" s="49"/>
      <c r="N98" s="49">
        <f t="shared" si="2"/>
        <v>0</v>
      </c>
      <c r="O98" s="49"/>
      <c r="P98" s="49"/>
      <c r="Q98" s="49"/>
      <c r="R98" s="23"/>
      <c r="XCY98"/>
      <c r="XCZ98"/>
      <c r="XDA98"/>
      <c r="XDB98"/>
      <c r="XDC98"/>
      <c r="XDD98"/>
      <c r="XDE98"/>
      <c r="XDF98"/>
      <c r="XDG98"/>
      <c r="XDH98"/>
      <c r="XDI98"/>
      <c r="XDJ98"/>
      <c r="XDK98"/>
      <c r="XDL98"/>
      <c r="XDM98"/>
      <c r="XDN98"/>
      <c r="XDO98"/>
      <c r="XDP98"/>
      <c r="XDQ98"/>
      <c r="XDR98"/>
      <c r="XDS98"/>
      <c r="XDT98"/>
      <c r="XDU98"/>
      <c r="XDV98"/>
      <c r="XDW98"/>
      <c r="XDX98"/>
      <c r="XDY98"/>
      <c r="XDZ98"/>
      <c r="XEA98"/>
      <c r="XEB98"/>
      <c r="XEC98"/>
      <c r="XED98"/>
      <c r="XEE98"/>
      <c r="XEF98"/>
      <c r="XEG98"/>
      <c r="XEH98"/>
      <c r="XEI98"/>
      <c r="XEJ98"/>
      <c r="XEK98"/>
      <c r="XEL98"/>
      <c r="XEM98"/>
      <c r="XEN98"/>
      <c r="XEO98"/>
      <c r="XEP98"/>
      <c r="XEQ98"/>
      <c r="XER98"/>
      <c r="XES98"/>
      <c r="XET98"/>
      <c r="XEU98"/>
      <c r="XEV98"/>
      <c r="XEW98"/>
      <c r="XEX98"/>
      <c r="XEY98"/>
      <c r="XEZ98"/>
      <c r="XFA98"/>
      <c r="XFB98"/>
      <c r="XFC98"/>
      <c r="XFD98"/>
    </row>
    <row r="99" spans="1:18 16327:16384" s="26" customFormat="1" ht="29.1" customHeight="1" outlineLevel="3" x14ac:dyDescent="0.25">
      <c r="A99" s="42" t="s">
        <v>185</v>
      </c>
      <c r="B99" s="43"/>
      <c r="C99" s="66" t="s">
        <v>186</v>
      </c>
      <c r="D99" s="66"/>
      <c r="E99" s="43" t="s">
        <v>34</v>
      </c>
      <c r="F99" s="44" t="s">
        <v>118</v>
      </c>
      <c r="G99" s="43" t="s">
        <v>65</v>
      </c>
      <c r="H99" s="45">
        <v>1</v>
      </c>
      <c r="I99" s="46">
        <f>40</f>
        <v>40</v>
      </c>
      <c r="J99" s="23"/>
      <c r="K99" s="47"/>
      <c r="L99" s="48"/>
      <c r="M99" s="49"/>
      <c r="N99" s="49">
        <f t="shared" si="2"/>
        <v>0</v>
      </c>
      <c r="O99" s="49"/>
      <c r="P99" s="49"/>
      <c r="Q99" s="49"/>
      <c r="R99" s="23"/>
      <c r="XCY99"/>
      <c r="XCZ99"/>
      <c r="XDA99"/>
      <c r="XDB99"/>
      <c r="XDC99"/>
      <c r="XDD99"/>
      <c r="XDE99"/>
      <c r="XDF99"/>
      <c r="XDG99"/>
      <c r="XDH99"/>
      <c r="XDI99"/>
      <c r="XDJ99"/>
      <c r="XDK99"/>
      <c r="XDL99"/>
      <c r="XDM99"/>
      <c r="XDN99"/>
      <c r="XDO99"/>
      <c r="XDP99"/>
      <c r="XDQ99"/>
      <c r="XDR99"/>
      <c r="XDS99"/>
      <c r="XDT99"/>
      <c r="XDU99"/>
      <c r="XDV99"/>
      <c r="XDW99"/>
      <c r="XDX99"/>
      <c r="XDY99"/>
      <c r="XDZ99"/>
      <c r="XEA99"/>
      <c r="XEB99"/>
      <c r="XEC99"/>
      <c r="XED99"/>
      <c r="XEE99"/>
      <c r="XEF99"/>
      <c r="XEG99"/>
      <c r="XEH99"/>
      <c r="XEI99"/>
      <c r="XEJ99"/>
      <c r="XEK99"/>
      <c r="XEL99"/>
      <c r="XEM99"/>
      <c r="XEN99"/>
      <c r="XEO99"/>
      <c r="XEP99"/>
      <c r="XEQ99"/>
      <c r="XER99"/>
      <c r="XES99"/>
      <c r="XET99"/>
      <c r="XEU99"/>
      <c r="XEV99"/>
      <c r="XEW99"/>
      <c r="XEX99"/>
      <c r="XEY99"/>
      <c r="XEZ99"/>
      <c r="XFA99"/>
      <c r="XFB99"/>
      <c r="XFC99"/>
      <c r="XFD99"/>
    </row>
    <row r="100" spans="1:18 16327:16384" s="26" customFormat="1" ht="29.1" customHeight="1" outlineLevel="2" x14ac:dyDescent="0.25">
      <c r="A100" s="34" t="s">
        <v>187</v>
      </c>
      <c r="B100" s="35"/>
      <c r="C100" s="65" t="s">
        <v>120</v>
      </c>
      <c r="D100" s="65"/>
      <c r="E100" s="35"/>
      <c r="F100" s="36" t="s">
        <v>162</v>
      </c>
      <c r="G100" s="35" t="s">
        <v>31</v>
      </c>
      <c r="H100" s="37"/>
      <c r="I100" s="38">
        <f>8</f>
        <v>8</v>
      </c>
      <c r="J100" s="23"/>
      <c r="K100" s="39"/>
      <c r="L100" s="40"/>
      <c r="M100" s="41">
        <f>K100+L100</f>
        <v>0</v>
      </c>
      <c r="N100" s="41">
        <f t="shared" si="2"/>
        <v>0</v>
      </c>
      <c r="O100" s="41">
        <f>ROUND((I100*L100),2)</f>
        <v>0</v>
      </c>
      <c r="P100" s="41">
        <f>ROUND((I100*M100),2)</f>
        <v>0</v>
      </c>
      <c r="Q100" s="41"/>
      <c r="R100" s="23"/>
      <c r="XCY100"/>
      <c r="XCZ100"/>
      <c r="XDA100"/>
      <c r="XDB100"/>
      <c r="XDC100"/>
      <c r="XDD100"/>
      <c r="XDE100"/>
      <c r="XDF100"/>
      <c r="XDG100"/>
      <c r="XDH100"/>
      <c r="XDI100"/>
      <c r="XDJ100"/>
      <c r="XDK100"/>
      <c r="XDL100"/>
      <c r="XDM100"/>
      <c r="XDN100"/>
      <c r="XDO100"/>
      <c r="XDP100"/>
      <c r="XDQ100"/>
      <c r="XDR100"/>
      <c r="XDS100"/>
      <c r="XDT100"/>
      <c r="XDU100"/>
      <c r="XDV100"/>
      <c r="XDW100"/>
      <c r="XDX100"/>
      <c r="XDY100"/>
      <c r="XDZ100"/>
      <c r="XEA100"/>
      <c r="XEB100"/>
      <c r="XEC100"/>
      <c r="XED100"/>
      <c r="XEE100"/>
      <c r="XEF100"/>
      <c r="XEG100"/>
      <c r="XEH100"/>
      <c r="XEI100"/>
      <c r="XEJ100"/>
      <c r="XEK100"/>
      <c r="XEL100"/>
      <c r="XEM100"/>
      <c r="XEN100"/>
      <c r="XEO100"/>
      <c r="XEP100"/>
      <c r="XEQ100"/>
      <c r="XER100"/>
      <c r="XES100"/>
      <c r="XET100"/>
      <c r="XEU100"/>
      <c r="XEV100"/>
      <c r="XEW100"/>
      <c r="XEX100"/>
      <c r="XEY100"/>
      <c r="XEZ100"/>
      <c r="XFA100"/>
      <c r="XFB100"/>
      <c r="XFC100"/>
      <c r="XFD100"/>
    </row>
    <row r="101" spans="1:18 16327:16384" s="26" customFormat="1" ht="29.1" customHeight="1" outlineLevel="3" x14ac:dyDescent="0.25">
      <c r="A101" s="42" t="s">
        <v>188</v>
      </c>
      <c r="B101" s="43"/>
      <c r="C101" s="66" t="s">
        <v>189</v>
      </c>
      <c r="D101" s="66"/>
      <c r="E101" s="43" t="s">
        <v>34</v>
      </c>
      <c r="F101" s="44"/>
      <c r="G101" s="43" t="s">
        <v>31</v>
      </c>
      <c r="H101" s="45">
        <v>1</v>
      </c>
      <c r="I101" s="46">
        <f>8</f>
        <v>8</v>
      </c>
      <c r="J101" s="23"/>
      <c r="K101" s="47"/>
      <c r="L101" s="48"/>
      <c r="M101" s="49"/>
      <c r="N101" s="49">
        <f t="shared" si="2"/>
        <v>0</v>
      </c>
      <c r="O101" s="49"/>
      <c r="P101" s="49"/>
      <c r="Q101" s="49"/>
      <c r="R101" s="23"/>
      <c r="XCY101"/>
      <c r="XCZ101"/>
      <c r="XDA101"/>
      <c r="XDB101"/>
      <c r="XDC101"/>
      <c r="XDD101"/>
      <c r="XDE101"/>
      <c r="XDF101"/>
      <c r="XDG101"/>
      <c r="XDH101"/>
      <c r="XDI101"/>
      <c r="XDJ101"/>
      <c r="XDK101"/>
      <c r="XDL101"/>
      <c r="XDM101"/>
      <c r="XDN101"/>
      <c r="XDO101"/>
      <c r="XDP101"/>
      <c r="XDQ101"/>
      <c r="XDR101"/>
      <c r="XDS101"/>
      <c r="XDT101"/>
      <c r="XDU101"/>
      <c r="XDV101"/>
      <c r="XDW101"/>
      <c r="XDX101"/>
      <c r="XDY101"/>
      <c r="XDZ101"/>
      <c r="XEA101"/>
      <c r="XEB101"/>
      <c r="XEC101"/>
      <c r="XED101"/>
      <c r="XEE101"/>
      <c r="XEF101"/>
      <c r="XEG101"/>
      <c r="XEH101"/>
      <c r="XEI101"/>
      <c r="XEJ101"/>
      <c r="XEK101"/>
      <c r="XEL101"/>
      <c r="XEM101"/>
      <c r="XEN101"/>
      <c r="XEO101"/>
      <c r="XEP101"/>
      <c r="XEQ101"/>
      <c r="XER101"/>
      <c r="XES101"/>
      <c r="XET101"/>
      <c r="XEU101"/>
      <c r="XEV101"/>
      <c r="XEW101"/>
      <c r="XEX101"/>
      <c r="XEY101"/>
      <c r="XEZ101"/>
      <c r="XFA101"/>
      <c r="XFB101"/>
      <c r="XFC101"/>
      <c r="XFD101"/>
    </row>
    <row r="102" spans="1:18 16327:16384" s="26" customFormat="1" ht="29.1" customHeight="1" outlineLevel="2" x14ac:dyDescent="0.25">
      <c r="A102" s="34" t="s">
        <v>190</v>
      </c>
      <c r="B102" s="35"/>
      <c r="C102" s="65" t="s">
        <v>124</v>
      </c>
      <c r="D102" s="65"/>
      <c r="E102" s="35"/>
      <c r="F102" s="36" t="s">
        <v>162</v>
      </c>
      <c r="G102" s="35" t="s">
        <v>31</v>
      </c>
      <c r="H102" s="37"/>
      <c r="I102" s="38">
        <f>7</f>
        <v>7</v>
      </c>
      <c r="J102" s="23"/>
      <c r="K102" s="39"/>
      <c r="L102" s="40"/>
      <c r="M102" s="41">
        <f>K102+L102</f>
        <v>0</v>
      </c>
      <c r="N102" s="41">
        <f t="shared" si="2"/>
        <v>0</v>
      </c>
      <c r="O102" s="41">
        <f>ROUND((I102*L102),2)</f>
        <v>0</v>
      </c>
      <c r="P102" s="41">
        <f>ROUND((I102*M102),2)</f>
        <v>0</v>
      </c>
      <c r="Q102" s="41"/>
      <c r="R102" s="23"/>
      <c r="XCY102"/>
      <c r="XCZ102"/>
      <c r="XDA102"/>
      <c r="XDB102"/>
      <c r="XDC102"/>
      <c r="XDD102"/>
      <c r="XDE102"/>
      <c r="XDF102"/>
      <c r="XDG102"/>
      <c r="XDH102"/>
      <c r="XDI102"/>
      <c r="XDJ102"/>
      <c r="XDK102"/>
      <c r="XDL102"/>
      <c r="XDM102"/>
      <c r="XDN102"/>
      <c r="XDO102"/>
      <c r="XDP102"/>
      <c r="XDQ102"/>
      <c r="XDR102"/>
      <c r="XDS102"/>
      <c r="XDT102"/>
      <c r="XDU102"/>
      <c r="XDV102"/>
      <c r="XDW102"/>
      <c r="XDX102"/>
      <c r="XDY102"/>
      <c r="XDZ102"/>
      <c r="XEA102"/>
      <c r="XEB102"/>
      <c r="XEC102"/>
      <c r="XED102"/>
      <c r="XEE102"/>
      <c r="XEF102"/>
      <c r="XEG102"/>
      <c r="XEH102"/>
      <c r="XEI102"/>
      <c r="XEJ102"/>
      <c r="XEK102"/>
      <c r="XEL102"/>
      <c r="XEM102"/>
      <c r="XEN102"/>
      <c r="XEO102"/>
      <c r="XEP102"/>
      <c r="XEQ102"/>
      <c r="XER102"/>
      <c r="XES102"/>
      <c r="XET102"/>
      <c r="XEU102"/>
      <c r="XEV102"/>
      <c r="XEW102"/>
      <c r="XEX102"/>
      <c r="XEY102"/>
      <c r="XEZ102"/>
      <c r="XFA102"/>
      <c r="XFB102"/>
      <c r="XFC102"/>
      <c r="XFD102"/>
    </row>
    <row r="103" spans="1:18 16327:16384" s="26" customFormat="1" ht="29.1" customHeight="1" outlineLevel="3" x14ac:dyDescent="0.25">
      <c r="A103" s="42" t="s">
        <v>191</v>
      </c>
      <c r="B103" s="43"/>
      <c r="C103" s="66" t="s">
        <v>192</v>
      </c>
      <c r="D103" s="66"/>
      <c r="E103" s="43" t="s">
        <v>34</v>
      </c>
      <c r="F103" s="44"/>
      <c r="G103" s="43" t="s">
        <v>31</v>
      </c>
      <c r="H103" s="45">
        <v>1</v>
      </c>
      <c r="I103" s="46">
        <f>7</f>
        <v>7</v>
      </c>
      <c r="J103" s="23"/>
      <c r="K103" s="47"/>
      <c r="L103" s="48"/>
      <c r="M103" s="49"/>
      <c r="N103" s="49">
        <f t="shared" si="2"/>
        <v>0</v>
      </c>
      <c r="O103" s="49"/>
      <c r="P103" s="49"/>
      <c r="Q103" s="49"/>
      <c r="R103" s="23"/>
      <c r="XCY103"/>
      <c r="XCZ103"/>
      <c r="XDA103"/>
      <c r="XDB103"/>
      <c r="XDC103"/>
      <c r="XDD103"/>
      <c r="XDE103"/>
      <c r="XDF103"/>
      <c r="XDG103"/>
      <c r="XDH103"/>
      <c r="XDI103"/>
      <c r="XDJ103"/>
      <c r="XDK103"/>
      <c r="XDL103"/>
      <c r="XDM103"/>
      <c r="XDN103"/>
      <c r="XDO103"/>
      <c r="XDP103"/>
      <c r="XDQ103"/>
      <c r="XDR103"/>
      <c r="XDS103"/>
      <c r="XDT103"/>
      <c r="XDU103"/>
      <c r="XDV103"/>
      <c r="XDW103"/>
      <c r="XDX103"/>
      <c r="XDY103"/>
      <c r="XDZ103"/>
      <c r="XEA103"/>
      <c r="XEB103"/>
      <c r="XEC103"/>
      <c r="XED103"/>
      <c r="XEE103"/>
      <c r="XEF103"/>
      <c r="XEG103"/>
      <c r="XEH103"/>
      <c r="XEI103"/>
      <c r="XEJ103"/>
      <c r="XEK103"/>
      <c r="XEL103"/>
      <c r="XEM103"/>
      <c r="XEN103"/>
      <c r="XEO103"/>
      <c r="XEP103"/>
      <c r="XEQ103"/>
      <c r="XER103"/>
      <c r="XES103"/>
      <c r="XET103"/>
      <c r="XEU103"/>
      <c r="XEV103"/>
      <c r="XEW103"/>
      <c r="XEX103"/>
      <c r="XEY103"/>
      <c r="XEZ103"/>
      <c r="XFA103"/>
      <c r="XFB103"/>
      <c r="XFC103"/>
      <c r="XFD103"/>
    </row>
    <row r="104" spans="1:18 16327:16384" s="26" customFormat="1" ht="29.1" customHeight="1" outlineLevel="2" x14ac:dyDescent="0.25">
      <c r="A104" s="34" t="s">
        <v>193</v>
      </c>
      <c r="B104" s="35"/>
      <c r="C104" s="65" t="s">
        <v>36</v>
      </c>
      <c r="D104" s="65"/>
      <c r="E104" s="35"/>
      <c r="F104" s="36" t="s">
        <v>162</v>
      </c>
      <c r="G104" s="35" t="s">
        <v>31</v>
      </c>
      <c r="H104" s="37"/>
      <c r="I104" s="38">
        <f>4</f>
        <v>4</v>
      </c>
      <c r="J104" s="23"/>
      <c r="K104" s="39"/>
      <c r="L104" s="40"/>
      <c r="M104" s="41">
        <f>K104+L104</f>
        <v>0</v>
      </c>
      <c r="N104" s="41">
        <f t="shared" si="2"/>
        <v>0</v>
      </c>
      <c r="O104" s="41">
        <f>ROUND((I104*L104),2)</f>
        <v>0</v>
      </c>
      <c r="P104" s="41">
        <f>ROUND((I104*M104),2)</f>
        <v>0</v>
      </c>
      <c r="Q104" s="41"/>
      <c r="R104" s="23"/>
      <c r="XCY104"/>
      <c r="XCZ104"/>
      <c r="XDA104"/>
      <c r="XDB104"/>
      <c r="XDC104"/>
      <c r="XDD104"/>
      <c r="XDE104"/>
      <c r="XDF104"/>
      <c r="XDG104"/>
      <c r="XDH104"/>
      <c r="XDI104"/>
      <c r="XDJ104"/>
      <c r="XDK104"/>
      <c r="XDL104"/>
      <c r="XDM104"/>
      <c r="XDN104"/>
      <c r="XDO104"/>
      <c r="XDP104"/>
      <c r="XDQ104"/>
      <c r="XDR104"/>
      <c r="XDS104"/>
      <c r="XDT104"/>
      <c r="XDU104"/>
      <c r="XDV104"/>
      <c r="XDW104"/>
      <c r="XDX104"/>
      <c r="XDY104"/>
      <c r="XDZ104"/>
      <c r="XEA104"/>
      <c r="XEB104"/>
      <c r="XEC104"/>
      <c r="XED104"/>
      <c r="XEE104"/>
      <c r="XEF104"/>
      <c r="XEG104"/>
      <c r="XEH104"/>
      <c r="XEI104"/>
      <c r="XEJ104"/>
      <c r="XEK104"/>
      <c r="XEL104"/>
      <c r="XEM104"/>
      <c r="XEN104"/>
      <c r="XEO104"/>
      <c r="XEP104"/>
      <c r="XEQ104"/>
      <c r="XER104"/>
      <c r="XES104"/>
      <c r="XET104"/>
      <c r="XEU104"/>
      <c r="XEV104"/>
      <c r="XEW104"/>
      <c r="XEX104"/>
      <c r="XEY104"/>
      <c r="XEZ104"/>
      <c r="XFA104"/>
      <c r="XFB104"/>
      <c r="XFC104"/>
      <c r="XFD104"/>
    </row>
    <row r="105" spans="1:18 16327:16384" s="26" customFormat="1" ht="29.1" customHeight="1" outlineLevel="3" x14ac:dyDescent="0.25">
      <c r="A105" s="42" t="s">
        <v>194</v>
      </c>
      <c r="B105" s="43"/>
      <c r="C105" s="66" t="s">
        <v>195</v>
      </c>
      <c r="D105" s="66"/>
      <c r="E105" s="43" t="s">
        <v>34</v>
      </c>
      <c r="F105" s="44"/>
      <c r="G105" s="43" t="s">
        <v>31</v>
      </c>
      <c r="H105" s="45">
        <v>1</v>
      </c>
      <c r="I105" s="46">
        <f>4</f>
        <v>4</v>
      </c>
      <c r="J105" s="23"/>
      <c r="K105" s="47"/>
      <c r="L105" s="48"/>
      <c r="M105" s="49"/>
      <c r="N105" s="49">
        <f t="shared" si="2"/>
        <v>0</v>
      </c>
      <c r="O105" s="49"/>
      <c r="P105" s="49"/>
      <c r="Q105" s="49"/>
      <c r="R105" s="23"/>
      <c r="XCY105"/>
      <c r="XCZ105"/>
      <c r="XDA105"/>
      <c r="XDB105"/>
      <c r="XDC105"/>
      <c r="XDD105"/>
      <c r="XDE105"/>
      <c r="XDF105"/>
      <c r="XDG105"/>
      <c r="XDH105"/>
      <c r="XDI105"/>
      <c r="XDJ105"/>
      <c r="XDK105"/>
      <c r="XDL105"/>
      <c r="XDM105"/>
      <c r="XDN105"/>
      <c r="XDO105"/>
      <c r="XDP105"/>
      <c r="XDQ105"/>
      <c r="XDR105"/>
      <c r="XDS105"/>
      <c r="XDT105"/>
      <c r="XDU105"/>
      <c r="XDV105"/>
      <c r="XDW105"/>
      <c r="XDX105"/>
      <c r="XDY105"/>
      <c r="XDZ105"/>
      <c r="XEA105"/>
      <c r="XEB105"/>
      <c r="XEC105"/>
      <c r="XED105"/>
      <c r="XEE105"/>
      <c r="XEF105"/>
      <c r="XEG105"/>
      <c r="XEH105"/>
      <c r="XEI105"/>
      <c r="XEJ105"/>
      <c r="XEK105"/>
      <c r="XEL105"/>
      <c r="XEM105"/>
      <c r="XEN105"/>
      <c r="XEO105"/>
      <c r="XEP105"/>
      <c r="XEQ105"/>
      <c r="XER105"/>
      <c r="XES105"/>
      <c r="XET105"/>
      <c r="XEU105"/>
      <c r="XEV105"/>
      <c r="XEW105"/>
      <c r="XEX105"/>
      <c r="XEY105"/>
      <c r="XEZ105"/>
      <c r="XFA105"/>
      <c r="XFB105"/>
      <c r="XFC105"/>
      <c r="XFD105"/>
    </row>
    <row r="106" spans="1:18 16327:16384" s="26" customFormat="1" ht="29.1" customHeight="1" outlineLevel="2" x14ac:dyDescent="0.25">
      <c r="A106" s="34" t="s">
        <v>196</v>
      </c>
      <c r="B106" s="35"/>
      <c r="C106" s="65" t="s">
        <v>36</v>
      </c>
      <c r="D106" s="65"/>
      <c r="E106" s="35"/>
      <c r="F106" s="36" t="s">
        <v>162</v>
      </c>
      <c r="G106" s="35" t="s">
        <v>31</v>
      </c>
      <c r="H106" s="37"/>
      <c r="I106" s="38">
        <f>4</f>
        <v>4</v>
      </c>
      <c r="J106" s="23"/>
      <c r="K106" s="39"/>
      <c r="L106" s="40"/>
      <c r="M106" s="41">
        <f>K106+L106</f>
        <v>0</v>
      </c>
      <c r="N106" s="41">
        <f t="shared" si="2"/>
        <v>0</v>
      </c>
      <c r="O106" s="41">
        <f>ROUND((I106*L106),2)</f>
        <v>0</v>
      </c>
      <c r="P106" s="41">
        <f>ROUND((I106*M106),2)</f>
        <v>0</v>
      </c>
      <c r="Q106" s="41"/>
      <c r="R106" s="23"/>
      <c r="XCY106"/>
      <c r="XCZ106"/>
      <c r="XDA106"/>
      <c r="XDB106"/>
      <c r="XDC106"/>
      <c r="XDD106"/>
      <c r="XDE106"/>
      <c r="XDF106"/>
      <c r="XDG106"/>
      <c r="XDH106"/>
      <c r="XDI106"/>
      <c r="XDJ106"/>
      <c r="XDK106"/>
      <c r="XDL106"/>
      <c r="XDM106"/>
      <c r="XDN106"/>
      <c r="XDO106"/>
      <c r="XDP106"/>
      <c r="XDQ106"/>
      <c r="XDR106"/>
      <c r="XDS106"/>
      <c r="XDT106"/>
      <c r="XDU106"/>
      <c r="XDV106"/>
      <c r="XDW106"/>
      <c r="XDX106"/>
      <c r="XDY106"/>
      <c r="XDZ106"/>
      <c r="XEA106"/>
      <c r="XEB106"/>
      <c r="XEC106"/>
      <c r="XED106"/>
      <c r="XEE106"/>
      <c r="XEF106"/>
      <c r="XEG106"/>
      <c r="XEH106"/>
      <c r="XEI106"/>
      <c r="XEJ106"/>
      <c r="XEK106"/>
      <c r="XEL106"/>
      <c r="XEM106"/>
      <c r="XEN106"/>
      <c r="XEO106"/>
      <c r="XEP106"/>
      <c r="XEQ106"/>
      <c r="XER106"/>
      <c r="XES106"/>
      <c r="XET106"/>
      <c r="XEU106"/>
      <c r="XEV106"/>
      <c r="XEW106"/>
      <c r="XEX106"/>
      <c r="XEY106"/>
      <c r="XEZ106"/>
      <c r="XFA106"/>
      <c r="XFB106"/>
      <c r="XFC106"/>
      <c r="XFD106"/>
    </row>
    <row r="107" spans="1:18 16327:16384" s="26" customFormat="1" ht="29.1" customHeight="1" outlineLevel="3" x14ac:dyDescent="0.25">
      <c r="A107" s="42" t="s">
        <v>197</v>
      </c>
      <c r="B107" s="43"/>
      <c r="C107" s="66" t="s">
        <v>198</v>
      </c>
      <c r="D107" s="66"/>
      <c r="E107" s="43" t="s">
        <v>34</v>
      </c>
      <c r="F107" s="44"/>
      <c r="G107" s="43" t="s">
        <v>31</v>
      </c>
      <c r="H107" s="45">
        <v>1</v>
      </c>
      <c r="I107" s="46">
        <f>4</f>
        <v>4</v>
      </c>
      <c r="J107" s="23"/>
      <c r="K107" s="47"/>
      <c r="L107" s="48"/>
      <c r="M107" s="49"/>
      <c r="N107" s="49">
        <f t="shared" si="2"/>
        <v>0</v>
      </c>
      <c r="O107" s="49"/>
      <c r="P107" s="49"/>
      <c r="Q107" s="49"/>
      <c r="R107" s="23"/>
      <c r="XCY107"/>
      <c r="XCZ107"/>
      <c r="XDA107"/>
      <c r="XDB107"/>
      <c r="XDC107"/>
      <c r="XDD107"/>
      <c r="XDE107"/>
      <c r="XDF107"/>
      <c r="XDG107"/>
      <c r="XDH107"/>
      <c r="XDI107"/>
      <c r="XDJ107"/>
      <c r="XDK107"/>
      <c r="XDL107"/>
      <c r="XDM107"/>
      <c r="XDN107"/>
      <c r="XDO107"/>
      <c r="XDP107"/>
      <c r="XDQ107"/>
      <c r="XDR107"/>
      <c r="XDS107"/>
      <c r="XDT107"/>
      <c r="XDU107"/>
      <c r="XDV107"/>
      <c r="XDW107"/>
      <c r="XDX107"/>
      <c r="XDY107"/>
      <c r="XDZ107"/>
      <c r="XEA107"/>
      <c r="XEB107"/>
      <c r="XEC107"/>
      <c r="XED107"/>
      <c r="XEE107"/>
      <c r="XEF107"/>
      <c r="XEG107"/>
      <c r="XEH107"/>
      <c r="XEI107"/>
      <c r="XEJ107"/>
      <c r="XEK107"/>
      <c r="XEL107"/>
      <c r="XEM107"/>
      <c r="XEN107"/>
      <c r="XEO107"/>
      <c r="XEP107"/>
      <c r="XEQ107"/>
      <c r="XER107"/>
      <c r="XES107"/>
      <c r="XET107"/>
      <c r="XEU107"/>
      <c r="XEV107"/>
      <c r="XEW107"/>
      <c r="XEX107"/>
      <c r="XEY107"/>
      <c r="XEZ107"/>
      <c r="XFA107"/>
      <c r="XFB107"/>
      <c r="XFC107"/>
      <c r="XFD107"/>
    </row>
    <row r="108" spans="1:18 16327:16384" s="26" customFormat="1" ht="29.1" customHeight="1" outlineLevel="2" x14ac:dyDescent="0.25">
      <c r="A108" s="34" t="s">
        <v>199</v>
      </c>
      <c r="B108" s="35"/>
      <c r="C108" s="65" t="s">
        <v>36</v>
      </c>
      <c r="D108" s="65"/>
      <c r="E108" s="35"/>
      <c r="F108" s="36" t="s">
        <v>162</v>
      </c>
      <c r="G108" s="35" t="s">
        <v>31</v>
      </c>
      <c r="H108" s="37"/>
      <c r="I108" s="38">
        <f>4</f>
        <v>4</v>
      </c>
      <c r="J108" s="23"/>
      <c r="K108" s="39"/>
      <c r="L108" s="40"/>
      <c r="M108" s="41">
        <f>K108+L108</f>
        <v>0</v>
      </c>
      <c r="N108" s="41">
        <f t="shared" si="2"/>
        <v>0</v>
      </c>
      <c r="O108" s="41">
        <f>ROUND((I108*L108),2)</f>
        <v>0</v>
      </c>
      <c r="P108" s="41">
        <f>ROUND((I108*M108),2)</f>
        <v>0</v>
      </c>
      <c r="Q108" s="41"/>
      <c r="R108" s="23"/>
      <c r="XCY108"/>
      <c r="XCZ108"/>
      <c r="XDA108"/>
      <c r="XDB108"/>
      <c r="XDC108"/>
      <c r="XDD108"/>
      <c r="XDE108"/>
      <c r="XDF108"/>
      <c r="XDG108"/>
      <c r="XDH108"/>
      <c r="XDI108"/>
      <c r="XDJ108"/>
      <c r="XDK108"/>
      <c r="XDL108"/>
      <c r="XDM108"/>
      <c r="XDN108"/>
      <c r="XDO108"/>
      <c r="XDP108"/>
      <c r="XDQ108"/>
      <c r="XDR108"/>
      <c r="XDS108"/>
      <c r="XDT108"/>
      <c r="XDU108"/>
      <c r="XDV108"/>
      <c r="XDW108"/>
      <c r="XDX108"/>
      <c r="XDY108"/>
      <c r="XDZ108"/>
      <c r="XEA108"/>
      <c r="XEB108"/>
      <c r="XEC108"/>
      <c r="XED108"/>
      <c r="XEE108"/>
      <c r="XEF108"/>
      <c r="XEG108"/>
      <c r="XEH108"/>
      <c r="XEI108"/>
      <c r="XEJ108"/>
      <c r="XEK108"/>
      <c r="XEL108"/>
      <c r="XEM108"/>
      <c r="XEN108"/>
      <c r="XEO108"/>
      <c r="XEP108"/>
      <c r="XEQ108"/>
      <c r="XER108"/>
      <c r="XES108"/>
      <c r="XET108"/>
      <c r="XEU108"/>
      <c r="XEV108"/>
      <c r="XEW108"/>
      <c r="XEX108"/>
      <c r="XEY108"/>
      <c r="XEZ108"/>
      <c r="XFA108"/>
      <c r="XFB108"/>
      <c r="XFC108"/>
      <c r="XFD108"/>
    </row>
    <row r="109" spans="1:18 16327:16384" s="26" customFormat="1" ht="29.1" customHeight="1" outlineLevel="3" x14ac:dyDescent="0.25">
      <c r="A109" s="42" t="s">
        <v>200</v>
      </c>
      <c r="B109" s="43"/>
      <c r="C109" s="66" t="s">
        <v>201</v>
      </c>
      <c r="D109" s="66"/>
      <c r="E109" s="43" t="s">
        <v>34</v>
      </c>
      <c r="F109" s="44"/>
      <c r="G109" s="43" t="s">
        <v>31</v>
      </c>
      <c r="H109" s="45">
        <v>1</v>
      </c>
      <c r="I109" s="46">
        <f>4</f>
        <v>4</v>
      </c>
      <c r="J109" s="23"/>
      <c r="K109" s="47"/>
      <c r="L109" s="48"/>
      <c r="M109" s="49"/>
      <c r="N109" s="49">
        <f t="shared" si="2"/>
        <v>0</v>
      </c>
      <c r="O109" s="49"/>
      <c r="P109" s="49"/>
      <c r="Q109" s="49"/>
      <c r="R109" s="23"/>
      <c r="XCY109"/>
      <c r="XCZ109"/>
      <c r="XDA109"/>
      <c r="XDB109"/>
      <c r="XDC109"/>
      <c r="XDD109"/>
      <c r="XDE109"/>
      <c r="XDF109"/>
      <c r="XDG109"/>
      <c r="XDH109"/>
      <c r="XDI109"/>
      <c r="XDJ109"/>
      <c r="XDK109"/>
      <c r="XDL109"/>
      <c r="XDM109"/>
      <c r="XDN109"/>
      <c r="XDO109"/>
      <c r="XDP109"/>
      <c r="XDQ109"/>
      <c r="XDR109"/>
      <c r="XDS109"/>
      <c r="XDT109"/>
      <c r="XDU109"/>
      <c r="XDV109"/>
      <c r="XDW109"/>
      <c r="XDX109"/>
      <c r="XDY109"/>
      <c r="XDZ109"/>
      <c r="XEA109"/>
      <c r="XEB109"/>
      <c r="XEC109"/>
      <c r="XED109"/>
      <c r="XEE109"/>
      <c r="XEF109"/>
      <c r="XEG109"/>
      <c r="XEH109"/>
      <c r="XEI109"/>
      <c r="XEJ109"/>
      <c r="XEK109"/>
      <c r="XEL109"/>
      <c r="XEM109"/>
      <c r="XEN109"/>
      <c r="XEO109"/>
      <c r="XEP109"/>
      <c r="XEQ109"/>
      <c r="XER109"/>
      <c r="XES109"/>
      <c r="XET109"/>
      <c r="XEU109"/>
      <c r="XEV109"/>
      <c r="XEW109"/>
      <c r="XEX109"/>
      <c r="XEY109"/>
      <c r="XEZ109"/>
      <c r="XFA109"/>
      <c r="XFB109"/>
      <c r="XFC109"/>
      <c r="XFD109"/>
    </row>
    <row r="110" spans="1:18 16327:16384" s="26" customFormat="1" ht="29.1" customHeight="1" outlineLevel="3" x14ac:dyDescent="0.25">
      <c r="A110" s="42" t="s">
        <v>202</v>
      </c>
      <c r="B110" s="43"/>
      <c r="C110" s="66" t="s">
        <v>203</v>
      </c>
      <c r="D110" s="66"/>
      <c r="E110" s="43" t="s">
        <v>34</v>
      </c>
      <c r="F110" s="44"/>
      <c r="G110" s="43" t="s">
        <v>31</v>
      </c>
      <c r="H110" s="45">
        <v>1</v>
      </c>
      <c r="I110" s="46">
        <f>10</f>
        <v>10</v>
      </c>
      <c r="J110" s="23"/>
      <c r="K110" s="47"/>
      <c r="L110" s="48"/>
      <c r="M110" s="49"/>
      <c r="N110" s="49">
        <f t="shared" si="2"/>
        <v>0</v>
      </c>
      <c r="O110" s="49"/>
      <c r="P110" s="49"/>
      <c r="Q110" s="49"/>
      <c r="R110" s="23"/>
      <c r="XCY110"/>
      <c r="XCZ110"/>
      <c r="XDA110"/>
      <c r="XDB110"/>
      <c r="XDC110"/>
      <c r="XDD110"/>
      <c r="XDE110"/>
      <c r="XDF110"/>
      <c r="XDG110"/>
      <c r="XDH110"/>
      <c r="XDI110"/>
      <c r="XDJ110"/>
      <c r="XDK110"/>
      <c r="XDL110"/>
      <c r="XDM110"/>
      <c r="XDN110"/>
      <c r="XDO110"/>
      <c r="XDP110"/>
      <c r="XDQ110"/>
      <c r="XDR110"/>
      <c r="XDS110"/>
      <c r="XDT110"/>
      <c r="XDU110"/>
      <c r="XDV110"/>
      <c r="XDW110"/>
      <c r="XDX110"/>
      <c r="XDY110"/>
      <c r="XDZ110"/>
      <c r="XEA110"/>
      <c r="XEB110"/>
      <c r="XEC110"/>
      <c r="XED110"/>
      <c r="XEE110"/>
      <c r="XEF110"/>
      <c r="XEG110"/>
      <c r="XEH110"/>
      <c r="XEI110"/>
      <c r="XEJ110"/>
      <c r="XEK110"/>
      <c r="XEL110"/>
      <c r="XEM110"/>
      <c r="XEN110"/>
      <c r="XEO110"/>
      <c r="XEP110"/>
      <c r="XEQ110"/>
      <c r="XER110"/>
      <c r="XES110"/>
      <c r="XET110"/>
      <c r="XEU110"/>
      <c r="XEV110"/>
      <c r="XEW110"/>
      <c r="XEX110"/>
      <c r="XEY110"/>
      <c r="XEZ110"/>
      <c r="XFA110"/>
      <c r="XFB110"/>
      <c r="XFC110"/>
      <c r="XFD110"/>
    </row>
    <row r="111" spans="1:18 16327:16384" s="26" customFormat="1" ht="29.1" customHeight="1" outlineLevel="3" x14ac:dyDescent="0.25">
      <c r="A111" s="42" t="s">
        <v>204</v>
      </c>
      <c r="B111" s="43"/>
      <c r="C111" s="66" t="s">
        <v>205</v>
      </c>
      <c r="D111" s="66"/>
      <c r="E111" s="43" t="s">
        <v>34</v>
      </c>
      <c r="F111" s="44"/>
      <c r="G111" s="43" t="s">
        <v>31</v>
      </c>
      <c r="H111" s="45">
        <v>1</v>
      </c>
      <c r="I111" s="46">
        <f>4</f>
        <v>4</v>
      </c>
      <c r="J111" s="23"/>
      <c r="K111" s="47"/>
      <c r="L111" s="48"/>
      <c r="M111" s="49"/>
      <c r="N111" s="49">
        <f t="shared" si="2"/>
        <v>0</v>
      </c>
      <c r="O111" s="49"/>
      <c r="P111" s="49"/>
      <c r="Q111" s="49"/>
      <c r="R111" s="23"/>
      <c r="XCY111"/>
      <c r="XCZ111"/>
      <c r="XDA111"/>
      <c r="XDB111"/>
      <c r="XDC111"/>
      <c r="XDD111"/>
      <c r="XDE111"/>
      <c r="XDF111"/>
      <c r="XDG111"/>
      <c r="XDH111"/>
      <c r="XDI111"/>
      <c r="XDJ111"/>
      <c r="XDK111"/>
      <c r="XDL111"/>
      <c r="XDM111"/>
      <c r="XDN111"/>
      <c r="XDO111"/>
      <c r="XDP111"/>
      <c r="XDQ111"/>
      <c r="XDR111"/>
      <c r="XDS111"/>
      <c r="XDT111"/>
      <c r="XDU111"/>
      <c r="XDV111"/>
      <c r="XDW111"/>
      <c r="XDX111"/>
      <c r="XDY111"/>
      <c r="XDZ111"/>
      <c r="XEA111"/>
      <c r="XEB111"/>
      <c r="XEC111"/>
      <c r="XED111"/>
      <c r="XEE111"/>
      <c r="XEF111"/>
      <c r="XEG111"/>
      <c r="XEH111"/>
      <c r="XEI111"/>
      <c r="XEJ111"/>
      <c r="XEK111"/>
      <c r="XEL111"/>
      <c r="XEM111"/>
      <c r="XEN111"/>
      <c r="XEO111"/>
      <c r="XEP111"/>
      <c r="XEQ111"/>
      <c r="XER111"/>
      <c r="XES111"/>
      <c r="XET111"/>
      <c r="XEU111"/>
      <c r="XEV111"/>
      <c r="XEW111"/>
      <c r="XEX111"/>
      <c r="XEY111"/>
      <c r="XEZ111"/>
      <c r="XFA111"/>
      <c r="XFB111"/>
      <c r="XFC111"/>
      <c r="XFD111"/>
    </row>
    <row r="112" spans="1:18 16327:16384" s="26" customFormat="1" ht="29.1" customHeight="1" outlineLevel="3" x14ac:dyDescent="0.25">
      <c r="A112" s="42" t="s">
        <v>206</v>
      </c>
      <c r="B112" s="43"/>
      <c r="C112" s="66" t="s">
        <v>207</v>
      </c>
      <c r="D112" s="66"/>
      <c r="E112" s="43" t="s">
        <v>34</v>
      </c>
      <c r="F112" s="44"/>
      <c r="G112" s="43" t="s">
        <v>31</v>
      </c>
      <c r="H112" s="45">
        <v>1</v>
      </c>
      <c r="I112" s="46">
        <f>4</f>
        <v>4</v>
      </c>
      <c r="J112" s="23"/>
      <c r="K112" s="47"/>
      <c r="L112" s="48"/>
      <c r="M112" s="49"/>
      <c r="N112" s="49">
        <f t="shared" si="2"/>
        <v>0</v>
      </c>
      <c r="O112" s="49"/>
      <c r="P112" s="49"/>
      <c r="Q112" s="49"/>
      <c r="R112" s="23"/>
      <c r="XCY112"/>
      <c r="XCZ112"/>
      <c r="XDA112"/>
      <c r="XDB112"/>
      <c r="XDC112"/>
      <c r="XDD112"/>
      <c r="XDE112"/>
      <c r="XDF112"/>
      <c r="XDG112"/>
      <c r="XDH112"/>
      <c r="XDI112"/>
      <c r="XDJ112"/>
      <c r="XDK112"/>
      <c r="XDL112"/>
      <c r="XDM112"/>
      <c r="XDN112"/>
      <c r="XDO112"/>
      <c r="XDP112"/>
      <c r="XDQ112"/>
      <c r="XDR112"/>
      <c r="XDS112"/>
      <c r="XDT112"/>
      <c r="XDU112"/>
      <c r="XDV112"/>
      <c r="XDW112"/>
      <c r="XDX112"/>
      <c r="XDY112"/>
      <c r="XDZ112"/>
      <c r="XEA112"/>
      <c r="XEB112"/>
      <c r="XEC112"/>
      <c r="XED112"/>
      <c r="XEE112"/>
      <c r="XEF112"/>
      <c r="XEG112"/>
      <c r="XEH112"/>
      <c r="XEI112"/>
      <c r="XEJ112"/>
      <c r="XEK112"/>
      <c r="XEL112"/>
      <c r="XEM112"/>
      <c r="XEN112"/>
      <c r="XEO112"/>
      <c r="XEP112"/>
      <c r="XEQ112"/>
      <c r="XER112"/>
      <c r="XES112"/>
      <c r="XET112"/>
      <c r="XEU112"/>
      <c r="XEV112"/>
      <c r="XEW112"/>
      <c r="XEX112"/>
      <c r="XEY112"/>
      <c r="XEZ112"/>
      <c r="XFA112"/>
      <c r="XFB112"/>
      <c r="XFC112"/>
      <c r="XFD112"/>
    </row>
    <row r="113" spans="1:18 16327:16384" s="26" customFormat="1" ht="29.1" customHeight="1" outlineLevel="2" x14ac:dyDescent="0.25">
      <c r="A113" s="34" t="s">
        <v>208</v>
      </c>
      <c r="B113" s="35"/>
      <c r="C113" s="65" t="s">
        <v>36</v>
      </c>
      <c r="D113" s="65"/>
      <c r="E113" s="35"/>
      <c r="F113" s="36" t="s">
        <v>162</v>
      </c>
      <c r="G113" s="35" t="s">
        <v>31</v>
      </c>
      <c r="H113" s="37"/>
      <c r="I113" s="38">
        <f>6</f>
        <v>6</v>
      </c>
      <c r="J113" s="23"/>
      <c r="K113" s="39"/>
      <c r="L113" s="40"/>
      <c r="M113" s="41">
        <f>K113+L113</f>
        <v>0</v>
      </c>
      <c r="N113" s="41">
        <f t="shared" si="2"/>
        <v>0</v>
      </c>
      <c r="O113" s="41">
        <f>ROUND((I113*L113),2)</f>
        <v>0</v>
      </c>
      <c r="P113" s="41">
        <f>ROUND((I113*M113),2)</f>
        <v>0</v>
      </c>
      <c r="Q113" s="41"/>
      <c r="R113" s="23"/>
      <c r="XCY113"/>
      <c r="XCZ113"/>
      <c r="XDA113"/>
      <c r="XDB113"/>
      <c r="XDC113"/>
      <c r="XDD113"/>
      <c r="XDE113"/>
      <c r="XDF113"/>
      <c r="XDG113"/>
      <c r="XDH113"/>
      <c r="XDI113"/>
      <c r="XDJ113"/>
      <c r="XDK113"/>
      <c r="XDL113"/>
      <c r="XDM113"/>
      <c r="XDN113"/>
      <c r="XDO113"/>
      <c r="XDP113"/>
      <c r="XDQ113"/>
      <c r="XDR113"/>
      <c r="XDS113"/>
      <c r="XDT113"/>
      <c r="XDU113"/>
      <c r="XDV113"/>
      <c r="XDW113"/>
      <c r="XDX113"/>
      <c r="XDY113"/>
      <c r="XDZ113"/>
      <c r="XEA113"/>
      <c r="XEB113"/>
      <c r="XEC113"/>
      <c r="XED113"/>
      <c r="XEE113"/>
      <c r="XEF113"/>
      <c r="XEG113"/>
      <c r="XEH113"/>
      <c r="XEI113"/>
      <c r="XEJ113"/>
      <c r="XEK113"/>
      <c r="XEL113"/>
      <c r="XEM113"/>
      <c r="XEN113"/>
      <c r="XEO113"/>
      <c r="XEP113"/>
      <c r="XEQ113"/>
      <c r="XER113"/>
      <c r="XES113"/>
      <c r="XET113"/>
      <c r="XEU113"/>
      <c r="XEV113"/>
      <c r="XEW113"/>
      <c r="XEX113"/>
      <c r="XEY113"/>
      <c r="XEZ113"/>
      <c r="XFA113"/>
      <c r="XFB113"/>
      <c r="XFC113"/>
      <c r="XFD113"/>
    </row>
    <row r="114" spans="1:18 16327:16384" s="26" customFormat="1" ht="29.1" customHeight="1" outlineLevel="3" x14ac:dyDescent="0.25">
      <c r="A114" s="42" t="s">
        <v>209</v>
      </c>
      <c r="B114" s="43"/>
      <c r="C114" s="66" t="s">
        <v>210</v>
      </c>
      <c r="D114" s="66"/>
      <c r="E114" s="43" t="s">
        <v>34</v>
      </c>
      <c r="F114" s="44"/>
      <c r="G114" s="43" t="s">
        <v>31</v>
      </c>
      <c r="H114" s="45">
        <v>1</v>
      </c>
      <c r="I114" s="46">
        <f>6</f>
        <v>6</v>
      </c>
      <c r="J114" s="23"/>
      <c r="K114" s="47"/>
      <c r="L114" s="48"/>
      <c r="M114" s="49"/>
      <c r="N114" s="49">
        <f t="shared" ref="N114:N145" si="3">ROUND((I114*K114),2)</f>
        <v>0</v>
      </c>
      <c r="O114" s="49"/>
      <c r="P114" s="49"/>
      <c r="Q114" s="49"/>
      <c r="R114" s="23"/>
      <c r="XCY114"/>
      <c r="XCZ114"/>
      <c r="XDA114"/>
      <c r="XDB114"/>
      <c r="XDC114"/>
      <c r="XDD114"/>
      <c r="XDE114"/>
      <c r="XDF114"/>
      <c r="XDG114"/>
      <c r="XDH114"/>
      <c r="XDI114"/>
      <c r="XDJ114"/>
      <c r="XDK114"/>
      <c r="XDL114"/>
      <c r="XDM114"/>
      <c r="XDN114"/>
      <c r="XDO114"/>
      <c r="XDP114"/>
      <c r="XDQ114"/>
      <c r="XDR114"/>
      <c r="XDS114"/>
      <c r="XDT114"/>
      <c r="XDU114"/>
      <c r="XDV114"/>
      <c r="XDW114"/>
      <c r="XDX114"/>
      <c r="XDY114"/>
      <c r="XDZ114"/>
      <c r="XEA114"/>
      <c r="XEB114"/>
      <c r="XEC114"/>
      <c r="XED114"/>
      <c r="XEE114"/>
      <c r="XEF114"/>
      <c r="XEG114"/>
      <c r="XEH114"/>
      <c r="XEI114"/>
      <c r="XEJ114"/>
      <c r="XEK114"/>
      <c r="XEL114"/>
      <c r="XEM114"/>
      <c r="XEN114"/>
      <c r="XEO114"/>
      <c r="XEP114"/>
      <c r="XEQ114"/>
      <c r="XER114"/>
      <c r="XES114"/>
      <c r="XET114"/>
      <c r="XEU114"/>
      <c r="XEV114"/>
      <c r="XEW114"/>
      <c r="XEX114"/>
      <c r="XEY114"/>
      <c r="XEZ114"/>
      <c r="XFA114"/>
      <c r="XFB114"/>
      <c r="XFC114"/>
      <c r="XFD114"/>
    </row>
    <row r="115" spans="1:18 16327:16384" s="26" customFormat="1" ht="29.1" customHeight="1" outlineLevel="2" x14ac:dyDescent="0.25">
      <c r="A115" s="34" t="s">
        <v>211</v>
      </c>
      <c r="B115" s="35"/>
      <c r="C115" s="65" t="s">
        <v>36</v>
      </c>
      <c r="D115" s="65"/>
      <c r="E115" s="35"/>
      <c r="F115" s="36" t="s">
        <v>162</v>
      </c>
      <c r="G115" s="35" t="s">
        <v>31</v>
      </c>
      <c r="H115" s="37"/>
      <c r="I115" s="38">
        <f>169</f>
        <v>169</v>
      </c>
      <c r="J115" s="23"/>
      <c r="K115" s="39"/>
      <c r="L115" s="40"/>
      <c r="M115" s="41">
        <f>K115+L115</f>
        <v>0</v>
      </c>
      <c r="N115" s="41">
        <f t="shared" si="3"/>
        <v>0</v>
      </c>
      <c r="O115" s="41">
        <f>ROUND((I115*L115),2)</f>
        <v>0</v>
      </c>
      <c r="P115" s="41">
        <f>ROUND((I115*M115),2)</f>
        <v>0</v>
      </c>
      <c r="Q115" s="41"/>
      <c r="R115" s="23"/>
      <c r="XCY115"/>
      <c r="XCZ115"/>
      <c r="XDA115"/>
      <c r="XDB115"/>
      <c r="XDC115"/>
      <c r="XDD115"/>
      <c r="XDE115"/>
      <c r="XDF115"/>
      <c r="XDG115"/>
      <c r="XDH115"/>
      <c r="XDI115"/>
      <c r="XDJ115"/>
      <c r="XDK115"/>
      <c r="XDL115"/>
      <c r="XDM115"/>
      <c r="XDN115"/>
      <c r="XDO115"/>
      <c r="XDP115"/>
      <c r="XDQ115"/>
      <c r="XDR115"/>
      <c r="XDS115"/>
      <c r="XDT115"/>
      <c r="XDU115"/>
      <c r="XDV115"/>
      <c r="XDW115"/>
      <c r="XDX115"/>
      <c r="XDY115"/>
      <c r="XDZ115"/>
      <c r="XEA115"/>
      <c r="XEB115"/>
      <c r="XEC115"/>
      <c r="XED115"/>
      <c r="XEE115"/>
      <c r="XEF115"/>
      <c r="XEG115"/>
      <c r="XEH115"/>
      <c r="XEI115"/>
      <c r="XEJ115"/>
      <c r="XEK115"/>
      <c r="XEL115"/>
      <c r="XEM115"/>
      <c r="XEN115"/>
      <c r="XEO115"/>
      <c r="XEP115"/>
      <c r="XEQ115"/>
      <c r="XER115"/>
      <c r="XES115"/>
      <c r="XET115"/>
      <c r="XEU115"/>
      <c r="XEV115"/>
      <c r="XEW115"/>
      <c r="XEX115"/>
      <c r="XEY115"/>
      <c r="XEZ115"/>
      <c r="XFA115"/>
      <c r="XFB115"/>
      <c r="XFC115"/>
      <c r="XFD115"/>
    </row>
    <row r="116" spans="1:18 16327:16384" s="26" customFormat="1" ht="29.1" customHeight="1" outlineLevel="3" x14ac:dyDescent="0.25">
      <c r="A116" s="42" t="s">
        <v>212</v>
      </c>
      <c r="B116" s="43"/>
      <c r="C116" s="66" t="s">
        <v>213</v>
      </c>
      <c r="D116" s="66"/>
      <c r="E116" s="43" t="s">
        <v>34</v>
      </c>
      <c r="F116" s="44"/>
      <c r="G116" s="43" t="s">
        <v>31</v>
      </c>
      <c r="H116" s="45">
        <v>1</v>
      </c>
      <c r="I116" s="46">
        <f>157</f>
        <v>157</v>
      </c>
      <c r="J116" s="23"/>
      <c r="K116" s="47"/>
      <c r="L116" s="48"/>
      <c r="M116" s="49"/>
      <c r="N116" s="49">
        <f t="shared" si="3"/>
        <v>0</v>
      </c>
      <c r="O116" s="49"/>
      <c r="P116" s="49"/>
      <c r="Q116" s="49"/>
      <c r="R116" s="23"/>
      <c r="XCY116"/>
      <c r="XCZ116"/>
      <c r="XDA116"/>
      <c r="XDB116"/>
      <c r="XDC116"/>
      <c r="XDD116"/>
      <c r="XDE116"/>
      <c r="XDF116"/>
      <c r="XDG116"/>
      <c r="XDH116"/>
      <c r="XDI116"/>
      <c r="XDJ116"/>
      <c r="XDK116"/>
      <c r="XDL116"/>
      <c r="XDM116"/>
      <c r="XDN116"/>
      <c r="XDO116"/>
      <c r="XDP116"/>
      <c r="XDQ116"/>
      <c r="XDR116"/>
      <c r="XDS116"/>
      <c r="XDT116"/>
      <c r="XDU116"/>
      <c r="XDV116"/>
      <c r="XDW116"/>
      <c r="XDX116"/>
      <c r="XDY116"/>
      <c r="XDZ116"/>
      <c r="XEA116"/>
      <c r="XEB116"/>
      <c r="XEC116"/>
      <c r="XED116"/>
      <c r="XEE116"/>
      <c r="XEF116"/>
      <c r="XEG116"/>
      <c r="XEH116"/>
      <c r="XEI116"/>
      <c r="XEJ116"/>
      <c r="XEK116"/>
      <c r="XEL116"/>
      <c r="XEM116"/>
      <c r="XEN116"/>
      <c r="XEO116"/>
      <c r="XEP116"/>
      <c r="XEQ116"/>
      <c r="XER116"/>
      <c r="XES116"/>
      <c r="XET116"/>
      <c r="XEU116"/>
      <c r="XEV116"/>
      <c r="XEW116"/>
      <c r="XEX116"/>
      <c r="XEY116"/>
      <c r="XEZ116"/>
      <c r="XFA116"/>
      <c r="XFB116"/>
      <c r="XFC116"/>
      <c r="XFD116"/>
    </row>
    <row r="117" spans="1:18 16327:16384" s="26" customFormat="1" ht="29.1" customHeight="1" outlineLevel="3" x14ac:dyDescent="0.25">
      <c r="A117" s="42" t="s">
        <v>214</v>
      </c>
      <c r="B117" s="43"/>
      <c r="C117" s="66" t="s">
        <v>215</v>
      </c>
      <c r="D117" s="66"/>
      <c r="E117" s="43" t="s">
        <v>34</v>
      </c>
      <c r="F117" s="44"/>
      <c r="G117" s="43" t="s">
        <v>31</v>
      </c>
      <c r="H117" s="45">
        <v>1</v>
      </c>
      <c r="I117" s="46">
        <f>8</f>
        <v>8</v>
      </c>
      <c r="J117" s="23"/>
      <c r="K117" s="47"/>
      <c r="L117" s="48"/>
      <c r="M117" s="49"/>
      <c r="N117" s="49">
        <f t="shared" si="3"/>
        <v>0</v>
      </c>
      <c r="O117" s="49"/>
      <c r="P117" s="49"/>
      <c r="Q117" s="49"/>
      <c r="R117" s="23"/>
      <c r="XCY117"/>
      <c r="XCZ117"/>
      <c r="XDA117"/>
      <c r="XDB117"/>
      <c r="XDC117"/>
      <c r="XDD117"/>
      <c r="XDE117"/>
      <c r="XDF117"/>
      <c r="XDG117"/>
      <c r="XDH117"/>
      <c r="XDI117"/>
      <c r="XDJ117"/>
      <c r="XDK117"/>
      <c r="XDL117"/>
      <c r="XDM117"/>
      <c r="XDN117"/>
      <c r="XDO117"/>
      <c r="XDP117"/>
      <c r="XDQ117"/>
      <c r="XDR117"/>
      <c r="XDS117"/>
      <c r="XDT117"/>
      <c r="XDU117"/>
      <c r="XDV117"/>
      <c r="XDW117"/>
      <c r="XDX117"/>
      <c r="XDY117"/>
      <c r="XDZ117"/>
      <c r="XEA117"/>
      <c r="XEB117"/>
      <c r="XEC117"/>
      <c r="XED117"/>
      <c r="XEE117"/>
      <c r="XEF117"/>
      <c r="XEG117"/>
      <c r="XEH117"/>
      <c r="XEI117"/>
      <c r="XEJ117"/>
      <c r="XEK117"/>
      <c r="XEL117"/>
      <c r="XEM117"/>
      <c r="XEN117"/>
      <c r="XEO117"/>
      <c r="XEP117"/>
      <c r="XEQ117"/>
      <c r="XER117"/>
      <c r="XES117"/>
      <c r="XET117"/>
      <c r="XEU117"/>
      <c r="XEV117"/>
      <c r="XEW117"/>
      <c r="XEX117"/>
      <c r="XEY117"/>
      <c r="XEZ117"/>
      <c r="XFA117"/>
      <c r="XFB117"/>
      <c r="XFC117"/>
      <c r="XFD117"/>
    </row>
    <row r="118" spans="1:18 16327:16384" s="26" customFormat="1" ht="29.1" customHeight="1" outlineLevel="3" x14ac:dyDescent="0.25">
      <c r="A118" s="42" t="s">
        <v>216</v>
      </c>
      <c r="B118" s="43"/>
      <c r="C118" s="66" t="s">
        <v>217</v>
      </c>
      <c r="D118" s="66"/>
      <c r="E118" s="43" t="s">
        <v>34</v>
      </c>
      <c r="F118" s="44"/>
      <c r="G118" s="43" t="s">
        <v>31</v>
      </c>
      <c r="H118" s="45">
        <v>1</v>
      </c>
      <c r="I118" s="46">
        <f>4</f>
        <v>4</v>
      </c>
      <c r="J118" s="23"/>
      <c r="K118" s="47"/>
      <c r="L118" s="48"/>
      <c r="M118" s="49"/>
      <c r="N118" s="49">
        <f t="shared" si="3"/>
        <v>0</v>
      </c>
      <c r="O118" s="49"/>
      <c r="P118" s="49"/>
      <c r="Q118" s="49"/>
      <c r="R118" s="23"/>
      <c r="XCY118"/>
      <c r="XCZ118"/>
      <c r="XDA118"/>
      <c r="XDB118"/>
      <c r="XDC118"/>
      <c r="XDD118"/>
      <c r="XDE118"/>
      <c r="XDF118"/>
      <c r="XDG118"/>
      <c r="XDH118"/>
      <c r="XDI118"/>
      <c r="XDJ118"/>
      <c r="XDK118"/>
      <c r="XDL118"/>
      <c r="XDM118"/>
      <c r="XDN118"/>
      <c r="XDO118"/>
      <c r="XDP118"/>
      <c r="XDQ118"/>
      <c r="XDR118"/>
      <c r="XDS118"/>
      <c r="XDT118"/>
      <c r="XDU118"/>
      <c r="XDV118"/>
      <c r="XDW118"/>
      <c r="XDX118"/>
      <c r="XDY118"/>
      <c r="XDZ118"/>
      <c r="XEA118"/>
      <c r="XEB118"/>
      <c r="XEC118"/>
      <c r="XED118"/>
      <c r="XEE118"/>
      <c r="XEF118"/>
      <c r="XEG118"/>
      <c r="XEH118"/>
      <c r="XEI118"/>
      <c r="XEJ118"/>
      <c r="XEK118"/>
      <c r="XEL118"/>
      <c r="XEM118"/>
      <c r="XEN118"/>
      <c r="XEO118"/>
      <c r="XEP118"/>
      <c r="XEQ118"/>
      <c r="XER118"/>
      <c r="XES118"/>
      <c r="XET118"/>
      <c r="XEU118"/>
      <c r="XEV118"/>
      <c r="XEW118"/>
      <c r="XEX118"/>
      <c r="XEY118"/>
      <c r="XEZ118"/>
      <c r="XFA118"/>
      <c r="XFB118"/>
      <c r="XFC118"/>
      <c r="XFD118"/>
    </row>
    <row r="119" spans="1:18 16327:16384" s="26" customFormat="1" ht="29.1" customHeight="1" outlineLevel="2" x14ac:dyDescent="0.25">
      <c r="A119" s="34" t="s">
        <v>218</v>
      </c>
      <c r="B119" s="35"/>
      <c r="C119" s="65" t="s">
        <v>50</v>
      </c>
      <c r="D119" s="65"/>
      <c r="E119" s="35"/>
      <c r="F119" s="36" t="s">
        <v>162</v>
      </c>
      <c r="G119" s="35" t="s">
        <v>31</v>
      </c>
      <c r="H119" s="37"/>
      <c r="I119" s="38">
        <f>24</f>
        <v>24</v>
      </c>
      <c r="J119" s="23"/>
      <c r="K119" s="39"/>
      <c r="L119" s="40"/>
      <c r="M119" s="41">
        <f>K119+L119</f>
        <v>0</v>
      </c>
      <c r="N119" s="41">
        <f t="shared" si="3"/>
        <v>0</v>
      </c>
      <c r="O119" s="41">
        <f>ROUND((I119*L119),2)</f>
        <v>0</v>
      </c>
      <c r="P119" s="41">
        <f>ROUND((I119*M119),2)</f>
        <v>0</v>
      </c>
      <c r="Q119" s="41"/>
      <c r="R119" s="23"/>
      <c r="XCY119"/>
      <c r="XCZ119"/>
      <c r="XDA119"/>
      <c r="XDB119"/>
      <c r="XDC119"/>
      <c r="XDD119"/>
      <c r="XDE119"/>
      <c r="XDF119"/>
      <c r="XDG119"/>
      <c r="XDH119"/>
      <c r="XDI119"/>
      <c r="XDJ119"/>
      <c r="XDK119"/>
      <c r="XDL119"/>
      <c r="XDM119"/>
      <c r="XDN119"/>
      <c r="XDO119"/>
      <c r="XDP119"/>
      <c r="XDQ119"/>
      <c r="XDR119"/>
      <c r="XDS119"/>
      <c r="XDT119"/>
      <c r="XDU119"/>
      <c r="XDV119"/>
      <c r="XDW119"/>
      <c r="XDX119"/>
      <c r="XDY119"/>
      <c r="XDZ119"/>
      <c r="XEA119"/>
      <c r="XEB119"/>
      <c r="XEC119"/>
      <c r="XED119"/>
      <c r="XEE119"/>
      <c r="XEF119"/>
      <c r="XEG119"/>
      <c r="XEH119"/>
      <c r="XEI119"/>
      <c r="XEJ119"/>
      <c r="XEK119"/>
      <c r="XEL119"/>
      <c r="XEM119"/>
      <c r="XEN119"/>
      <c r="XEO119"/>
      <c r="XEP119"/>
      <c r="XEQ119"/>
      <c r="XER119"/>
      <c r="XES119"/>
      <c r="XET119"/>
      <c r="XEU119"/>
      <c r="XEV119"/>
      <c r="XEW119"/>
      <c r="XEX119"/>
      <c r="XEY119"/>
      <c r="XEZ119"/>
      <c r="XFA119"/>
      <c r="XFB119"/>
      <c r="XFC119"/>
      <c r="XFD119"/>
    </row>
    <row r="120" spans="1:18 16327:16384" s="26" customFormat="1" ht="29.1" customHeight="1" outlineLevel="3" x14ac:dyDescent="0.25">
      <c r="A120" s="42" t="s">
        <v>219</v>
      </c>
      <c r="B120" s="43"/>
      <c r="C120" s="66" t="s">
        <v>220</v>
      </c>
      <c r="D120" s="66"/>
      <c r="E120" s="43" t="s">
        <v>34</v>
      </c>
      <c r="F120" s="44"/>
      <c r="G120" s="43" t="s">
        <v>31</v>
      </c>
      <c r="H120" s="45">
        <v>1</v>
      </c>
      <c r="I120" s="46">
        <f>24</f>
        <v>24</v>
      </c>
      <c r="J120" s="23"/>
      <c r="K120" s="47"/>
      <c r="L120" s="48"/>
      <c r="M120" s="49"/>
      <c r="N120" s="49">
        <f t="shared" si="3"/>
        <v>0</v>
      </c>
      <c r="O120" s="49"/>
      <c r="P120" s="49"/>
      <c r="Q120" s="49"/>
      <c r="R120" s="23"/>
      <c r="XCY120"/>
      <c r="XCZ120"/>
      <c r="XDA120"/>
      <c r="XDB120"/>
      <c r="XDC120"/>
      <c r="XDD120"/>
      <c r="XDE120"/>
      <c r="XDF120"/>
      <c r="XDG120"/>
      <c r="XDH120"/>
      <c r="XDI120"/>
      <c r="XDJ120"/>
      <c r="XDK120"/>
      <c r="XDL120"/>
      <c r="XDM120"/>
      <c r="XDN120"/>
      <c r="XDO120"/>
      <c r="XDP120"/>
      <c r="XDQ120"/>
      <c r="XDR120"/>
      <c r="XDS120"/>
      <c r="XDT120"/>
      <c r="XDU120"/>
      <c r="XDV120"/>
      <c r="XDW120"/>
      <c r="XDX120"/>
      <c r="XDY120"/>
      <c r="XDZ120"/>
      <c r="XEA120"/>
      <c r="XEB120"/>
      <c r="XEC120"/>
      <c r="XED120"/>
      <c r="XEE120"/>
      <c r="XEF120"/>
      <c r="XEG120"/>
      <c r="XEH120"/>
      <c r="XEI120"/>
      <c r="XEJ120"/>
      <c r="XEK120"/>
      <c r="XEL120"/>
      <c r="XEM120"/>
      <c r="XEN120"/>
      <c r="XEO120"/>
      <c r="XEP120"/>
      <c r="XEQ120"/>
      <c r="XER120"/>
      <c r="XES120"/>
      <c r="XET120"/>
      <c r="XEU120"/>
      <c r="XEV120"/>
      <c r="XEW120"/>
      <c r="XEX120"/>
      <c r="XEY120"/>
      <c r="XEZ120"/>
      <c r="XFA120"/>
      <c r="XFB120"/>
      <c r="XFC120"/>
      <c r="XFD120"/>
    </row>
    <row r="121" spans="1:18 16327:16384" s="26" customFormat="1" ht="29.1" customHeight="1" outlineLevel="2" x14ac:dyDescent="0.25">
      <c r="A121" s="34" t="s">
        <v>221</v>
      </c>
      <c r="B121" s="35"/>
      <c r="C121" s="65" t="s">
        <v>222</v>
      </c>
      <c r="D121" s="65"/>
      <c r="E121" s="35"/>
      <c r="F121" s="36"/>
      <c r="G121" s="35" t="s">
        <v>31</v>
      </c>
      <c r="H121" s="37"/>
      <c r="I121" s="38">
        <f>101</f>
        <v>101</v>
      </c>
      <c r="J121" s="23"/>
      <c r="K121" s="39"/>
      <c r="L121" s="40"/>
      <c r="M121" s="41">
        <f>K121+L121</f>
        <v>0</v>
      </c>
      <c r="N121" s="41">
        <f t="shared" si="3"/>
        <v>0</v>
      </c>
      <c r="O121" s="41">
        <f>ROUND((I121*L121),2)</f>
        <v>0</v>
      </c>
      <c r="P121" s="41">
        <f>ROUND((I121*M121),2)</f>
        <v>0</v>
      </c>
      <c r="Q121" s="41"/>
      <c r="R121" s="23"/>
      <c r="XCY121"/>
      <c r="XCZ121"/>
      <c r="XDA121"/>
      <c r="XDB121"/>
      <c r="XDC121"/>
      <c r="XDD121"/>
      <c r="XDE121"/>
      <c r="XDF121"/>
      <c r="XDG121"/>
      <c r="XDH121"/>
      <c r="XDI121"/>
      <c r="XDJ121"/>
      <c r="XDK121"/>
      <c r="XDL121"/>
      <c r="XDM121"/>
      <c r="XDN121"/>
      <c r="XDO121"/>
      <c r="XDP121"/>
      <c r="XDQ121"/>
      <c r="XDR121"/>
      <c r="XDS121"/>
      <c r="XDT121"/>
      <c r="XDU121"/>
      <c r="XDV121"/>
      <c r="XDW121"/>
      <c r="XDX121"/>
      <c r="XDY121"/>
      <c r="XDZ121"/>
      <c r="XEA121"/>
      <c r="XEB121"/>
      <c r="XEC121"/>
      <c r="XED121"/>
      <c r="XEE121"/>
      <c r="XEF121"/>
      <c r="XEG121"/>
      <c r="XEH121"/>
      <c r="XEI121"/>
      <c r="XEJ121"/>
      <c r="XEK121"/>
      <c r="XEL121"/>
      <c r="XEM121"/>
      <c r="XEN121"/>
      <c r="XEO121"/>
      <c r="XEP121"/>
      <c r="XEQ121"/>
      <c r="XER121"/>
      <c r="XES121"/>
      <c r="XET121"/>
      <c r="XEU121"/>
      <c r="XEV121"/>
      <c r="XEW121"/>
      <c r="XEX121"/>
      <c r="XEY121"/>
      <c r="XEZ121"/>
      <c r="XFA121"/>
      <c r="XFB121"/>
      <c r="XFC121"/>
      <c r="XFD121"/>
    </row>
    <row r="122" spans="1:18 16327:16384" s="26" customFormat="1" ht="29.1" customHeight="1" outlineLevel="3" x14ac:dyDescent="0.25">
      <c r="A122" s="42" t="s">
        <v>223</v>
      </c>
      <c r="B122" s="43"/>
      <c r="C122" s="66" t="s">
        <v>224</v>
      </c>
      <c r="D122" s="66"/>
      <c r="E122" s="43" t="s">
        <v>34</v>
      </c>
      <c r="F122" s="44"/>
      <c r="G122" s="43" t="s">
        <v>31</v>
      </c>
      <c r="H122" s="45">
        <v>1</v>
      </c>
      <c r="I122" s="46">
        <f>101</f>
        <v>101</v>
      </c>
      <c r="J122" s="23"/>
      <c r="K122" s="47"/>
      <c r="L122" s="48"/>
      <c r="M122" s="49"/>
      <c r="N122" s="49">
        <f t="shared" si="3"/>
        <v>0</v>
      </c>
      <c r="O122" s="49"/>
      <c r="P122" s="49"/>
      <c r="Q122" s="49"/>
      <c r="R122" s="23"/>
      <c r="XCY122"/>
      <c r="XCZ122"/>
      <c r="XDA122"/>
      <c r="XDB122"/>
      <c r="XDC122"/>
      <c r="XDD122"/>
      <c r="XDE122"/>
      <c r="XDF122"/>
      <c r="XDG122"/>
      <c r="XDH122"/>
      <c r="XDI122"/>
      <c r="XDJ122"/>
      <c r="XDK122"/>
      <c r="XDL122"/>
      <c r="XDM122"/>
      <c r="XDN122"/>
      <c r="XDO122"/>
      <c r="XDP122"/>
      <c r="XDQ122"/>
      <c r="XDR122"/>
      <c r="XDS122"/>
      <c r="XDT122"/>
      <c r="XDU122"/>
      <c r="XDV122"/>
      <c r="XDW122"/>
      <c r="XDX122"/>
      <c r="XDY122"/>
      <c r="XDZ122"/>
      <c r="XEA122"/>
      <c r="XEB122"/>
      <c r="XEC122"/>
      <c r="XED122"/>
      <c r="XEE122"/>
      <c r="XEF122"/>
      <c r="XEG122"/>
      <c r="XEH122"/>
      <c r="XEI122"/>
      <c r="XEJ122"/>
      <c r="XEK122"/>
      <c r="XEL122"/>
      <c r="XEM122"/>
      <c r="XEN122"/>
      <c r="XEO122"/>
      <c r="XEP122"/>
      <c r="XEQ122"/>
      <c r="XER122"/>
      <c r="XES122"/>
      <c r="XET122"/>
      <c r="XEU122"/>
      <c r="XEV122"/>
      <c r="XEW122"/>
      <c r="XEX122"/>
      <c r="XEY122"/>
      <c r="XEZ122"/>
      <c r="XFA122"/>
      <c r="XFB122"/>
      <c r="XFC122"/>
      <c r="XFD122"/>
    </row>
    <row r="123" spans="1:18 16327:16384" s="26" customFormat="1" ht="29.1" customHeight="1" outlineLevel="2" x14ac:dyDescent="0.25">
      <c r="A123" s="34" t="s">
        <v>225</v>
      </c>
      <c r="B123" s="35"/>
      <c r="C123" s="65" t="s">
        <v>222</v>
      </c>
      <c r="D123" s="65"/>
      <c r="E123" s="35"/>
      <c r="F123" s="36"/>
      <c r="G123" s="35" t="s">
        <v>31</v>
      </c>
      <c r="H123" s="37"/>
      <c r="I123" s="38">
        <f>22</f>
        <v>22</v>
      </c>
      <c r="J123" s="23"/>
      <c r="K123" s="39"/>
      <c r="L123" s="40"/>
      <c r="M123" s="41">
        <f>K123+L123</f>
        <v>0</v>
      </c>
      <c r="N123" s="41">
        <f t="shared" si="3"/>
        <v>0</v>
      </c>
      <c r="O123" s="41">
        <f>ROUND((I123*L123),2)</f>
        <v>0</v>
      </c>
      <c r="P123" s="41">
        <f>ROUND((I123*M123),2)</f>
        <v>0</v>
      </c>
      <c r="Q123" s="41"/>
      <c r="R123" s="23"/>
      <c r="XCY123"/>
      <c r="XCZ123"/>
      <c r="XDA123"/>
      <c r="XDB123"/>
      <c r="XDC123"/>
      <c r="XDD123"/>
      <c r="XDE123"/>
      <c r="XDF123"/>
      <c r="XDG123"/>
      <c r="XDH123"/>
      <c r="XDI123"/>
      <c r="XDJ123"/>
      <c r="XDK123"/>
      <c r="XDL123"/>
      <c r="XDM123"/>
      <c r="XDN123"/>
      <c r="XDO123"/>
      <c r="XDP123"/>
      <c r="XDQ123"/>
      <c r="XDR123"/>
      <c r="XDS123"/>
      <c r="XDT123"/>
      <c r="XDU123"/>
      <c r="XDV123"/>
      <c r="XDW123"/>
      <c r="XDX123"/>
      <c r="XDY123"/>
      <c r="XDZ123"/>
      <c r="XEA123"/>
      <c r="XEB123"/>
      <c r="XEC123"/>
      <c r="XED123"/>
      <c r="XEE123"/>
      <c r="XEF123"/>
      <c r="XEG123"/>
      <c r="XEH123"/>
      <c r="XEI123"/>
      <c r="XEJ123"/>
      <c r="XEK123"/>
      <c r="XEL123"/>
      <c r="XEM123"/>
      <c r="XEN123"/>
      <c r="XEO123"/>
      <c r="XEP123"/>
      <c r="XEQ123"/>
      <c r="XER123"/>
      <c r="XES123"/>
      <c r="XET123"/>
      <c r="XEU123"/>
      <c r="XEV123"/>
      <c r="XEW123"/>
      <c r="XEX123"/>
      <c r="XEY123"/>
      <c r="XEZ123"/>
      <c r="XFA123"/>
      <c r="XFB123"/>
      <c r="XFC123"/>
      <c r="XFD123"/>
    </row>
    <row r="124" spans="1:18 16327:16384" s="26" customFormat="1" ht="29.1" customHeight="1" outlineLevel="3" x14ac:dyDescent="0.25">
      <c r="A124" s="42" t="s">
        <v>226</v>
      </c>
      <c r="B124" s="43"/>
      <c r="C124" s="66" t="s">
        <v>227</v>
      </c>
      <c r="D124" s="66"/>
      <c r="E124" s="43" t="s">
        <v>34</v>
      </c>
      <c r="F124" s="44"/>
      <c r="G124" s="43" t="s">
        <v>31</v>
      </c>
      <c r="H124" s="45">
        <v>1</v>
      </c>
      <c r="I124" s="46">
        <f>22</f>
        <v>22</v>
      </c>
      <c r="J124" s="23"/>
      <c r="K124" s="47"/>
      <c r="L124" s="48"/>
      <c r="M124" s="49"/>
      <c r="N124" s="49">
        <f t="shared" si="3"/>
        <v>0</v>
      </c>
      <c r="O124" s="49"/>
      <c r="P124" s="49"/>
      <c r="Q124" s="49"/>
      <c r="R124" s="23"/>
      <c r="XCY124"/>
      <c r="XCZ124"/>
      <c r="XDA124"/>
      <c r="XDB124"/>
      <c r="XDC124"/>
      <c r="XDD124"/>
      <c r="XDE124"/>
      <c r="XDF124"/>
      <c r="XDG124"/>
      <c r="XDH124"/>
      <c r="XDI124"/>
      <c r="XDJ124"/>
      <c r="XDK124"/>
      <c r="XDL124"/>
      <c r="XDM124"/>
      <c r="XDN124"/>
      <c r="XDO124"/>
      <c r="XDP124"/>
      <c r="XDQ124"/>
      <c r="XDR124"/>
      <c r="XDS124"/>
      <c r="XDT124"/>
      <c r="XDU124"/>
      <c r="XDV124"/>
      <c r="XDW124"/>
      <c r="XDX124"/>
      <c r="XDY124"/>
      <c r="XDZ124"/>
      <c r="XEA124"/>
      <c r="XEB124"/>
      <c r="XEC124"/>
      <c r="XED124"/>
      <c r="XEE124"/>
      <c r="XEF124"/>
      <c r="XEG124"/>
      <c r="XEH124"/>
      <c r="XEI124"/>
      <c r="XEJ124"/>
      <c r="XEK124"/>
      <c r="XEL124"/>
      <c r="XEM124"/>
      <c r="XEN124"/>
      <c r="XEO124"/>
      <c r="XEP124"/>
      <c r="XEQ124"/>
      <c r="XER124"/>
      <c r="XES124"/>
      <c r="XET124"/>
      <c r="XEU124"/>
      <c r="XEV124"/>
      <c r="XEW124"/>
      <c r="XEX124"/>
      <c r="XEY124"/>
      <c r="XEZ124"/>
      <c r="XFA124"/>
      <c r="XFB124"/>
      <c r="XFC124"/>
      <c r="XFD124"/>
    </row>
    <row r="125" spans="1:18 16327:16384" s="26" customFormat="1" ht="29.1" customHeight="1" outlineLevel="3" x14ac:dyDescent="0.25">
      <c r="A125" s="42" t="s">
        <v>228</v>
      </c>
      <c r="B125" s="43"/>
      <c r="C125" s="66" t="s">
        <v>229</v>
      </c>
      <c r="D125" s="66"/>
      <c r="E125" s="43" t="s">
        <v>34</v>
      </c>
      <c r="F125" s="44"/>
      <c r="G125" s="43" t="s">
        <v>31</v>
      </c>
      <c r="H125" s="45">
        <v>1</v>
      </c>
      <c r="I125" s="46">
        <f>22</f>
        <v>22</v>
      </c>
      <c r="J125" s="23"/>
      <c r="K125" s="47"/>
      <c r="L125" s="48"/>
      <c r="M125" s="49"/>
      <c r="N125" s="49">
        <f t="shared" si="3"/>
        <v>0</v>
      </c>
      <c r="O125" s="49"/>
      <c r="P125" s="49"/>
      <c r="Q125" s="49"/>
      <c r="R125" s="23"/>
      <c r="XCY125"/>
      <c r="XCZ125"/>
      <c r="XDA125"/>
      <c r="XDB125"/>
      <c r="XDC125"/>
      <c r="XDD125"/>
      <c r="XDE125"/>
      <c r="XDF125"/>
      <c r="XDG125"/>
      <c r="XDH125"/>
      <c r="XDI125"/>
      <c r="XDJ125"/>
      <c r="XDK125"/>
      <c r="XDL125"/>
      <c r="XDM125"/>
      <c r="XDN125"/>
      <c r="XDO125"/>
      <c r="XDP125"/>
      <c r="XDQ125"/>
      <c r="XDR125"/>
      <c r="XDS125"/>
      <c r="XDT125"/>
      <c r="XDU125"/>
      <c r="XDV125"/>
      <c r="XDW125"/>
      <c r="XDX125"/>
      <c r="XDY125"/>
      <c r="XDZ125"/>
      <c r="XEA125"/>
      <c r="XEB125"/>
      <c r="XEC125"/>
      <c r="XED125"/>
      <c r="XEE125"/>
      <c r="XEF125"/>
      <c r="XEG125"/>
      <c r="XEH125"/>
      <c r="XEI125"/>
      <c r="XEJ125"/>
      <c r="XEK125"/>
      <c r="XEL125"/>
      <c r="XEM125"/>
      <c r="XEN125"/>
      <c r="XEO125"/>
      <c r="XEP125"/>
      <c r="XEQ125"/>
      <c r="XER125"/>
      <c r="XES125"/>
      <c r="XET125"/>
      <c r="XEU125"/>
      <c r="XEV125"/>
      <c r="XEW125"/>
      <c r="XEX125"/>
      <c r="XEY125"/>
      <c r="XEZ125"/>
      <c r="XFA125"/>
      <c r="XFB125"/>
      <c r="XFC125"/>
      <c r="XFD125"/>
    </row>
    <row r="126" spans="1:18 16327:16384" s="26" customFormat="1" ht="29.1" customHeight="1" outlineLevel="2" x14ac:dyDescent="0.25">
      <c r="A126" s="34" t="s">
        <v>230</v>
      </c>
      <c r="B126" s="35"/>
      <c r="C126" s="65" t="s">
        <v>231</v>
      </c>
      <c r="D126" s="65"/>
      <c r="E126" s="35"/>
      <c r="F126" s="36"/>
      <c r="G126" s="35" t="s">
        <v>31</v>
      </c>
      <c r="H126" s="37"/>
      <c r="I126" s="38">
        <f>22</f>
        <v>22</v>
      </c>
      <c r="J126" s="23"/>
      <c r="K126" s="39"/>
      <c r="L126" s="40"/>
      <c r="M126" s="41">
        <f>K126+L126</f>
        <v>0</v>
      </c>
      <c r="N126" s="41">
        <f t="shared" si="3"/>
        <v>0</v>
      </c>
      <c r="O126" s="41">
        <f>ROUND((I126*L126),2)</f>
        <v>0</v>
      </c>
      <c r="P126" s="41">
        <f>ROUND((I126*M126),2)</f>
        <v>0</v>
      </c>
      <c r="Q126" s="41"/>
      <c r="R126" s="23"/>
      <c r="XCY126"/>
      <c r="XCZ126"/>
      <c r="XDA126"/>
      <c r="XDB126"/>
      <c r="XDC126"/>
      <c r="XDD126"/>
      <c r="XDE126"/>
      <c r="XDF126"/>
      <c r="XDG126"/>
      <c r="XDH126"/>
      <c r="XDI126"/>
      <c r="XDJ126"/>
      <c r="XDK126"/>
      <c r="XDL126"/>
      <c r="XDM126"/>
      <c r="XDN126"/>
      <c r="XDO126"/>
      <c r="XDP126"/>
      <c r="XDQ126"/>
      <c r="XDR126"/>
      <c r="XDS126"/>
      <c r="XDT126"/>
      <c r="XDU126"/>
      <c r="XDV126"/>
      <c r="XDW126"/>
      <c r="XDX126"/>
      <c r="XDY126"/>
      <c r="XDZ126"/>
      <c r="XEA126"/>
      <c r="XEB126"/>
      <c r="XEC126"/>
      <c r="XED126"/>
      <c r="XEE126"/>
      <c r="XEF126"/>
      <c r="XEG126"/>
      <c r="XEH126"/>
      <c r="XEI126"/>
      <c r="XEJ126"/>
      <c r="XEK126"/>
      <c r="XEL126"/>
      <c r="XEM126"/>
      <c r="XEN126"/>
      <c r="XEO126"/>
      <c r="XEP126"/>
      <c r="XEQ126"/>
      <c r="XER126"/>
      <c r="XES126"/>
      <c r="XET126"/>
      <c r="XEU126"/>
      <c r="XEV126"/>
      <c r="XEW126"/>
      <c r="XEX126"/>
      <c r="XEY126"/>
      <c r="XEZ126"/>
      <c r="XFA126"/>
      <c r="XFB126"/>
      <c r="XFC126"/>
      <c r="XFD126"/>
    </row>
    <row r="127" spans="1:18 16327:16384" s="26" customFormat="1" ht="29.1" customHeight="1" outlineLevel="3" x14ac:dyDescent="0.25">
      <c r="A127" s="42" t="s">
        <v>232</v>
      </c>
      <c r="B127" s="43"/>
      <c r="C127" s="66" t="s">
        <v>233</v>
      </c>
      <c r="D127" s="66"/>
      <c r="E127" s="43" t="s">
        <v>34</v>
      </c>
      <c r="F127" s="44"/>
      <c r="G127" s="43" t="s">
        <v>31</v>
      </c>
      <c r="H127" s="45">
        <v>1</v>
      </c>
      <c r="I127" s="46">
        <f>22</f>
        <v>22</v>
      </c>
      <c r="J127" s="23"/>
      <c r="K127" s="47"/>
      <c r="L127" s="48"/>
      <c r="M127" s="49"/>
      <c r="N127" s="49">
        <f t="shared" si="3"/>
        <v>0</v>
      </c>
      <c r="O127" s="49"/>
      <c r="P127" s="49"/>
      <c r="Q127" s="49"/>
      <c r="R127" s="23"/>
      <c r="XCY127"/>
      <c r="XCZ127"/>
      <c r="XDA127"/>
      <c r="XDB127"/>
      <c r="XDC127"/>
      <c r="XDD127"/>
      <c r="XDE127"/>
      <c r="XDF127"/>
      <c r="XDG127"/>
      <c r="XDH127"/>
      <c r="XDI127"/>
      <c r="XDJ127"/>
      <c r="XDK127"/>
      <c r="XDL127"/>
      <c r="XDM127"/>
      <c r="XDN127"/>
      <c r="XDO127"/>
      <c r="XDP127"/>
      <c r="XDQ127"/>
      <c r="XDR127"/>
      <c r="XDS127"/>
      <c r="XDT127"/>
      <c r="XDU127"/>
      <c r="XDV127"/>
      <c r="XDW127"/>
      <c r="XDX127"/>
      <c r="XDY127"/>
      <c r="XDZ127"/>
      <c r="XEA127"/>
      <c r="XEB127"/>
      <c r="XEC127"/>
      <c r="XED127"/>
      <c r="XEE127"/>
      <c r="XEF127"/>
      <c r="XEG127"/>
      <c r="XEH127"/>
      <c r="XEI127"/>
      <c r="XEJ127"/>
      <c r="XEK127"/>
      <c r="XEL127"/>
      <c r="XEM127"/>
      <c r="XEN127"/>
      <c r="XEO127"/>
      <c r="XEP127"/>
      <c r="XEQ127"/>
      <c r="XER127"/>
      <c r="XES127"/>
      <c r="XET127"/>
      <c r="XEU127"/>
      <c r="XEV127"/>
      <c r="XEW127"/>
      <c r="XEX127"/>
      <c r="XEY127"/>
      <c r="XEZ127"/>
      <c r="XFA127"/>
      <c r="XFB127"/>
      <c r="XFC127"/>
      <c r="XFD127"/>
    </row>
    <row r="128" spans="1:18 16327:16384" s="26" customFormat="1" ht="29.1" customHeight="1" outlineLevel="2" x14ac:dyDescent="0.25">
      <c r="A128" s="34" t="s">
        <v>234</v>
      </c>
      <c r="B128" s="35"/>
      <c r="C128" s="65" t="s">
        <v>235</v>
      </c>
      <c r="D128" s="65"/>
      <c r="E128" s="35"/>
      <c r="F128" s="36"/>
      <c r="G128" s="35" t="s">
        <v>31</v>
      </c>
      <c r="H128" s="37"/>
      <c r="I128" s="38">
        <f>8</f>
        <v>8</v>
      </c>
      <c r="J128" s="23"/>
      <c r="K128" s="39"/>
      <c r="L128" s="40"/>
      <c r="M128" s="41">
        <f>K128+L128</f>
        <v>0</v>
      </c>
      <c r="N128" s="41">
        <f t="shared" si="3"/>
        <v>0</v>
      </c>
      <c r="O128" s="41">
        <f>ROUND((I128*L128),2)</f>
        <v>0</v>
      </c>
      <c r="P128" s="41">
        <f>ROUND((I128*M128),2)</f>
        <v>0</v>
      </c>
      <c r="Q128" s="41"/>
      <c r="R128" s="23"/>
      <c r="XCY128"/>
      <c r="XCZ128"/>
      <c r="XDA128"/>
      <c r="XDB128"/>
      <c r="XDC128"/>
      <c r="XDD128"/>
      <c r="XDE128"/>
      <c r="XDF128"/>
      <c r="XDG128"/>
      <c r="XDH128"/>
      <c r="XDI128"/>
      <c r="XDJ128"/>
      <c r="XDK128"/>
      <c r="XDL128"/>
      <c r="XDM128"/>
      <c r="XDN128"/>
      <c r="XDO128"/>
      <c r="XDP128"/>
      <c r="XDQ128"/>
      <c r="XDR128"/>
      <c r="XDS128"/>
      <c r="XDT128"/>
      <c r="XDU128"/>
      <c r="XDV128"/>
      <c r="XDW128"/>
      <c r="XDX128"/>
      <c r="XDY128"/>
      <c r="XDZ128"/>
      <c r="XEA128"/>
      <c r="XEB128"/>
      <c r="XEC128"/>
      <c r="XED128"/>
      <c r="XEE128"/>
      <c r="XEF128"/>
      <c r="XEG128"/>
      <c r="XEH128"/>
      <c r="XEI128"/>
      <c r="XEJ128"/>
      <c r="XEK128"/>
      <c r="XEL128"/>
      <c r="XEM128"/>
      <c r="XEN128"/>
      <c r="XEO128"/>
      <c r="XEP128"/>
      <c r="XEQ128"/>
      <c r="XER128"/>
      <c r="XES128"/>
      <c r="XET128"/>
      <c r="XEU128"/>
      <c r="XEV128"/>
      <c r="XEW128"/>
      <c r="XEX128"/>
      <c r="XEY128"/>
      <c r="XEZ128"/>
      <c r="XFA128"/>
      <c r="XFB128"/>
      <c r="XFC128"/>
      <c r="XFD128"/>
    </row>
    <row r="129" spans="1:18 16327:16384" s="26" customFormat="1" ht="29.1" customHeight="1" outlineLevel="3" x14ac:dyDescent="0.25">
      <c r="A129" s="42" t="s">
        <v>236</v>
      </c>
      <c r="B129" s="43"/>
      <c r="C129" s="66" t="s">
        <v>237</v>
      </c>
      <c r="D129" s="66"/>
      <c r="E129" s="43" t="s">
        <v>34</v>
      </c>
      <c r="F129" s="44"/>
      <c r="G129" s="43" t="s">
        <v>31</v>
      </c>
      <c r="H129" s="45">
        <v>1</v>
      </c>
      <c r="I129" s="46">
        <f>8</f>
        <v>8</v>
      </c>
      <c r="J129" s="23"/>
      <c r="K129" s="47"/>
      <c r="L129" s="48"/>
      <c r="M129" s="49"/>
      <c r="N129" s="49">
        <f t="shared" si="3"/>
        <v>0</v>
      </c>
      <c r="O129" s="49"/>
      <c r="P129" s="49"/>
      <c r="Q129" s="49"/>
      <c r="R129" s="23"/>
      <c r="XCY129"/>
      <c r="XCZ129"/>
      <c r="XDA129"/>
      <c r="XDB129"/>
      <c r="XDC129"/>
      <c r="XDD129"/>
      <c r="XDE129"/>
      <c r="XDF129"/>
      <c r="XDG129"/>
      <c r="XDH129"/>
      <c r="XDI129"/>
      <c r="XDJ129"/>
      <c r="XDK129"/>
      <c r="XDL129"/>
      <c r="XDM129"/>
      <c r="XDN129"/>
      <c r="XDO129"/>
      <c r="XDP129"/>
      <c r="XDQ129"/>
      <c r="XDR129"/>
      <c r="XDS129"/>
      <c r="XDT129"/>
      <c r="XDU129"/>
      <c r="XDV129"/>
      <c r="XDW129"/>
      <c r="XDX129"/>
      <c r="XDY129"/>
      <c r="XDZ129"/>
      <c r="XEA129"/>
      <c r="XEB129"/>
      <c r="XEC129"/>
      <c r="XED129"/>
      <c r="XEE129"/>
      <c r="XEF129"/>
      <c r="XEG129"/>
      <c r="XEH129"/>
      <c r="XEI129"/>
      <c r="XEJ129"/>
      <c r="XEK129"/>
      <c r="XEL129"/>
      <c r="XEM129"/>
      <c r="XEN129"/>
      <c r="XEO129"/>
      <c r="XEP129"/>
      <c r="XEQ129"/>
      <c r="XER129"/>
      <c r="XES129"/>
      <c r="XET129"/>
      <c r="XEU129"/>
      <c r="XEV129"/>
      <c r="XEW129"/>
      <c r="XEX129"/>
      <c r="XEY129"/>
      <c r="XEZ129"/>
      <c r="XFA129"/>
      <c r="XFB129"/>
      <c r="XFC129"/>
      <c r="XFD129"/>
    </row>
    <row r="130" spans="1:18 16327:16384" s="26" customFormat="1" ht="29.1" customHeight="1" outlineLevel="2" x14ac:dyDescent="0.25">
      <c r="A130" s="34" t="s">
        <v>238</v>
      </c>
      <c r="B130" s="35"/>
      <c r="C130" s="65" t="s">
        <v>239</v>
      </c>
      <c r="D130" s="65"/>
      <c r="E130" s="35"/>
      <c r="F130" s="36"/>
      <c r="G130" s="35" t="s">
        <v>31</v>
      </c>
      <c r="H130" s="37"/>
      <c r="I130" s="38">
        <f>8</f>
        <v>8</v>
      </c>
      <c r="J130" s="23"/>
      <c r="K130" s="39"/>
      <c r="L130" s="40"/>
      <c r="M130" s="41">
        <f>K130+L130</f>
        <v>0</v>
      </c>
      <c r="N130" s="41">
        <f t="shared" si="3"/>
        <v>0</v>
      </c>
      <c r="O130" s="41">
        <f>ROUND((I130*L130),2)</f>
        <v>0</v>
      </c>
      <c r="P130" s="41">
        <f>ROUND((I130*M130),2)</f>
        <v>0</v>
      </c>
      <c r="Q130" s="41"/>
      <c r="R130" s="23"/>
      <c r="XCY130"/>
      <c r="XCZ130"/>
      <c r="XDA130"/>
      <c r="XDB130"/>
      <c r="XDC130"/>
      <c r="XDD130"/>
      <c r="XDE130"/>
      <c r="XDF130"/>
      <c r="XDG130"/>
      <c r="XDH130"/>
      <c r="XDI130"/>
      <c r="XDJ130"/>
      <c r="XDK130"/>
      <c r="XDL130"/>
      <c r="XDM130"/>
      <c r="XDN130"/>
      <c r="XDO130"/>
      <c r="XDP130"/>
      <c r="XDQ130"/>
      <c r="XDR130"/>
      <c r="XDS130"/>
      <c r="XDT130"/>
      <c r="XDU130"/>
      <c r="XDV130"/>
      <c r="XDW130"/>
      <c r="XDX130"/>
      <c r="XDY130"/>
      <c r="XDZ130"/>
      <c r="XEA130"/>
      <c r="XEB130"/>
      <c r="XEC130"/>
      <c r="XED130"/>
      <c r="XEE130"/>
      <c r="XEF130"/>
      <c r="XEG130"/>
      <c r="XEH130"/>
      <c r="XEI130"/>
      <c r="XEJ130"/>
      <c r="XEK130"/>
      <c r="XEL130"/>
      <c r="XEM130"/>
      <c r="XEN130"/>
      <c r="XEO130"/>
      <c r="XEP130"/>
      <c r="XEQ130"/>
      <c r="XER130"/>
      <c r="XES130"/>
      <c r="XET130"/>
      <c r="XEU130"/>
      <c r="XEV130"/>
      <c r="XEW130"/>
      <c r="XEX130"/>
      <c r="XEY130"/>
      <c r="XEZ130"/>
      <c r="XFA130"/>
      <c r="XFB130"/>
      <c r="XFC130"/>
      <c r="XFD130"/>
    </row>
    <row r="131" spans="1:18 16327:16384" s="26" customFormat="1" ht="29.1" customHeight="1" outlineLevel="3" x14ac:dyDescent="0.25">
      <c r="A131" s="42" t="s">
        <v>240</v>
      </c>
      <c r="B131" s="43"/>
      <c r="C131" s="66" t="s">
        <v>241</v>
      </c>
      <c r="D131" s="66"/>
      <c r="E131" s="43" t="s">
        <v>34</v>
      </c>
      <c r="F131" s="44"/>
      <c r="G131" s="43" t="s">
        <v>31</v>
      </c>
      <c r="H131" s="45">
        <v>1</v>
      </c>
      <c r="I131" s="46">
        <f>8</f>
        <v>8</v>
      </c>
      <c r="J131" s="23"/>
      <c r="K131" s="47"/>
      <c r="L131" s="48"/>
      <c r="M131" s="49"/>
      <c r="N131" s="49">
        <f t="shared" si="3"/>
        <v>0</v>
      </c>
      <c r="O131" s="49"/>
      <c r="P131" s="49"/>
      <c r="Q131" s="49"/>
      <c r="R131" s="23"/>
      <c r="XCY131"/>
      <c r="XCZ131"/>
      <c r="XDA131"/>
      <c r="XDB131"/>
      <c r="XDC131"/>
      <c r="XDD131"/>
      <c r="XDE131"/>
      <c r="XDF131"/>
      <c r="XDG131"/>
      <c r="XDH131"/>
      <c r="XDI131"/>
      <c r="XDJ131"/>
      <c r="XDK131"/>
      <c r="XDL131"/>
      <c r="XDM131"/>
      <c r="XDN131"/>
      <c r="XDO131"/>
      <c r="XDP131"/>
      <c r="XDQ131"/>
      <c r="XDR131"/>
      <c r="XDS131"/>
      <c r="XDT131"/>
      <c r="XDU131"/>
      <c r="XDV131"/>
      <c r="XDW131"/>
      <c r="XDX131"/>
      <c r="XDY131"/>
      <c r="XDZ131"/>
      <c r="XEA131"/>
      <c r="XEB131"/>
      <c r="XEC131"/>
      <c r="XED131"/>
      <c r="XEE131"/>
      <c r="XEF131"/>
      <c r="XEG131"/>
      <c r="XEH131"/>
      <c r="XEI131"/>
      <c r="XEJ131"/>
      <c r="XEK131"/>
      <c r="XEL131"/>
      <c r="XEM131"/>
      <c r="XEN131"/>
      <c r="XEO131"/>
      <c r="XEP131"/>
      <c r="XEQ131"/>
      <c r="XER131"/>
      <c r="XES131"/>
      <c r="XET131"/>
      <c r="XEU131"/>
      <c r="XEV131"/>
      <c r="XEW131"/>
      <c r="XEX131"/>
      <c r="XEY131"/>
      <c r="XEZ131"/>
      <c r="XFA131"/>
      <c r="XFB131"/>
      <c r="XFC131"/>
      <c r="XFD131"/>
    </row>
    <row r="132" spans="1:18 16327:16384" s="26" customFormat="1" ht="29.1" customHeight="1" outlineLevel="2" x14ac:dyDescent="0.25">
      <c r="A132" s="34" t="s">
        <v>242</v>
      </c>
      <c r="B132" s="35"/>
      <c r="C132" s="65" t="s">
        <v>50</v>
      </c>
      <c r="D132" s="65"/>
      <c r="E132" s="35"/>
      <c r="F132" s="36"/>
      <c r="G132" s="35" t="s">
        <v>31</v>
      </c>
      <c r="H132" s="37"/>
      <c r="I132" s="38">
        <f>22</f>
        <v>22</v>
      </c>
      <c r="J132" s="23"/>
      <c r="K132" s="39"/>
      <c r="L132" s="40"/>
      <c r="M132" s="41">
        <f>K132+L132</f>
        <v>0</v>
      </c>
      <c r="N132" s="41">
        <f t="shared" si="3"/>
        <v>0</v>
      </c>
      <c r="O132" s="41">
        <f>ROUND((I132*L132),2)</f>
        <v>0</v>
      </c>
      <c r="P132" s="41">
        <f>ROUND((I132*M132),2)</f>
        <v>0</v>
      </c>
      <c r="Q132" s="41"/>
      <c r="R132" s="23"/>
      <c r="XCY132"/>
      <c r="XCZ132"/>
      <c r="XDA132"/>
      <c r="XDB132"/>
      <c r="XDC132"/>
      <c r="XDD132"/>
      <c r="XDE132"/>
      <c r="XDF132"/>
      <c r="XDG132"/>
      <c r="XDH132"/>
      <c r="XDI132"/>
      <c r="XDJ132"/>
      <c r="XDK132"/>
      <c r="XDL132"/>
      <c r="XDM132"/>
      <c r="XDN132"/>
      <c r="XDO132"/>
      <c r="XDP132"/>
      <c r="XDQ132"/>
      <c r="XDR132"/>
      <c r="XDS132"/>
      <c r="XDT132"/>
      <c r="XDU132"/>
      <c r="XDV132"/>
      <c r="XDW132"/>
      <c r="XDX132"/>
      <c r="XDY132"/>
      <c r="XDZ132"/>
      <c r="XEA132"/>
      <c r="XEB132"/>
      <c r="XEC132"/>
      <c r="XED132"/>
      <c r="XEE132"/>
      <c r="XEF132"/>
      <c r="XEG132"/>
      <c r="XEH132"/>
      <c r="XEI132"/>
      <c r="XEJ132"/>
      <c r="XEK132"/>
      <c r="XEL132"/>
      <c r="XEM132"/>
      <c r="XEN132"/>
      <c r="XEO132"/>
      <c r="XEP132"/>
      <c r="XEQ132"/>
      <c r="XER132"/>
      <c r="XES132"/>
      <c r="XET132"/>
      <c r="XEU132"/>
      <c r="XEV132"/>
      <c r="XEW132"/>
      <c r="XEX132"/>
      <c r="XEY132"/>
      <c r="XEZ132"/>
      <c r="XFA132"/>
      <c r="XFB132"/>
      <c r="XFC132"/>
      <c r="XFD132"/>
    </row>
    <row r="133" spans="1:18 16327:16384" s="26" customFormat="1" ht="29.1" customHeight="1" outlineLevel="3" x14ac:dyDescent="0.25">
      <c r="A133" s="42" t="s">
        <v>243</v>
      </c>
      <c r="B133" s="43"/>
      <c r="C133" s="66" t="s">
        <v>244</v>
      </c>
      <c r="D133" s="66"/>
      <c r="E133" s="43" t="s">
        <v>34</v>
      </c>
      <c r="F133" s="44"/>
      <c r="G133" s="43" t="s">
        <v>31</v>
      </c>
      <c r="H133" s="45">
        <v>1</v>
      </c>
      <c r="I133" s="46">
        <f>22</f>
        <v>22</v>
      </c>
      <c r="J133" s="23"/>
      <c r="K133" s="47"/>
      <c r="L133" s="48"/>
      <c r="M133" s="49"/>
      <c r="N133" s="49">
        <f t="shared" si="3"/>
        <v>0</v>
      </c>
      <c r="O133" s="49"/>
      <c r="P133" s="49"/>
      <c r="Q133" s="49"/>
      <c r="R133" s="23"/>
      <c r="XCY133"/>
      <c r="XCZ133"/>
      <c r="XDA133"/>
      <c r="XDB133"/>
      <c r="XDC133"/>
      <c r="XDD133"/>
      <c r="XDE133"/>
      <c r="XDF133"/>
      <c r="XDG133"/>
      <c r="XDH133"/>
      <c r="XDI133"/>
      <c r="XDJ133"/>
      <c r="XDK133"/>
      <c r="XDL133"/>
      <c r="XDM133"/>
      <c r="XDN133"/>
      <c r="XDO133"/>
      <c r="XDP133"/>
      <c r="XDQ133"/>
      <c r="XDR133"/>
      <c r="XDS133"/>
      <c r="XDT133"/>
      <c r="XDU133"/>
      <c r="XDV133"/>
      <c r="XDW133"/>
      <c r="XDX133"/>
      <c r="XDY133"/>
      <c r="XDZ133"/>
      <c r="XEA133"/>
      <c r="XEB133"/>
      <c r="XEC133"/>
      <c r="XED133"/>
      <c r="XEE133"/>
      <c r="XEF133"/>
      <c r="XEG133"/>
      <c r="XEH133"/>
      <c r="XEI133"/>
      <c r="XEJ133"/>
      <c r="XEK133"/>
      <c r="XEL133"/>
      <c r="XEM133"/>
      <c r="XEN133"/>
      <c r="XEO133"/>
      <c r="XEP133"/>
      <c r="XEQ133"/>
      <c r="XER133"/>
      <c r="XES133"/>
      <c r="XET133"/>
      <c r="XEU133"/>
      <c r="XEV133"/>
      <c r="XEW133"/>
      <c r="XEX133"/>
      <c r="XEY133"/>
      <c r="XEZ133"/>
      <c r="XFA133"/>
      <c r="XFB133"/>
      <c r="XFC133"/>
      <c r="XFD133"/>
    </row>
    <row r="134" spans="1:18 16327:16384" s="26" customFormat="1" ht="29.1" customHeight="1" outlineLevel="2" x14ac:dyDescent="0.25">
      <c r="A134" s="34" t="s">
        <v>245</v>
      </c>
      <c r="B134" s="35"/>
      <c r="C134" s="65" t="s">
        <v>50</v>
      </c>
      <c r="D134" s="65"/>
      <c r="E134" s="35"/>
      <c r="F134" s="36"/>
      <c r="G134" s="35" t="s">
        <v>31</v>
      </c>
      <c r="H134" s="37"/>
      <c r="I134" s="38">
        <f>268</f>
        <v>268</v>
      </c>
      <c r="J134" s="23"/>
      <c r="K134" s="39"/>
      <c r="L134" s="40"/>
      <c r="M134" s="41">
        <f>K134+L134</f>
        <v>0</v>
      </c>
      <c r="N134" s="41">
        <f t="shared" si="3"/>
        <v>0</v>
      </c>
      <c r="O134" s="41">
        <f>ROUND((I134*L134),2)</f>
        <v>0</v>
      </c>
      <c r="P134" s="41">
        <f>ROUND((I134*M134),2)</f>
        <v>0</v>
      </c>
      <c r="Q134" s="41"/>
      <c r="R134" s="23"/>
      <c r="XCY134"/>
      <c r="XCZ134"/>
      <c r="XDA134"/>
      <c r="XDB134"/>
      <c r="XDC134"/>
      <c r="XDD134"/>
      <c r="XDE134"/>
      <c r="XDF134"/>
      <c r="XDG134"/>
      <c r="XDH134"/>
      <c r="XDI134"/>
      <c r="XDJ134"/>
      <c r="XDK134"/>
      <c r="XDL134"/>
      <c r="XDM134"/>
      <c r="XDN134"/>
      <c r="XDO134"/>
      <c r="XDP134"/>
      <c r="XDQ134"/>
      <c r="XDR134"/>
      <c r="XDS134"/>
      <c r="XDT134"/>
      <c r="XDU134"/>
      <c r="XDV134"/>
      <c r="XDW134"/>
      <c r="XDX134"/>
      <c r="XDY134"/>
      <c r="XDZ134"/>
      <c r="XEA134"/>
      <c r="XEB134"/>
      <c r="XEC134"/>
      <c r="XED134"/>
      <c r="XEE134"/>
      <c r="XEF134"/>
      <c r="XEG134"/>
      <c r="XEH134"/>
      <c r="XEI134"/>
      <c r="XEJ134"/>
      <c r="XEK134"/>
      <c r="XEL134"/>
      <c r="XEM134"/>
      <c r="XEN134"/>
      <c r="XEO134"/>
      <c r="XEP134"/>
      <c r="XEQ134"/>
      <c r="XER134"/>
      <c r="XES134"/>
      <c r="XET134"/>
      <c r="XEU134"/>
      <c r="XEV134"/>
      <c r="XEW134"/>
      <c r="XEX134"/>
      <c r="XEY134"/>
      <c r="XEZ134"/>
      <c r="XFA134"/>
      <c r="XFB134"/>
      <c r="XFC134"/>
      <c r="XFD134"/>
    </row>
    <row r="135" spans="1:18 16327:16384" s="26" customFormat="1" ht="29.1" customHeight="1" outlineLevel="3" x14ac:dyDescent="0.25">
      <c r="A135" s="42" t="s">
        <v>246</v>
      </c>
      <c r="B135" s="43"/>
      <c r="C135" s="66" t="s">
        <v>247</v>
      </c>
      <c r="D135" s="66"/>
      <c r="E135" s="43" t="s">
        <v>34</v>
      </c>
      <c r="F135" s="44"/>
      <c r="G135" s="43" t="s">
        <v>31</v>
      </c>
      <c r="H135" s="45">
        <v>1</v>
      </c>
      <c r="I135" s="46">
        <f>268</f>
        <v>268</v>
      </c>
      <c r="J135" s="23"/>
      <c r="K135" s="47"/>
      <c r="L135" s="48"/>
      <c r="M135" s="49"/>
      <c r="N135" s="49">
        <f t="shared" si="3"/>
        <v>0</v>
      </c>
      <c r="O135" s="49"/>
      <c r="P135" s="49"/>
      <c r="Q135" s="49"/>
      <c r="R135" s="23"/>
      <c r="XCY135"/>
      <c r="XCZ135"/>
      <c r="XDA135"/>
      <c r="XDB135"/>
      <c r="XDC135"/>
      <c r="XDD135"/>
      <c r="XDE135"/>
      <c r="XDF135"/>
      <c r="XDG135"/>
      <c r="XDH135"/>
      <c r="XDI135"/>
      <c r="XDJ135"/>
      <c r="XDK135"/>
      <c r="XDL135"/>
      <c r="XDM135"/>
      <c r="XDN135"/>
      <c r="XDO135"/>
      <c r="XDP135"/>
      <c r="XDQ135"/>
      <c r="XDR135"/>
      <c r="XDS135"/>
      <c r="XDT135"/>
      <c r="XDU135"/>
      <c r="XDV135"/>
      <c r="XDW135"/>
      <c r="XDX135"/>
      <c r="XDY135"/>
      <c r="XDZ135"/>
      <c r="XEA135"/>
      <c r="XEB135"/>
      <c r="XEC135"/>
      <c r="XED135"/>
      <c r="XEE135"/>
      <c r="XEF135"/>
      <c r="XEG135"/>
      <c r="XEH135"/>
      <c r="XEI135"/>
      <c r="XEJ135"/>
      <c r="XEK135"/>
      <c r="XEL135"/>
      <c r="XEM135"/>
      <c r="XEN135"/>
      <c r="XEO135"/>
      <c r="XEP135"/>
      <c r="XEQ135"/>
      <c r="XER135"/>
      <c r="XES135"/>
      <c r="XET135"/>
      <c r="XEU135"/>
      <c r="XEV135"/>
      <c r="XEW135"/>
      <c r="XEX135"/>
      <c r="XEY135"/>
      <c r="XEZ135"/>
      <c r="XFA135"/>
      <c r="XFB135"/>
      <c r="XFC135"/>
      <c r="XFD135"/>
    </row>
    <row r="136" spans="1:18 16327:16384" s="26" customFormat="1" ht="29.1" customHeight="1" outlineLevel="2" x14ac:dyDescent="0.25">
      <c r="A136" s="34" t="s">
        <v>248</v>
      </c>
      <c r="B136" s="35"/>
      <c r="C136" s="65" t="s">
        <v>64</v>
      </c>
      <c r="D136" s="65"/>
      <c r="E136" s="35"/>
      <c r="F136" s="36"/>
      <c r="G136" s="35" t="s">
        <v>65</v>
      </c>
      <c r="H136" s="37"/>
      <c r="I136" s="38">
        <f>1879</f>
        <v>1879</v>
      </c>
      <c r="J136" s="23"/>
      <c r="K136" s="39"/>
      <c r="L136" s="40"/>
      <c r="M136" s="41"/>
      <c r="N136" s="41"/>
      <c r="O136" s="41"/>
      <c r="P136" s="41"/>
      <c r="Q136" s="41"/>
      <c r="R136" s="23"/>
      <c r="XCY136"/>
      <c r="XCZ136"/>
      <c r="XDA136"/>
      <c r="XDB136"/>
      <c r="XDC136"/>
      <c r="XDD136"/>
      <c r="XDE136"/>
      <c r="XDF136"/>
      <c r="XDG136"/>
      <c r="XDH136"/>
      <c r="XDI136"/>
      <c r="XDJ136"/>
      <c r="XDK136"/>
      <c r="XDL136"/>
      <c r="XDM136"/>
      <c r="XDN136"/>
      <c r="XDO136"/>
      <c r="XDP136"/>
      <c r="XDQ136"/>
      <c r="XDR136"/>
      <c r="XDS136"/>
      <c r="XDT136"/>
      <c r="XDU136"/>
      <c r="XDV136"/>
      <c r="XDW136"/>
      <c r="XDX136"/>
      <c r="XDY136"/>
      <c r="XDZ136"/>
      <c r="XEA136"/>
      <c r="XEB136"/>
      <c r="XEC136"/>
      <c r="XED136"/>
      <c r="XEE136"/>
      <c r="XEF136"/>
      <c r="XEG136"/>
      <c r="XEH136"/>
      <c r="XEI136"/>
      <c r="XEJ136"/>
      <c r="XEK136"/>
      <c r="XEL136"/>
      <c r="XEM136"/>
      <c r="XEN136"/>
      <c r="XEO136"/>
      <c r="XEP136"/>
      <c r="XEQ136"/>
      <c r="XER136"/>
      <c r="XES136"/>
      <c r="XET136"/>
      <c r="XEU136"/>
      <c r="XEV136"/>
      <c r="XEW136"/>
      <c r="XEX136"/>
      <c r="XEY136"/>
      <c r="XEZ136"/>
      <c r="XFA136"/>
      <c r="XFB136"/>
      <c r="XFC136"/>
      <c r="XFD136"/>
    </row>
    <row r="137" spans="1:18 16327:16384" s="26" customFormat="1" ht="29.1" customHeight="1" outlineLevel="3" x14ac:dyDescent="0.25">
      <c r="A137" s="42" t="s">
        <v>249</v>
      </c>
      <c r="B137" s="43"/>
      <c r="C137" s="66" t="s">
        <v>250</v>
      </c>
      <c r="D137" s="66"/>
      <c r="E137" s="43" t="s">
        <v>34</v>
      </c>
      <c r="F137" s="44"/>
      <c r="G137" s="43" t="s">
        <v>65</v>
      </c>
      <c r="H137" s="45">
        <v>1.02</v>
      </c>
      <c r="I137" s="46">
        <f>1916.58</f>
        <v>1916.58</v>
      </c>
      <c r="J137" s="23"/>
      <c r="K137" s="47"/>
      <c r="L137" s="48"/>
      <c r="M137" s="49"/>
      <c r="N137" s="49">
        <f t="shared" si="3"/>
        <v>0</v>
      </c>
      <c r="O137" s="49"/>
      <c r="P137" s="49"/>
      <c r="Q137" s="49"/>
      <c r="R137" s="23"/>
      <c r="XCY137"/>
      <c r="XCZ137"/>
      <c r="XDA137"/>
      <c r="XDB137"/>
      <c r="XDC137"/>
      <c r="XDD137"/>
      <c r="XDE137"/>
      <c r="XDF137"/>
      <c r="XDG137"/>
      <c r="XDH137"/>
      <c r="XDI137"/>
      <c r="XDJ137"/>
      <c r="XDK137"/>
      <c r="XDL137"/>
      <c r="XDM137"/>
      <c r="XDN137"/>
      <c r="XDO137"/>
      <c r="XDP137"/>
      <c r="XDQ137"/>
      <c r="XDR137"/>
      <c r="XDS137"/>
      <c r="XDT137"/>
      <c r="XDU137"/>
      <c r="XDV137"/>
      <c r="XDW137"/>
      <c r="XDX137"/>
      <c r="XDY137"/>
      <c r="XDZ137"/>
      <c r="XEA137"/>
      <c r="XEB137"/>
      <c r="XEC137"/>
      <c r="XED137"/>
      <c r="XEE137"/>
      <c r="XEF137"/>
      <c r="XEG137"/>
      <c r="XEH137"/>
      <c r="XEI137"/>
      <c r="XEJ137"/>
      <c r="XEK137"/>
      <c r="XEL137"/>
      <c r="XEM137"/>
      <c r="XEN137"/>
      <c r="XEO137"/>
      <c r="XEP137"/>
      <c r="XEQ137"/>
      <c r="XER137"/>
      <c r="XES137"/>
      <c r="XET137"/>
      <c r="XEU137"/>
      <c r="XEV137"/>
      <c r="XEW137"/>
      <c r="XEX137"/>
      <c r="XEY137"/>
      <c r="XEZ137"/>
      <c r="XFA137"/>
      <c r="XFB137"/>
      <c r="XFC137"/>
      <c r="XFD137"/>
    </row>
    <row r="138" spans="1:18 16327:16384" s="26" customFormat="1" ht="29.1" customHeight="1" outlineLevel="2" x14ac:dyDescent="0.25">
      <c r="A138" s="34" t="s">
        <v>251</v>
      </c>
      <c r="B138" s="35"/>
      <c r="C138" s="65" t="s">
        <v>69</v>
      </c>
      <c r="D138" s="65"/>
      <c r="E138" s="35"/>
      <c r="F138" s="36"/>
      <c r="G138" s="35" t="s">
        <v>65</v>
      </c>
      <c r="H138" s="37"/>
      <c r="I138" s="38">
        <f>2697</f>
        <v>2697</v>
      </c>
      <c r="J138" s="23"/>
      <c r="K138" s="39"/>
      <c r="L138" s="40"/>
      <c r="M138" s="41"/>
      <c r="N138" s="41"/>
      <c r="O138" s="41"/>
      <c r="P138" s="41"/>
      <c r="Q138" s="41"/>
      <c r="R138" s="23"/>
      <c r="XCY138"/>
      <c r="XCZ138"/>
      <c r="XDA138"/>
      <c r="XDB138"/>
      <c r="XDC138"/>
      <c r="XDD138"/>
      <c r="XDE138"/>
      <c r="XDF138"/>
      <c r="XDG138"/>
      <c r="XDH138"/>
      <c r="XDI138"/>
      <c r="XDJ138"/>
      <c r="XDK138"/>
      <c r="XDL138"/>
      <c r="XDM138"/>
      <c r="XDN138"/>
      <c r="XDO138"/>
      <c r="XDP138"/>
      <c r="XDQ138"/>
      <c r="XDR138"/>
      <c r="XDS138"/>
      <c r="XDT138"/>
      <c r="XDU138"/>
      <c r="XDV138"/>
      <c r="XDW138"/>
      <c r="XDX138"/>
      <c r="XDY138"/>
      <c r="XDZ138"/>
      <c r="XEA138"/>
      <c r="XEB138"/>
      <c r="XEC138"/>
      <c r="XED138"/>
      <c r="XEE138"/>
      <c r="XEF138"/>
      <c r="XEG138"/>
      <c r="XEH138"/>
      <c r="XEI138"/>
      <c r="XEJ138"/>
      <c r="XEK138"/>
      <c r="XEL138"/>
      <c r="XEM138"/>
      <c r="XEN138"/>
      <c r="XEO138"/>
      <c r="XEP138"/>
      <c r="XEQ138"/>
      <c r="XER138"/>
      <c r="XES138"/>
      <c r="XET138"/>
      <c r="XEU138"/>
      <c r="XEV138"/>
      <c r="XEW138"/>
      <c r="XEX138"/>
      <c r="XEY138"/>
      <c r="XEZ138"/>
      <c r="XFA138"/>
      <c r="XFB138"/>
      <c r="XFC138"/>
      <c r="XFD138"/>
    </row>
    <row r="139" spans="1:18 16327:16384" s="26" customFormat="1" ht="29.1" customHeight="1" outlineLevel="3" x14ac:dyDescent="0.25">
      <c r="A139" s="42" t="s">
        <v>252</v>
      </c>
      <c r="B139" s="43"/>
      <c r="C139" s="66" t="s">
        <v>253</v>
      </c>
      <c r="D139" s="66"/>
      <c r="E139" s="43" t="s">
        <v>34</v>
      </c>
      <c r="F139" s="44"/>
      <c r="G139" s="43" t="s">
        <v>65</v>
      </c>
      <c r="H139" s="45">
        <v>1.02</v>
      </c>
      <c r="I139" s="46">
        <f>2750.94</f>
        <v>2750.94</v>
      </c>
      <c r="J139" s="23"/>
      <c r="K139" s="47"/>
      <c r="L139" s="48"/>
      <c r="M139" s="49"/>
      <c r="N139" s="49">
        <f t="shared" si="3"/>
        <v>0</v>
      </c>
      <c r="O139" s="49"/>
      <c r="P139" s="49"/>
      <c r="Q139" s="49"/>
      <c r="R139" s="23"/>
      <c r="XCY139"/>
      <c r="XCZ139"/>
      <c r="XDA139"/>
      <c r="XDB139"/>
      <c r="XDC139"/>
      <c r="XDD139"/>
      <c r="XDE139"/>
      <c r="XDF139"/>
      <c r="XDG139"/>
      <c r="XDH139"/>
      <c r="XDI139"/>
      <c r="XDJ139"/>
      <c r="XDK139"/>
      <c r="XDL139"/>
      <c r="XDM139"/>
      <c r="XDN139"/>
      <c r="XDO139"/>
      <c r="XDP139"/>
      <c r="XDQ139"/>
      <c r="XDR139"/>
      <c r="XDS139"/>
      <c r="XDT139"/>
      <c r="XDU139"/>
      <c r="XDV139"/>
      <c r="XDW139"/>
      <c r="XDX139"/>
      <c r="XDY139"/>
      <c r="XDZ139"/>
      <c r="XEA139"/>
      <c r="XEB139"/>
      <c r="XEC139"/>
      <c r="XED139"/>
      <c r="XEE139"/>
      <c r="XEF139"/>
      <c r="XEG139"/>
      <c r="XEH139"/>
      <c r="XEI139"/>
      <c r="XEJ139"/>
      <c r="XEK139"/>
      <c r="XEL139"/>
      <c r="XEM139"/>
      <c r="XEN139"/>
      <c r="XEO139"/>
      <c r="XEP139"/>
      <c r="XEQ139"/>
      <c r="XER139"/>
      <c r="XES139"/>
      <c r="XET139"/>
      <c r="XEU139"/>
      <c r="XEV139"/>
      <c r="XEW139"/>
      <c r="XEX139"/>
      <c r="XEY139"/>
      <c r="XEZ139"/>
      <c r="XFA139"/>
      <c r="XFB139"/>
      <c r="XFC139"/>
      <c r="XFD139"/>
    </row>
    <row r="140" spans="1:18 16327:16384" s="26" customFormat="1" ht="29.1" customHeight="1" outlineLevel="2" x14ac:dyDescent="0.25">
      <c r="A140" s="34" t="s">
        <v>254</v>
      </c>
      <c r="B140" s="35"/>
      <c r="C140" s="65" t="s">
        <v>255</v>
      </c>
      <c r="D140" s="65"/>
      <c r="E140" s="35"/>
      <c r="F140" s="36"/>
      <c r="G140" s="35" t="s">
        <v>65</v>
      </c>
      <c r="H140" s="37"/>
      <c r="I140" s="38">
        <f>898</f>
        <v>898</v>
      </c>
      <c r="J140" s="23"/>
      <c r="K140" s="39"/>
      <c r="L140" s="40"/>
      <c r="M140" s="41"/>
      <c r="N140" s="41"/>
      <c r="O140" s="41"/>
      <c r="P140" s="41"/>
      <c r="Q140" s="41"/>
      <c r="R140" s="23"/>
      <c r="XCY140"/>
      <c r="XCZ140"/>
      <c r="XDA140"/>
      <c r="XDB140"/>
      <c r="XDC140"/>
      <c r="XDD140"/>
      <c r="XDE140"/>
      <c r="XDF140"/>
      <c r="XDG140"/>
      <c r="XDH140"/>
      <c r="XDI140"/>
      <c r="XDJ140"/>
      <c r="XDK140"/>
      <c r="XDL140"/>
      <c r="XDM140"/>
      <c r="XDN140"/>
      <c r="XDO140"/>
      <c r="XDP140"/>
      <c r="XDQ140"/>
      <c r="XDR140"/>
      <c r="XDS140"/>
      <c r="XDT140"/>
      <c r="XDU140"/>
      <c r="XDV140"/>
      <c r="XDW140"/>
      <c r="XDX140"/>
      <c r="XDY140"/>
      <c r="XDZ140"/>
      <c r="XEA140"/>
      <c r="XEB140"/>
      <c r="XEC140"/>
      <c r="XED140"/>
      <c r="XEE140"/>
      <c r="XEF140"/>
      <c r="XEG140"/>
      <c r="XEH140"/>
      <c r="XEI140"/>
      <c r="XEJ140"/>
      <c r="XEK140"/>
      <c r="XEL140"/>
      <c r="XEM140"/>
      <c r="XEN140"/>
      <c r="XEO140"/>
      <c r="XEP140"/>
      <c r="XEQ140"/>
      <c r="XER140"/>
      <c r="XES140"/>
      <c r="XET140"/>
      <c r="XEU140"/>
      <c r="XEV140"/>
      <c r="XEW140"/>
      <c r="XEX140"/>
      <c r="XEY140"/>
      <c r="XEZ140"/>
      <c r="XFA140"/>
      <c r="XFB140"/>
      <c r="XFC140"/>
      <c r="XFD140"/>
    </row>
    <row r="141" spans="1:18 16327:16384" s="26" customFormat="1" ht="29.1" customHeight="1" outlineLevel="3" x14ac:dyDescent="0.25">
      <c r="A141" s="42" t="s">
        <v>256</v>
      </c>
      <c r="B141" s="43"/>
      <c r="C141" s="66" t="s">
        <v>257</v>
      </c>
      <c r="D141" s="66"/>
      <c r="E141" s="43" t="s">
        <v>34</v>
      </c>
      <c r="F141" s="44"/>
      <c r="G141" s="43" t="s">
        <v>65</v>
      </c>
      <c r="H141" s="45">
        <v>1.02</v>
      </c>
      <c r="I141" s="46">
        <f>915.96</f>
        <v>915.96</v>
      </c>
      <c r="J141" s="23"/>
      <c r="K141" s="47"/>
      <c r="L141" s="48"/>
      <c r="M141" s="49"/>
      <c r="N141" s="49">
        <f t="shared" si="3"/>
        <v>0</v>
      </c>
      <c r="O141" s="49"/>
      <c r="P141" s="49"/>
      <c r="Q141" s="49"/>
      <c r="R141" s="23"/>
      <c r="XCY141"/>
      <c r="XCZ141"/>
      <c r="XDA141"/>
      <c r="XDB141"/>
      <c r="XDC141"/>
      <c r="XDD141"/>
      <c r="XDE141"/>
      <c r="XDF141"/>
      <c r="XDG141"/>
      <c r="XDH141"/>
      <c r="XDI141"/>
      <c r="XDJ141"/>
      <c r="XDK141"/>
      <c r="XDL141"/>
      <c r="XDM141"/>
      <c r="XDN141"/>
      <c r="XDO141"/>
      <c r="XDP141"/>
      <c r="XDQ141"/>
      <c r="XDR141"/>
      <c r="XDS141"/>
      <c r="XDT141"/>
      <c r="XDU141"/>
      <c r="XDV141"/>
      <c r="XDW141"/>
      <c r="XDX141"/>
      <c r="XDY141"/>
      <c r="XDZ141"/>
      <c r="XEA141"/>
      <c r="XEB141"/>
      <c r="XEC141"/>
      <c r="XED141"/>
      <c r="XEE141"/>
      <c r="XEF141"/>
      <c r="XEG141"/>
      <c r="XEH141"/>
      <c r="XEI141"/>
      <c r="XEJ141"/>
      <c r="XEK141"/>
      <c r="XEL141"/>
      <c r="XEM141"/>
      <c r="XEN141"/>
      <c r="XEO141"/>
      <c r="XEP141"/>
      <c r="XEQ141"/>
      <c r="XER141"/>
      <c r="XES141"/>
      <c r="XET141"/>
      <c r="XEU141"/>
      <c r="XEV141"/>
      <c r="XEW141"/>
      <c r="XEX141"/>
      <c r="XEY141"/>
      <c r="XEZ141"/>
      <c r="XFA141"/>
      <c r="XFB141"/>
      <c r="XFC141"/>
      <c r="XFD141"/>
    </row>
    <row r="142" spans="1:18 16327:16384" s="26" customFormat="1" ht="29.1" customHeight="1" outlineLevel="2" x14ac:dyDescent="0.25">
      <c r="A142" s="34" t="s">
        <v>258</v>
      </c>
      <c r="B142" s="35"/>
      <c r="C142" s="65" t="s">
        <v>64</v>
      </c>
      <c r="D142" s="65"/>
      <c r="E142" s="35"/>
      <c r="F142" s="36"/>
      <c r="G142" s="35" t="s">
        <v>65</v>
      </c>
      <c r="H142" s="37"/>
      <c r="I142" s="38">
        <f>204</f>
        <v>204</v>
      </c>
      <c r="J142" s="23"/>
      <c r="K142" s="39"/>
      <c r="L142" s="40"/>
      <c r="M142" s="41"/>
      <c r="N142" s="41"/>
      <c r="O142" s="41"/>
      <c r="P142" s="41"/>
      <c r="Q142" s="41"/>
      <c r="R142" s="23"/>
      <c r="XCY142"/>
      <c r="XCZ142"/>
      <c r="XDA142"/>
      <c r="XDB142"/>
      <c r="XDC142"/>
      <c r="XDD142"/>
      <c r="XDE142"/>
      <c r="XDF142"/>
      <c r="XDG142"/>
      <c r="XDH142"/>
      <c r="XDI142"/>
      <c r="XDJ142"/>
      <c r="XDK142"/>
      <c r="XDL142"/>
      <c r="XDM142"/>
      <c r="XDN142"/>
      <c r="XDO142"/>
      <c r="XDP142"/>
      <c r="XDQ142"/>
      <c r="XDR142"/>
      <c r="XDS142"/>
      <c r="XDT142"/>
      <c r="XDU142"/>
      <c r="XDV142"/>
      <c r="XDW142"/>
      <c r="XDX142"/>
      <c r="XDY142"/>
      <c r="XDZ142"/>
      <c r="XEA142"/>
      <c r="XEB142"/>
      <c r="XEC142"/>
      <c r="XED142"/>
      <c r="XEE142"/>
      <c r="XEF142"/>
      <c r="XEG142"/>
      <c r="XEH142"/>
      <c r="XEI142"/>
      <c r="XEJ142"/>
      <c r="XEK142"/>
      <c r="XEL142"/>
      <c r="XEM142"/>
      <c r="XEN142"/>
      <c r="XEO142"/>
      <c r="XEP142"/>
      <c r="XEQ142"/>
      <c r="XER142"/>
      <c r="XES142"/>
      <c r="XET142"/>
      <c r="XEU142"/>
      <c r="XEV142"/>
      <c r="XEW142"/>
      <c r="XEX142"/>
      <c r="XEY142"/>
      <c r="XEZ142"/>
      <c r="XFA142"/>
      <c r="XFB142"/>
      <c r="XFC142"/>
      <c r="XFD142"/>
    </row>
    <row r="143" spans="1:18 16327:16384" s="26" customFormat="1" ht="29.1" customHeight="1" outlineLevel="3" x14ac:dyDescent="0.25">
      <c r="A143" s="42" t="s">
        <v>259</v>
      </c>
      <c r="B143" s="43"/>
      <c r="C143" s="66" t="s">
        <v>260</v>
      </c>
      <c r="D143" s="66"/>
      <c r="E143" s="43" t="s">
        <v>34</v>
      </c>
      <c r="F143" s="44"/>
      <c r="G143" s="43" t="s">
        <v>65</v>
      </c>
      <c r="H143" s="45">
        <v>1.02</v>
      </c>
      <c r="I143" s="46">
        <f>208.08</f>
        <v>208.08</v>
      </c>
      <c r="J143" s="23"/>
      <c r="K143" s="47"/>
      <c r="L143" s="48"/>
      <c r="M143" s="49"/>
      <c r="N143" s="49">
        <f t="shared" si="3"/>
        <v>0</v>
      </c>
      <c r="O143" s="49"/>
      <c r="P143" s="49"/>
      <c r="Q143" s="49"/>
      <c r="R143" s="23"/>
      <c r="XCY143"/>
      <c r="XCZ143"/>
      <c r="XDA143"/>
      <c r="XDB143"/>
      <c r="XDC143"/>
      <c r="XDD143"/>
      <c r="XDE143"/>
      <c r="XDF143"/>
      <c r="XDG143"/>
      <c r="XDH143"/>
      <c r="XDI143"/>
      <c r="XDJ143"/>
      <c r="XDK143"/>
      <c r="XDL143"/>
      <c r="XDM143"/>
      <c r="XDN143"/>
      <c r="XDO143"/>
      <c r="XDP143"/>
      <c r="XDQ143"/>
      <c r="XDR143"/>
      <c r="XDS143"/>
      <c r="XDT143"/>
      <c r="XDU143"/>
      <c r="XDV143"/>
      <c r="XDW143"/>
      <c r="XDX143"/>
      <c r="XDY143"/>
      <c r="XDZ143"/>
      <c r="XEA143"/>
      <c r="XEB143"/>
      <c r="XEC143"/>
      <c r="XED143"/>
      <c r="XEE143"/>
      <c r="XEF143"/>
      <c r="XEG143"/>
      <c r="XEH143"/>
      <c r="XEI143"/>
      <c r="XEJ143"/>
      <c r="XEK143"/>
      <c r="XEL143"/>
      <c r="XEM143"/>
      <c r="XEN143"/>
      <c r="XEO143"/>
      <c r="XEP143"/>
      <c r="XEQ143"/>
      <c r="XER143"/>
      <c r="XES143"/>
      <c r="XET143"/>
      <c r="XEU143"/>
      <c r="XEV143"/>
      <c r="XEW143"/>
      <c r="XEX143"/>
      <c r="XEY143"/>
      <c r="XEZ143"/>
      <c r="XFA143"/>
      <c r="XFB143"/>
      <c r="XFC143"/>
      <c r="XFD143"/>
    </row>
    <row r="144" spans="1:18 16327:16384" s="26" customFormat="1" ht="29.1" customHeight="1" outlineLevel="2" x14ac:dyDescent="0.25">
      <c r="A144" s="34" t="s">
        <v>261</v>
      </c>
      <c r="B144" s="35"/>
      <c r="C144" s="65" t="s">
        <v>69</v>
      </c>
      <c r="D144" s="65"/>
      <c r="E144" s="35"/>
      <c r="F144" s="36"/>
      <c r="G144" s="35" t="s">
        <v>65</v>
      </c>
      <c r="H144" s="37"/>
      <c r="I144" s="38">
        <f>40</f>
        <v>40</v>
      </c>
      <c r="J144" s="23"/>
      <c r="K144" s="39"/>
      <c r="L144" s="40"/>
      <c r="M144" s="41"/>
      <c r="N144" s="41"/>
      <c r="O144" s="41"/>
      <c r="P144" s="41"/>
      <c r="Q144" s="41"/>
      <c r="R144" s="23"/>
      <c r="XCY144"/>
      <c r="XCZ144"/>
      <c r="XDA144"/>
      <c r="XDB144"/>
      <c r="XDC144"/>
      <c r="XDD144"/>
      <c r="XDE144"/>
      <c r="XDF144"/>
      <c r="XDG144"/>
      <c r="XDH144"/>
      <c r="XDI144"/>
      <c r="XDJ144"/>
      <c r="XDK144"/>
      <c r="XDL144"/>
      <c r="XDM144"/>
      <c r="XDN144"/>
      <c r="XDO144"/>
      <c r="XDP144"/>
      <c r="XDQ144"/>
      <c r="XDR144"/>
      <c r="XDS144"/>
      <c r="XDT144"/>
      <c r="XDU144"/>
      <c r="XDV144"/>
      <c r="XDW144"/>
      <c r="XDX144"/>
      <c r="XDY144"/>
      <c r="XDZ144"/>
      <c r="XEA144"/>
      <c r="XEB144"/>
      <c r="XEC144"/>
      <c r="XED144"/>
      <c r="XEE144"/>
      <c r="XEF144"/>
      <c r="XEG144"/>
      <c r="XEH144"/>
      <c r="XEI144"/>
      <c r="XEJ144"/>
      <c r="XEK144"/>
      <c r="XEL144"/>
      <c r="XEM144"/>
      <c r="XEN144"/>
      <c r="XEO144"/>
      <c r="XEP144"/>
      <c r="XEQ144"/>
      <c r="XER144"/>
      <c r="XES144"/>
      <c r="XET144"/>
      <c r="XEU144"/>
      <c r="XEV144"/>
      <c r="XEW144"/>
      <c r="XEX144"/>
      <c r="XEY144"/>
      <c r="XEZ144"/>
      <c r="XFA144"/>
      <c r="XFB144"/>
      <c r="XFC144"/>
      <c r="XFD144"/>
    </row>
    <row r="145" spans="1:18 16327:16384" s="26" customFormat="1" ht="29.1" customHeight="1" outlineLevel="3" x14ac:dyDescent="0.25">
      <c r="A145" s="42" t="s">
        <v>262</v>
      </c>
      <c r="B145" s="43"/>
      <c r="C145" s="66" t="s">
        <v>263</v>
      </c>
      <c r="D145" s="66"/>
      <c r="E145" s="43" t="s">
        <v>34</v>
      </c>
      <c r="F145" s="44"/>
      <c r="G145" s="43" t="s">
        <v>65</v>
      </c>
      <c r="H145" s="45">
        <v>1.02</v>
      </c>
      <c r="I145" s="46">
        <f>40.8</f>
        <v>40.799999999999997</v>
      </c>
      <c r="J145" s="23"/>
      <c r="K145" s="47"/>
      <c r="L145" s="48"/>
      <c r="M145" s="49"/>
      <c r="N145" s="49">
        <f t="shared" si="3"/>
        <v>0</v>
      </c>
      <c r="O145" s="49"/>
      <c r="P145" s="49"/>
      <c r="Q145" s="49"/>
      <c r="R145" s="23"/>
      <c r="XCY145"/>
      <c r="XCZ145"/>
      <c r="XDA145"/>
      <c r="XDB145"/>
      <c r="XDC145"/>
      <c r="XDD145"/>
      <c r="XDE145"/>
      <c r="XDF145"/>
      <c r="XDG145"/>
      <c r="XDH145"/>
      <c r="XDI145"/>
      <c r="XDJ145"/>
      <c r="XDK145"/>
      <c r="XDL145"/>
      <c r="XDM145"/>
      <c r="XDN145"/>
      <c r="XDO145"/>
      <c r="XDP145"/>
      <c r="XDQ145"/>
      <c r="XDR145"/>
      <c r="XDS145"/>
      <c r="XDT145"/>
      <c r="XDU145"/>
      <c r="XDV145"/>
      <c r="XDW145"/>
      <c r="XDX145"/>
      <c r="XDY145"/>
      <c r="XDZ145"/>
      <c r="XEA145"/>
      <c r="XEB145"/>
      <c r="XEC145"/>
      <c r="XED145"/>
      <c r="XEE145"/>
      <c r="XEF145"/>
      <c r="XEG145"/>
      <c r="XEH145"/>
      <c r="XEI145"/>
      <c r="XEJ145"/>
      <c r="XEK145"/>
      <c r="XEL145"/>
      <c r="XEM145"/>
      <c r="XEN145"/>
      <c r="XEO145"/>
      <c r="XEP145"/>
      <c r="XEQ145"/>
      <c r="XER145"/>
      <c r="XES145"/>
      <c r="XET145"/>
      <c r="XEU145"/>
      <c r="XEV145"/>
      <c r="XEW145"/>
      <c r="XEX145"/>
      <c r="XEY145"/>
      <c r="XEZ145"/>
      <c r="XFA145"/>
      <c r="XFB145"/>
      <c r="XFC145"/>
      <c r="XFD145"/>
    </row>
    <row r="146" spans="1:18 16327:16384" s="26" customFormat="1" ht="29.1" customHeight="1" outlineLevel="2" x14ac:dyDescent="0.25">
      <c r="A146" s="34" t="s">
        <v>264</v>
      </c>
      <c r="B146" s="35"/>
      <c r="C146" s="65" t="s">
        <v>79</v>
      </c>
      <c r="D146" s="65"/>
      <c r="E146" s="35"/>
      <c r="F146" s="36"/>
      <c r="G146" s="35" t="s">
        <v>65</v>
      </c>
      <c r="H146" s="37"/>
      <c r="I146" s="38">
        <f>2737</f>
        <v>2737</v>
      </c>
      <c r="J146" s="23"/>
      <c r="K146" s="39"/>
      <c r="L146" s="40"/>
      <c r="M146" s="41">
        <f>K146+L146</f>
        <v>0</v>
      </c>
      <c r="N146" s="41">
        <f t="shared" ref="N146:N157" si="4">ROUND((I146*K146),2)</f>
        <v>0</v>
      </c>
      <c r="O146" s="41">
        <f>ROUND((I146*L146),2)</f>
        <v>0</v>
      </c>
      <c r="P146" s="41">
        <f>ROUND((I146*M146),2)</f>
        <v>0</v>
      </c>
      <c r="Q146" s="41"/>
      <c r="R146" s="23"/>
      <c r="XCY146"/>
      <c r="XCZ146"/>
      <c r="XDA146"/>
      <c r="XDB146"/>
      <c r="XDC146"/>
      <c r="XDD146"/>
      <c r="XDE146"/>
      <c r="XDF146"/>
      <c r="XDG146"/>
      <c r="XDH146"/>
      <c r="XDI146"/>
      <c r="XDJ146"/>
      <c r="XDK146"/>
      <c r="XDL146"/>
      <c r="XDM146"/>
      <c r="XDN146"/>
      <c r="XDO146"/>
      <c r="XDP146"/>
      <c r="XDQ146"/>
      <c r="XDR146"/>
      <c r="XDS146"/>
      <c r="XDT146"/>
      <c r="XDU146"/>
      <c r="XDV146"/>
      <c r="XDW146"/>
      <c r="XDX146"/>
      <c r="XDY146"/>
      <c r="XDZ146"/>
      <c r="XEA146"/>
      <c r="XEB146"/>
      <c r="XEC146"/>
      <c r="XED146"/>
      <c r="XEE146"/>
      <c r="XEF146"/>
      <c r="XEG146"/>
      <c r="XEH146"/>
      <c r="XEI146"/>
      <c r="XEJ146"/>
      <c r="XEK146"/>
      <c r="XEL146"/>
      <c r="XEM146"/>
      <c r="XEN146"/>
      <c r="XEO146"/>
      <c r="XEP146"/>
      <c r="XEQ146"/>
      <c r="XER146"/>
      <c r="XES146"/>
      <c r="XET146"/>
      <c r="XEU146"/>
      <c r="XEV146"/>
      <c r="XEW146"/>
      <c r="XEX146"/>
      <c r="XEY146"/>
      <c r="XEZ146"/>
      <c r="XFA146"/>
      <c r="XFB146"/>
      <c r="XFC146"/>
      <c r="XFD146"/>
    </row>
    <row r="147" spans="1:18 16327:16384" s="26" customFormat="1" ht="29.1" customHeight="1" outlineLevel="3" x14ac:dyDescent="0.25">
      <c r="A147" s="42" t="s">
        <v>265</v>
      </c>
      <c r="B147" s="43"/>
      <c r="C147" s="66" t="s">
        <v>266</v>
      </c>
      <c r="D147" s="66"/>
      <c r="E147" s="43" t="s">
        <v>34</v>
      </c>
      <c r="F147" s="44"/>
      <c r="G147" s="43" t="s">
        <v>65</v>
      </c>
      <c r="H147" s="45">
        <v>1.012</v>
      </c>
      <c r="I147" s="46">
        <f>2769.844</f>
        <v>2769.8440000000001</v>
      </c>
      <c r="J147" s="23"/>
      <c r="K147" s="47"/>
      <c r="L147" s="48"/>
      <c r="M147" s="49"/>
      <c r="N147" s="49">
        <f t="shared" si="4"/>
        <v>0</v>
      </c>
      <c r="O147" s="49"/>
      <c r="P147" s="49"/>
      <c r="Q147" s="49"/>
      <c r="R147" s="23"/>
      <c r="XCY147"/>
      <c r="XCZ147"/>
      <c r="XDA147"/>
      <c r="XDB147"/>
      <c r="XDC147"/>
      <c r="XDD147"/>
      <c r="XDE147"/>
      <c r="XDF147"/>
      <c r="XDG147"/>
      <c r="XDH147"/>
      <c r="XDI147"/>
      <c r="XDJ147"/>
      <c r="XDK147"/>
      <c r="XDL147"/>
      <c r="XDM147"/>
      <c r="XDN147"/>
      <c r="XDO147"/>
      <c r="XDP147"/>
      <c r="XDQ147"/>
      <c r="XDR147"/>
      <c r="XDS147"/>
      <c r="XDT147"/>
      <c r="XDU147"/>
      <c r="XDV147"/>
      <c r="XDW147"/>
      <c r="XDX147"/>
      <c r="XDY147"/>
      <c r="XDZ147"/>
      <c r="XEA147"/>
      <c r="XEB147"/>
      <c r="XEC147"/>
      <c r="XED147"/>
      <c r="XEE147"/>
      <c r="XEF147"/>
      <c r="XEG147"/>
      <c r="XEH147"/>
      <c r="XEI147"/>
      <c r="XEJ147"/>
      <c r="XEK147"/>
      <c r="XEL147"/>
      <c r="XEM147"/>
      <c r="XEN147"/>
      <c r="XEO147"/>
      <c r="XEP147"/>
      <c r="XEQ147"/>
      <c r="XER147"/>
      <c r="XES147"/>
      <c r="XET147"/>
      <c r="XEU147"/>
      <c r="XEV147"/>
      <c r="XEW147"/>
      <c r="XEX147"/>
      <c r="XEY147"/>
      <c r="XEZ147"/>
      <c r="XFA147"/>
      <c r="XFB147"/>
      <c r="XFC147"/>
      <c r="XFD147"/>
    </row>
    <row r="148" spans="1:18 16327:16384" s="26" customFormat="1" ht="29.1" customHeight="1" outlineLevel="3" x14ac:dyDescent="0.25">
      <c r="A148" s="42" t="s">
        <v>267</v>
      </c>
      <c r="B148" s="43"/>
      <c r="C148" s="66" t="s">
        <v>268</v>
      </c>
      <c r="D148" s="66"/>
      <c r="E148" s="43" t="s">
        <v>34</v>
      </c>
      <c r="F148" s="44"/>
      <c r="G148" s="43" t="s">
        <v>31</v>
      </c>
      <c r="H148" s="45">
        <v>1</v>
      </c>
      <c r="I148" s="46">
        <f>16422</f>
        <v>16422</v>
      </c>
      <c r="J148" s="23"/>
      <c r="K148" s="47"/>
      <c r="L148" s="48"/>
      <c r="M148" s="49"/>
      <c r="N148" s="49">
        <f t="shared" si="4"/>
        <v>0</v>
      </c>
      <c r="O148" s="49"/>
      <c r="P148" s="49"/>
      <c r="Q148" s="49"/>
      <c r="R148" s="23"/>
      <c r="XCY148"/>
      <c r="XCZ148"/>
      <c r="XDA148"/>
      <c r="XDB148"/>
      <c r="XDC148"/>
      <c r="XDD148"/>
      <c r="XDE148"/>
      <c r="XDF148"/>
      <c r="XDG148"/>
      <c r="XDH148"/>
      <c r="XDI148"/>
      <c r="XDJ148"/>
      <c r="XDK148"/>
      <c r="XDL148"/>
      <c r="XDM148"/>
      <c r="XDN148"/>
      <c r="XDO148"/>
      <c r="XDP148"/>
      <c r="XDQ148"/>
      <c r="XDR148"/>
      <c r="XDS148"/>
      <c r="XDT148"/>
      <c r="XDU148"/>
      <c r="XDV148"/>
      <c r="XDW148"/>
      <c r="XDX148"/>
      <c r="XDY148"/>
      <c r="XDZ148"/>
      <c r="XEA148"/>
      <c r="XEB148"/>
      <c r="XEC148"/>
      <c r="XED148"/>
      <c r="XEE148"/>
      <c r="XEF148"/>
      <c r="XEG148"/>
      <c r="XEH148"/>
      <c r="XEI148"/>
      <c r="XEJ148"/>
      <c r="XEK148"/>
      <c r="XEL148"/>
      <c r="XEM148"/>
      <c r="XEN148"/>
      <c r="XEO148"/>
      <c r="XEP148"/>
      <c r="XEQ148"/>
      <c r="XER148"/>
      <c r="XES148"/>
      <c r="XET148"/>
      <c r="XEU148"/>
      <c r="XEV148"/>
      <c r="XEW148"/>
      <c r="XEX148"/>
      <c r="XEY148"/>
      <c r="XEZ148"/>
      <c r="XFA148"/>
      <c r="XFB148"/>
      <c r="XFC148"/>
      <c r="XFD148"/>
    </row>
    <row r="149" spans="1:18 16327:16384" s="26" customFormat="1" ht="29.1" customHeight="1" outlineLevel="2" x14ac:dyDescent="0.25">
      <c r="A149" s="34" t="s">
        <v>269</v>
      </c>
      <c r="B149" s="35"/>
      <c r="C149" s="65" t="s">
        <v>270</v>
      </c>
      <c r="D149" s="65"/>
      <c r="E149" s="35"/>
      <c r="F149" s="36"/>
      <c r="G149" s="35" t="s">
        <v>65</v>
      </c>
      <c r="H149" s="37"/>
      <c r="I149" s="38">
        <f>100</f>
        <v>100</v>
      </c>
      <c r="J149" s="23"/>
      <c r="K149" s="39"/>
      <c r="L149" s="40"/>
      <c r="M149" s="41">
        <f>K149+L149</f>
        <v>0</v>
      </c>
      <c r="N149" s="41">
        <f t="shared" si="4"/>
        <v>0</v>
      </c>
      <c r="O149" s="41">
        <f>ROUND((I149*L149),2)</f>
        <v>0</v>
      </c>
      <c r="P149" s="41">
        <f>ROUND((I149*M149),2)</f>
        <v>0</v>
      </c>
      <c r="Q149" s="41"/>
      <c r="R149" s="23"/>
      <c r="XCY149"/>
      <c r="XCZ149"/>
      <c r="XDA149"/>
      <c r="XDB149"/>
      <c r="XDC149"/>
      <c r="XDD149"/>
      <c r="XDE149"/>
      <c r="XDF149"/>
      <c r="XDG149"/>
      <c r="XDH149"/>
      <c r="XDI149"/>
      <c r="XDJ149"/>
      <c r="XDK149"/>
      <c r="XDL149"/>
      <c r="XDM149"/>
      <c r="XDN149"/>
      <c r="XDO149"/>
      <c r="XDP149"/>
      <c r="XDQ149"/>
      <c r="XDR149"/>
      <c r="XDS149"/>
      <c r="XDT149"/>
      <c r="XDU149"/>
      <c r="XDV149"/>
      <c r="XDW149"/>
      <c r="XDX149"/>
      <c r="XDY149"/>
      <c r="XDZ149"/>
      <c r="XEA149"/>
      <c r="XEB149"/>
      <c r="XEC149"/>
      <c r="XED149"/>
      <c r="XEE149"/>
      <c r="XEF149"/>
      <c r="XEG149"/>
      <c r="XEH149"/>
      <c r="XEI149"/>
      <c r="XEJ149"/>
      <c r="XEK149"/>
      <c r="XEL149"/>
      <c r="XEM149"/>
      <c r="XEN149"/>
      <c r="XEO149"/>
      <c r="XEP149"/>
      <c r="XEQ149"/>
      <c r="XER149"/>
      <c r="XES149"/>
      <c r="XET149"/>
      <c r="XEU149"/>
      <c r="XEV149"/>
      <c r="XEW149"/>
      <c r="XEX149"/>
      <c r="XEY149"/>
      <c r="XEZ149"/>
      <c r="XFA149"/>
      <c r="XFB149"/>
      <c r="XFC149"/>
      <c r="XFD149"/>
    </row>
    <row r="150" spans="1:18 16327:16384" s="26" customFormat="1" ht="29.1" customHeight="1" outlineLevel="3" x14ac:dyDescent="0.25">
      <c r="A150" s="42" t="s">
        <v>271</v>
      </c>
      <c r="B150" s="43"/>
      <c r="C150" s="66" t="s">
        <v>272</v>
      </c>
      <c r="D150" s="66"/>
      <c r="E150" s="43" t="s">
        <v>34</v>
      </c>
      <c r="F150" s="44"/>
      <c r="G150" s="43" t="s">
        <v>65</v>
      </c>
      <c r="H150" s="45">
        <v>1.01</v>
      </c>
      <c r="I150" s="46">
        <f>101</f>
        <v>101</v>
      </c>
      <c r="J150" s="23"/>
      <c r="K150" s="47"/>
      <c r="L150" s="48"/>
      <c r="M150" s="49"/>
      <c r="N150" s="49">
        <f t="shared" si="4"/>
        <v>0</v>
      </c>
      <c r="O150" s="49"/>
      <c r="P150" s="49"/>
      <c r="Q150" s="49"/>
      <c r="R150" s="23"/>
      <c r="XCY150"/>
      <c r="XCZ150"/>
      <c r="XDA150"/>
      <c r="XDB150"/>
      <c r="XDC150"/>
      <c r="XDD150"/>
      <c r="XDE150"/>
      <c r="XDF150"/>
      <c r="XDG150"/>
      <c r="XDH150"/>
      <c r="XDI150"/>
      <c r="XDJ150"/>
      <c r="XDK150"/>
      <c r="XDL150"/>
      <c r="XDM150"/>
      <c r="XDN150"/>
      <c r="XDO150"/>
      <c r="XDP150"/>
      <c r="XDQ150"/>
      <c r="XDR150"/>
      <c r="XDS150"/>
      <c r="XDT150"/>
      <c r="XDU150"/>
      <c r="XDV150"/>
      <c r="XDW150"/>
      <c r="XDX150"/>
      <c r="XDY150"/>
      <c r="XDZ150"/>
      <c r="XEA150"/>
      <c r="XEB150"/>
      <c r="XEC150"/>
      <c r="XED150"/>
      <c r="XEE150"/>
      <c r="XEF150"/>
      <c r="XEG150"/>
      <c r="XEH150"/>
      <c r="XEI150"/>
      <c r="XEJ150"/>
      <c r="XEK150"/>
      <c r="XEL150"/>
      <c r="XEM150"/>
      <c r="XEN150"/>
      <c r="XEO150"/>
      <c r="XEP150"/>
      <c r="XEQ150"/>
      <c r="XER150"/>
      <c r="XES150"/>
      <c r="XET150"/>
      <c r="XEU150"/>
      <c r="XEV150"/>
      <c r="XEW150"/>
      <c r="XEX150"/>
      <c r="XEY150"/>
      <c r="XEZ150"/>
      <c r="XFA150"/>
      <c r="XFB150"/>
      <c r="XFC150"/>
      <c r="XFD150"/>
    </row>
    <row r="151" spans="1:18 16327:16384" s="26" customFormat="1" ht="29.1" customHeight="1" outlineLevel="3" x14ac:dyDescent="0.25">
      <c r="A151" s="42" t="s">
        <v>273</v>
      </c>
      <c r="B151" s="43"/>
      <c r="C151" s="66" t="s">
        <v>274</v>
      </c>
      <c r="D151" s="66"/>
      <c r="E151" s="43" t="s">
        <v>34</v>
      </c>
      <c r="F151" s="44"/>
      <c r="G151" s="43" t="s">
        <v>31</v>
      </c>
      <c r="H151" s="45">
        <v>1</v>
      </c>
      <c r="I151" s="46">
        <f>22</f>
        <v>22</v>
      </c>
      <c r="J151" s="23"/>
      <c r="K151" s="47"/>
      <c r="L151" s="48"/>
      <c r="M151" s="49"/>
      <c r="N151" s="49">
        <f t="shared" si="4"/>
        <v>0</v>
      </c>
      <c r="O151" s="49"/>
      <c r="P151" s="49"/>
      <c r="Q151" s="49"/>
      <c r="R151" s="23"/>
      <c r="XCY151"/>
      <c r="XCZ151"/>
      <c r="XDA151"/>
      <c r="XDB151"/>
      <c r="XDC151"/>
      <c r="XDD151"/>
      <c r="XDE151"/>
      <c r="XDF151"/>
      <c r="XDG151"/>
      <c r="XDH151"/>
      <c r="XDI151"/>
      <c r="XDJ151"/>
      <c r="XDK151"/>
      <c r="XDL151"/>
      <c r="XDM151"/>
      <c r="XDN151"/>
      <c r="XDO151"/>
      <c r="XDP151"/>
      <c r="XDQ151"/>
      <c r="XDR151"/>
      <c r="XDS151"/>
      <c r="XDT151"/>
      <c r="XDU151"/>
      <c r="XDV151"/>
      <c r="XDW151"/>
      <c r="XDX151"/>
      <c r="XDY151"/>
      <c r="XDZ151"/>
      <c r="XEA151"/>
      <c r="XEB151"/>
      <c r="XEC151"/>
      <c r="XED151"/>
      <c r="XEE151"/>
      <c r="XEF151"/>
      <c r="XEG151"/>
      <c r="XEH151"/>
      <c r="XEI151"/>
      <c r="XEJ151"/>
      <c r="XEK151"/>
      <c r="XEL151"/>
      <c r="XEM151"/>
      <c r="XEN151"/>
      <c r="XEO151"/>
      <c r="XEP151"/>
      <c r="XEQ151"/>
      <c r="XER151"/>
      <c r="XES151"/>
      <c r="XET151"/>
      <c r="XEU151"/>
      <c r="XEV151"/>
      <c r="XEW151"/>
      <c r="XEX151"/>
      <c r="XEY151"/>
      <c r="XEZ151"/>
      <c r="XFA151"/>
      <c r="XFB151"/>
      <c r="XFC151"/>
      <c r="XFD151"/>
    </row>
    <row r="152" spans="1:18 16327:16384" s="26" customFormat="1" ht="29.1" customHeight="1" outlineLevel="3" x14ac:dyDescent="0.25">
      <c r="A152" s="42" t="s">
        <v>275</v>
      </c>
      <c r="B152" s="43"/>
      <c r="C152" s="66" t="s">
        <v>276</v>
      </c>
      <c r="D152" s="66"/>
      <c r="E152" s="43" t="s">
        <v>34</v>
      </c>
      <c r="F152" s="44"/>
      <c r="G152" s="43" t="s">
        <v>31</v>
      </c>
      <c r="H152" s="45">
        <v>1</v>
      </c>
      <c r="I152" s="46">
        <f>1</f>
        <v>1</v>
      </c>
      <c r="J152" s="23"/>
      <c r="K152" s="47"/>
      <c r="L152" s="48"/>
      <c r="M152" s="49"/>
      <c r="N152" s="49">
        <f t="shared" si="4"/>
        <v>0</v>
      </c>
      <c r="O152" s="49"/>
      <c r="P152" s="49"/>
      <c r="Q152" s="49"/>
      <c r="R152" s="23"/>
      <c r="XCY152"/>
      <c r="XCZ152"/>
      <c r="XDA152"/>
      <c r="XDB152"/>
      <c r="XDC152"/>
      <c r="XDD152"/>
      <c r="XDE152"/>
      <c r="XDF152"/>
      <c r="XDG152"/>
      <c r="XDH152"/>
      <c r="XDI152"/>
      <c r="XDJ152"/>
      <c r="XDK152"/>
      <c r="XDL152"/>
      <c r="XDM152"/>
      <c r="XDN152"/>
      <c r="XDO152"/>
      <c r="XDP152"/>
      <c r="XDQ152"/>
      <c r="XDR152"/>
      <c r="XDS152"/>
      <c r="XDT152"/>
      <c r="XDU152"/>
      <c r="XDV152"/>
      <c r="XDW152"/>
      <c r="XDX152"/>
      <c r="XDY152"/>
      <c r="XDZ152"/>
      <c r="XEA152"/>
      <c r="XEB152"/>
      <c r="XEC152"/>
      <c r="XED152"/>
      <c r="XEE152"/>
      <c r="XEF152"/>
      <c r="XEG152"/>
      <c r="XEH152"/>
      <c r="XEI152"/>
      <c r="XEJ152"/>
      <c r="XEK152"/>
      <c r="XEL152"/>
      <c r="XEM152"/>
      <c r="XEN152"/>
      <c r="XEO152"/>
      <c r="XEP152"/>
      <c r="XEQ152"/>
      <c r="XER152"/>
      <c r="XES152"/>
      <c r="XET152"/>
      <c r="XEU152"/>
      <c r="XEV152"/>
      <c r="XEW152"/>
      <c r="XEX152"/>
      <c r="XEY152"/>
      <c r="XEZ152"/>
      <c r="XFA152"/>
      <c r="XFB152"/>
      <c r="XFC152"/>
      <c r="XFD152"/>
    </row>
    <row r="153" spans="1:18 16327:16384" s="26" customFormat="1" ht="29.1" customHeight="1" outlineLevel="2" x14ac:dyDescent="0.25">
      <c r="A153" s="34" t="s">
        <v>277</v>
      </c>
      <c r="B153" s="35"/>
      <c r="C153" s="65" t="s">
        <v>278</v>
      </c>
      <c r="D153" s="65"/>
      <c r="E153" s="35"/>
      <c r="F153" s="36"/>
      <c r="G153" s="35" t="s">
        <v>31</v>
      </c>
      <c r="H153" s="37"/>
      <c r="I153" s="38">
        <f>60</f>
        <v>60</v>
      </c>
      <c r="J153" s="23"/>
      <c r="K153" s="39"/>
      <c r="L153" s="40"/>
      <c r="M153" s="41">
        <f>K153+L153</f>
        <v>0</v>
      </c>
      <c r="N153" s="41">
        <f t="shared" si="4"/>
        <v>0</v>
      </c>
      <c r="O153" s="41">
        <f>ROUND((I153*L153),2)</f>
        <v>0</v>
      </c>
      <c r="P153" s="41">
        <f>ROUND((I153*M153),2)</f>
        <v>0</v>
      </c>
      <c r="Q153" s="41"/>
      <c r="R153" s="23"/>
      <c r="XCY153"/>
      <c r="XCZ153"/>
      <c r="XDA153"/>
      <c r="XDB153"/>
      <c r="XDC153"/>
      <c r="XDD153"/>
      <c r="XDE153"/>
      <c r="XDF153"/>
      <c r="XDG153"/>
      <c r="XDH153"/>
      <c r="XDI153"/>
      <c r="XDJ153"/>
      <c r="XDK153"/>
      <c r="XDL153"/>
      <c r="XDM153"/>
      <c r="XDN153"/>
      <c r="XDO153"/>
      <c r="XDP153"/>
      <c r="XDQ153"/>
      <c r="XDR153"/>
      <c r="XDS153"/>
      <c r="XDT153"/>
      <c r="XDU153"/>
      <c r="XDV153"/>
      <c r="XDW153"/>
      <c r="XDX153"/>
      <c r="XDY153"/>
      <c r="XDZ153"/>
      <c r="XEA153"/>
      <c r="XEB153"/>
      <c r="XEC153"/>
      <c r="XED153"/>
      <c r="XEE153"/>
      <c r="XEF153"/>
      <c r="XEG153"/>
      <c r="XEH153"/>
      <c r="XEI153"/>
      <c r="XEJ153"/>
      <c r="XEK153"/>
      <c r="XEL153"/>
      <c r="XEM153"/>
      <c r="XEN153"/>
      <c r="XEO153"/>
      <c r="XEP153"/>
      <c r="XEQ153"/>
      <c r="XER153"/>
      <c r="XES153"/>
      <c r="XET153"/>
      <c r="XEU153"/>
      <c r="XEV153"/>
      <c r="XEW153"/>
      <c r="XEX153"/>
      <c r="XEY153"/>
      <c r="XEZ153"/>
      <c r="XFA153"/>
      <c r="XFB153"/>
      <c r="XFC153"/>
      <c r="XFD153"/>
    </row>
    <row r="154" spans="1:18 16327:16384" s="26" customFormat="1" ht="29.1" customHeight="1" outlineLevel="3" x14ac:dyDescent="0.25">
      <c r="A154" s="42" t="s">
        <v>279</v>
      </c>
      <c r="B154" s="43"/>
      <c r="C154" s="66" t="s">
        <v>280</v>
      </c>
      <c r="D154" s="66"/>
      <c r="E154" s="43" t="s">
        <v>34</v>
      </c>
      <c r="F154" s="44"/>
      <c r="G154" s="43" t="s">
        <v>65</v>
      </c>
      <c r="H154" s="45">
        <v>1</v>
      </c>
      <c r="I154" s="46">
        <f>15</f>
        <v>15</v>
      </c>
      <c r="J154" s="23"/>
      <c r="K154" s="47"/>
      <c r="L154" s="48"/>
      <c r="M154" s="49"/>
      <c r="N154" s="49">
        <f t="shared" si="4"/>
        <v>0</v>
      </c>
      <c r="O154" s="49"/>
      <c r="P154" s="49"/>
      <c r="Q154" s="49"/>
      <c r="R154" s="23"/>
      <c r="XCY154"/>
      <c r="XCZ154"/>
      <c r="XDA154"/>
      <c r="XDB154"/>
      <c r="XDC154"/>
      <c r="XDD154"/>
      <c r="XDE154"/>
      <c r="XDF154"/>
      <c r="XDG154"/>
      <c r="XDH154"/>
      <c r="XDI154"/>
      <c r="XDJ154"/>
      <c r="XDK154"/>
      <c r="XDL154"/>
      <c r="XDM154"/>
      <c r="XDN154"/>
      <c r="XDO154"/>
      <c r="XDP154"/>
      <c r="XDQ154"/>
      <c r="XDR154"/>
      <c r="XDS154"/>
      <c r="XDT154"/>
      <c r="XDU154"/>
      <c r="XDV154"/>
      <c r="XDW154"/>
      <c r="XDX154"/>
      <c r="XDY154"/>
      <c r="XDZ154"/>
      <c r="XEA154"/>
      <c r="XEB154"/>
      <c r="XEC154"/>
      <c r="XED154"/>
      <c r="XEE154"/>
      <c r="XEF154"/>
      <c r="XEG154"/>
      <c r="XEH154"/>
      <c r="XEI154"/>
      <c r="XEJ154"/>
      <c r="XEK154"/>
      <c r="XEL154"/>
      <c r="XEM154"/>
      <c r="XEN154"/>
      <c r="XEO154"/>
      <c r="XEP154"/>
      <c r="XEQ154"/>
      <c r="XER154"/>
      <c r="XES154"/>
      <c r="XET154"/>
      <c r="XEU154"/>
      <c r="XEV154"/>
      <c r="XEW154"/>
      <c r="XEX154"/>
      <c r="XEY154"/>
      <c r="XEZ154"/>
      <c r="XFA154"/>
      <c r="XFB154"/>
      <c r="XFC154"/>
      <c r="XFD154"/>
    </row>
    <row r="155" spans="1:18 16327:16384" s="26" customFormat="1" ht="29.1" customHeight="1" outlineLevel="3" x14ac:dyDescent="0.25">
      <c r="A155" s="42" t="s">
        <v>281</v>
      </c>
      <c r="B155" s="43"/>
      <c r="C155" s="66" t="s">
        <v>282</v>
      </c>
      <c r="D155" s="66"/>
      <c r="E155" s="43" t="s">
        <v>34</v>
      </c>
      <c r="F155" s="44"/>
      <c r="G155" s="43" t="s">
        <v>31</v>
      </c>
      <c r="H155" s="45">
        <v>1</v>
      </c>
      <c r="I155" s="46">
        <f>29</f>
        <v>29</v>
      </c>
      <c r="J155" s="23"/>
      <c r="K155" s="47"/>
      <c r="L155" s="48"/>
      <c r="M155" s="49"/>
      <c r="N155" s="49">
        <f t="shared" si="4"/>
        <v>0</v>
      </c>
      <c r="O155" s="49"/>
      <c r="P155" s="49"/>
      <c r="Q155" s="49"/>
      <c r="R155" s="23"/>
      <c r="XCY155"/>
      <c r="XCZ155"/>
      <c r="XDA155"/>
      <c r="XDB155"/>
      <c r="XDC155"/>
      <c r="XDD155"/>
      <c r="XDE155"/>
      <c r="XDF155"/>
      <c r="XDG155"/>
      <c r="XDH155"/>
      <c r="XDI155"/>
      <c r="XDJ155"/>
      <c r="XDK155"/>
      <c r="XDL155"/>
      <c r="XDM155"/>
      <c r="XDN155"/>
      <c r="XDO155"/>
      <c r="XDP155"/>
      <c r="XDQ155"/>
      <c r="XDR155"/>
      <c r="XDS155"/>
      <c r="XDT155"/>
      <c r="XDU155"/>
      <c r="XDV155"/>
      <c r="XDW155"/>
      <c r="XDX155"/>
      <c r="XDY155"/>
      <c r="XDZ155"/>
      <c r="XEA155"/>
      <c r="XEB155"/>
      <c r="XEC155"/>
      <c r="XED155"/>
      <c r="XEE155"/>
      <c r="XEF155"/>
      <c r="XEG155"/>
      <c r="XEH155"/>
      <c r="XEI155"/>
      <c r="XEJ155"/>
      <c r="XEK155"/>
      <c r="XEL155"/>
      <c r="XEM155"/>
      <c r="XEN155"/>
      <c r="XEO155"/>
      <c r="XEP155"/>
      <c r="XEQ155"/>
      <c r="XER155"/>
      <c r="XES155"/>
      <c r="XET155"/>
      <c r="XEU155"/>
      <c r="XEV155"/>
      <c r="XEW155"/>
      <c r="XEX155"/>
      <c r="XEY155"/>
      <c r="XEZ155"/>
      <c r="XFA155"/>
      <c r="XFB155"/>
      <c r="XFC155"/>
      <c r="XFD155"/>
    </row>
    <row r="156" spans="1:18 16327:16384" s="26" customFormat="1" ht="29.1" customHeight="1" outlineLevel="3" x14ac:dyDescent="0.25">
      <c r="A156" s="42" t="s">
        <v>283</v>
      </c>
      <c r="B156" s="43"/>
      <c r="C156" s="66" t="s">
        <v>284</v>
      </c>
      <c r="D156" s="66"/>
      <c r="E156" s="43" t="s">
        <v>34</v>
      </c>
      <c r="F156" s="44"/>
      <c r="G156" s="43" t="s">
        <v>285</v>
      </c>
      <c r="H156" s="45">
        <v>1</v>
      </c>
      <c r="I156" s="46">
        <f>78.3</f>
        <v>78.3</v>
      </c>
      <c r="J156" s="23"/>
      <c r="K156" s="47"/>
      <c r="L156" s="48"/>
      <c r="M156" s="49"/>
      <c r="N156" s="49">
        <f t="shared" si="4"/>
        <v>0</v>
      </c>
      <c r="O156" s="49"/>
      <c r="P156" s="49"/>
      <c r="Q156" s="49"/>
      <c r="R156" s="23"/>
      <c r="XCY156"/>
      <c r="XCZ156"/>
      <c r="XDA156"/>
      <c r="XDB156"/>
      <c r="XDC156"/>
      <c r="XDD156"/>
      <c r="XDE156"/>
      <c r="XDF156"/>
      <c r="XDG156"/>
      <c r="XDH156"/>
      <c r="XDI156"/>
      <c r="XDJ156"/>
      <c r="XDK156"/>
      <c r="XDL156"/>
      <c r="XDM156"/>
      <c r="XDN156"/>
      <c r="XDO156"/>
      <c r="XDP156"/>
      <c r="XDQ156"/>
      <c r="XDR156"/>
      <c r="XDS156"/>
      <c r="XDT156"/>
      <c r="XDU156"/>
      <c r="XDV156"/>
      <c r="XDW156"/>
      <c r="XDX156"/>
      <c r="XDY156"/>
      <c r="XDZ156"/>
      <c r="XEA156"/>
      <c r="XEB156"/>
      <c r="XEC156"/>
      <c r="XED156"/>
      <c r="XEE156"/>
      <c r="XEF156"/>
      <c r="XEG156"/>
      <c r="XEH156"/>
      <c r="XEI156"/>
      <c r="XEJ156"/>
      <c r="XEK156"/>
      <c r="XEL156"/>
      <c r="XEM156"/>
      <c r="XEN156"/>
      <c r="XEO156"/>
      <c r="XEP156"/>
      <c r="XEQ156"/>
      <c r="XER156"/>
      <c r="XES156"/>
      <c r="XET156"/>
      <c r="XEU156"/>
      <c r="XEV156"/>
      <c r="XEW156"/>
      <c r="XEX156"/>
      <c r="XEY156"/>
      <c r="XEZ156"/>
      <c r="XFA156"/>
      <c r="XFB156"/>
      <c r="XFC156"/>
      <c r="XFD156"/>
    </row>
    <row r="157" spans="1:18 16327:16384" s="26" customFormat="1" ht="29.1" customHeight="1" outlineLevel="2" x14ac:dyDescent="0.25">
      <c r="A157" s="34" t="s">
        <v>286</v>
      </c>
      <c r="B157" s="35"/>
      <c r="C157" s="65" t="s">
        <v>287</v>
      </c>
      <c r="D157" s="65"/>
      <c r="E157" s="35"/>
      <c r="F157" s="36"/>
      <c r="G157" s="35" t="s">
        <v>90</v>
      </c>
      <c r="H157" s="37">
        <v>1</v>
      </c>
      <c r="I157" s="38">
        <f>1</f>
        <v>1</v>
      </c>
      <c r="J157" s="23"/>
      <c r="K157" s="39"/>
      <c r="L157" s="40"/>
      <c r="M157" s="41">
        <f>K157+L157</f>
        <v>0</v>
      </c>
      <c r="N157" s="41">
        <f t="shared" si="4"/>
        <v>0</v>
      </c>
      <c r="O157" s="41">
        <f>ROUND((I157*L157),2)</f>
        <v>0</v>
      </c>
      <c r="P157" s="41">
        <f>ROUND((I157*M157),2)</f>
        <v>0</v>
      </c>
      <c r="Q157" s="41"/>
      <c r="R157" s="23"/>
      <c r="XCY157"/>
      <c r="XCZ157"/>
      <c r="XDA157"/>
      <c r="XDB157"/>
      <c r="XDC157"/>
      <c r="XDD157"/>
      <c r="XDE157"/>
      <c r="XDF157"/>
      <c r="XDG157"/>
      <c r="XDH157"/>
      <c r="XDI157"/>
      <c r="XDJ157"/>
      <c r="XDK157"/>
      <c r="XDL157"/>
      <c r="XDM157"/>
      <c r="XDN157"/>
      <c r="XDO157"/>
      <c r="XDP157"/>
      <c r="XDQ157"/>
      <c r="XDR157"/>
      <c r="XDS157"/>
      <c r="XDT157"/>
      <c r="XDU157"/>
      <c r="XDV157"/>
      <c r="XDW157"/>
      <c r="XDX157"/>
      <c r="XDY157"/>
      <c r="XDZ157"/>
      <c r="XEA157"/>
      <c r="XEB157"/>
      <c r="XEC157"/>
      <c r="XED157"/>
      <c r="XEE157"/>
      <c r="XEF157"/>
      <c r="XEG157"/>
      <c r="XEH157"/>
      <c r="XEI157"/>
      <c r="XEJ157"/>
      <c r="XEK157"/>
      <c r="XEL157"/>
      <c r="XEM157"/>
      <c r="XEN157"/>
      <c r="XEO157"/>
      <c r="XEP157"/>
      <c r="XEQ157"/>
      <c r="XER157"/>
      <c r="XES157"/>
      <c r="XET157"/>
      <c r="XEU157"/>
      <c r="XEV157"/>
      <c r="XEW157"/>
      <c r="XEX157"/>
      <c r="XEY157"/>
      <c r="XEZ157"/>
      <c r="XFA157"/>
      <c r="XFB157"/>
      <c r="XFC157"/>
      <c r="XFD157"/>
    </row>
    <row r="158" spans="1:18 16327:16384" s="26" customFormat="1" ht="29.1" customHeight="1" outlineLevel="1" x14ac:dyDescent="0.25">
      <c r="A158" s="27" t="s">
        <v>288</v>
      </c>
      <c r="B158" s="28" t="s">
        <v>39</v>
      </c>
      <c r="C158" s="69" t="s">
        <v>289</v>
      </c>
      <c r="D158" s="69"/>
      <c r="E158" s="28"/>
      <c r="F158" s="29"/>
      <c r="G158" s="28"/>
      <c r="H158" s="30"/>
      <c r="I158" s="31"/>
      <c r="J158" s="23"/>
      <c r="K158" s="32"/>
      <c r="L158" s="32"/>
      <c r="M158" s="32"/>
      <c r="N158" s="32">
        <f>N159+N161+N163+N165+N167+N169+N171+N173+N175+N177+N179+N181+N183+N186+N189+N191+N193+N195+N197+N199+N202+N204+N206+N208+N211+N213+N215+N217+N219+N221+N223+N225+N227+N229+N231+N233+N237+N241</f>
        <v>0</v>
      </c>
      <c r="O158" s="32">
        <f>O159+O161+O163+O165+O167+O169+O171+O173+O175+O177+O179+O181+O183+O186+O189+O191+O193+O195+O197+O199+O202+O204+O206+O208+O211+O213+O215+O217+O219+O221+O223+O225+O227+O229+O231+O233+O237+O241</f>
        <v>0</v>
      </c>
      <c r="P158" s="32">
        <f>P159+P161+P163+P165+P167+P169+P171+P173+P175+P177+P179+P181+P183+P186+P189+P191+P193+P195+P197+P199+P202+P204+P206+P208+P211+P213+P215+P217+P219+P221+P223+P225+P227+P229+P231+P233+P237+P241</f>
        <v>0</v>
      </c>
      <c r="Q158" s="33"/>
      <c r="R158" s="23"/>
      <c r="XCY158"/>
      <c r="XCZ158"/>
      <c r="XDA158"/>
      <c r="XDB158"/>
      <c r="XDC158"/>
      <c r="XDD158"/>
      <c r="XDE158"/>
      <c r="XDF158"/>
      <c r="XDG158"/>
      <c r="XDH158"/>
      <c r="XDI158"/>
      <c r="XDJ158"/>
      <c r="XDK158"/>
      <c r="XDL158"/>
      <c r="XDM158"/>
      <c r="XDN158"/>
      <c r="XDO158"/>
      <c r="XDP158"/>
      <c r="XDQ158"/>
      <c r="XDR158"/>
      <c r="XDS158"/>
      <c r="XDT158"/>
      <c r="XDU158"/>
      <c r="XDV158"/>
      <c r="XDW158"/>
      <c r="XDX158"/>
      <c r="XDY158"/>
      <c r="XDZ158"/>
      <c r="XEA158"/>
      <c r="XEB158"/>
      <c r="XEC158"/>
      <c r="XED158"/>
      <c r="XEE158"/>
      <c r="XEF158"/>
      <c r="XEG158"/>
      <c r="XEH158"/>
      <c r="XEI158"/>
      <c r="XEJ158"/>
      <c r="XEK158"/>
      <c r="XEL158"/>
      <c r="XEM158"/>
      <c r="XEN158"/>
      <c r="XEO158"/>
      <c r="XEP158"/>
      <c r="XEQ158"/>
      <c r="XER158"/>
      <c r="XES158"/>
      <c r="XET158"/>
      <c r="XEU158"/>
      <c r="XEV158"/>
      <c r="XEW158"/>
      <c r="XEX158"/>
      <c r="XEY158"/>
      <c r="XEZ158"/>
      <c r="XFA158"/>
      <c r="XFB158"/>
      <c r="XFC158"/>
      <c r="XFD158"/>
    </row>
    <row r="159" spans="1:18 16327:16384" s="26" customFormat="1" ht="29.1" customHeight="1" outlineLevel="2" x14ac:dyDescent="0.25">
      <c r="A159" s="34" t="s">
        <v>290</v>
      </c>
      <c r="B159" s="35"/>
      <c r="C159" s="65" t="s">
        <v>36</v>
      </c>
      <c r="D159" s="65"/>
      <c r="E159" s="35"/>
      <c r="F159" s="36" t="s">
        <v>291</v>
      </c>
      <c r="G159" s="35" t="s">
        <v>31</v>
      </c>
      <c r="H159" s="37"/>
      <c r="I159" s="38">
        <f>4</f>
        <v>4</v>
      </c>
      <c r="J159" s="23"/>
      <c r="K159" s="39"/>
      <c r="L159" s="40"/>
      <c r="M159" s="41">
        <f>K159+L159</f>
        <v>0</v>
      </c>
      <c r="N159" s="41">
        <f t="shared" ref="N159:N190" si="5">ROUND((I159*K159),2)</f>
        <v>0</v>
      </c>
      <c r="O159" s="41">
        <f>ROUND((I159*L159),2)</f>
        <v>0</v>
      </c>
      <c r="P159" s="41">
        <f>ROUND((I159*M159),2)</f>
        <v>0</v>
      </c>
      <c r="Q159" s="41"/>
      <c r="R159" s="23"/>
      <c r="XCY159"/>
      <c r="XCZ159"/>
      <c r="XDA159"/>
      <c r="XDB159"/>
      <c r="XDC159"/>
      <c r="XDD159"/>
      <c r="XDE159"/>
      <c r="XDF159"/>
      <c r="XDG159"/>
      <c r="XDH159"/>
      <c r="XDI159"/>
      <c r="XDJ159"/>
      <c r="XDK159"/>
      <c r="XDL159"/>
      <c r="XDM159"/>
      <c r="XDN159"/>
      <c r="XDO159"/>
      <c r="XDP159"/>
      <c r="XDQ159"/>
      <c r="XDR159"/>
      <c r="XDS159"/>
      <c r="XDT159"/>
      <c r="XDU159"/>
      <c r="XDV159"/>
      <c r="XDW159"/>
      <c r="XDX159"/>
      <c r="XDY159"/>
      <c r="XDZ159"/>
      <c r="XEA159"/>
      <c r="XEB159"/>
      <c r="XEC159"/>
      <c r="XED159"/>
      <c r="XEE159"/>
      <c r="XEF159"/>
      <c r="XEG159"/>
      <c r="XEH159"/>
      <c r="XEI159"/>
      <c r="XEJ159"/>
      <c r="XEK159"/>
      <c r="XEL159"/>
      <c r="XEM159"/>
      <c r="XEN159"/>
      <c r="XEO159"/>
      <c r="XEP159"/>
      <c r="XEQ159"/>
      <c r="XER159"/>
      <c r="XES159"/>
      <c r="XET159"/>
      <c r="XEU159"/>
      <c r="XEV159"/>
      <c r="XEW159"/>
      <c r="XEX159"/>
      <c r="XEY159"/>
      <c r="XEZ159"/>
      <c r="XFA159"/>
      <c r="XFB159"/>
      <c r="XFC159"/>
      <c r="XFD159"/>
    </row>
    <row r="160" spans="1:18 16327:16384" s="26" customFormat="1" ht="29.1" customHeight="1" outlineLevel="3" x14ac:dyDescent="0.25">
      <c r="A160" s="42" t="s">
        <v>292</v>
      </c>
      <c r="B160" s="43"/>
      <c r="C160" s="66" t="s">
        <v>293</v>
      </c>
      <c r="D160" s="66"/>
      <c r="E160" s="43" t="s">
        <v>34</v>
      </c>
      <c r="F160" s="44"/>
      <c r="G160" s="43" t="s">
        <v>31</v>
      </c>
      <c r="H160" s="45">
        <v>1</v>
      </c>
      <c r="I160" s="46">
        <f>4</f>
        <v>4</v>
      </c>
      <c r="J160" s="23"/>
      <c r="K160" s="47"/>
      <c r="L160" s="48"/>
      <c r="M160" s="49"/>
      <c r="N160" s="49">
        <f t="shared" si="5"/>
        <v>0</v>
      </c>
      <c r="O160" s="49"/>
      <c r="P160" s="49"/>
      <c r="Q160" s="49"/>
      <c r="R160" s="23"/>
      <c r="XCY160"/>
      <c r="XCZ160"/>
      <c r="XDA160"/>
      <c r="XDB160"/>
      <c r="XDC160"/>
      <c r="XDD160"/>
      <c r="XDE160"/>
      <c r="XDF160"/>
      <c r="XDG160"/>
      <c r="XDH160"/>
      <c r="XDI160"/>
      <c r="XDJ160"/>
      <c r="XDK160"/>
      <c r="XDL160"/>
      <c r="XDM160"/>
      <c r="XDN160"/>
      <c r="XDO160"/>
      <c r="XDP160"/>
      <c r="XDQ160"/>
      <c r="XDR160"/>
      <c r="XDS160"/>
      <c r="XDT160"/>
      <c r="XDU160"/>
      <c r="XDV160"/>
      <c r="XDW160"/>
      <c r="XDX160"/>
      <c r="XDY160"/>
      <c r="XDZ160"/>
      <c r="XEA160"/>
      <c r="XEB160"/>
      <c r="XEC160"/>
      <c r="XED160"/>
      <c r="XEE160"/>
      <c r="XEF160"/>
      <c r="XEG160"/>
      <c r="XEH160"/>
      <c r="XEI160"/>
      <c r="XEJ160"/>
      <c r="XEK160"/>
      <c r="XEL160"/>
      <c r="XEM160"/>
      <c r="XEN160"/>
      <c r="XEO160"/>
      <c r="XEP160"/>
      <c r="XEQ160"/>
      <c r="XER160"/>
      <c r="XES160"/>
      <c r="XET160"/>
      <c r="XEU160"/>
      <c r="XEV160"/>
      <c r="XEW160"/>
      <c r="XEX160"/>
      <c r="XEY160"/>
      <c r="XEZ160"/>
      <c r="XFA160"/>
      <c r="XFB160"/>
      <c r="XFC160"/>
      <c r="XFD160"/>
    </row>
    <row r="161" spans="1:18 16327:16384" s="26" customFormat="1" ht="29.1" customHeight="1" outlineLevel="2" x14ac:dyDescent="0.25">
      <c r="A161" s="34" t="s">
        <v>294</v>
      </c>
      <c r="B161" s="35"/>
      <c r="C161" s="65" t="s">
        <v>36</v>
      </c>
      <c r="D161" s="65"/>
      <c r="E161" s="35"/>
      <c r="F161" s="36" t="s">
        <v>295</v>
      </c>
      <c r="G161" s="35" t="s">
        <v>31</v>
      </c>
      <c r="H161" s="37"/>
      <c r="I161" s="38">
        <f>2</f>
        <v>2</v>
      </c>
      <c r="J161" s="23"/>
      <c r="K161" s="39"/>
      <c r="L161" s="40"/>
      <c r="M161" s="41">
        <f>K161+L161</f>
        <v>0</v>
      </c>
      <c r="N161" s="41">
        <f t="shared" si="5"/>
        <v>0</v>
      </c>
      <c r="O161" s="41">
        <f>ROUND((I161*L161),2)</f>
        <v>0</v>
      </c>
      <c r="P161" s="41">
        <f>ROUND((I161*M161),2)</f>
        <v>0</v>
      </c>
      <c r="Q161" s="41"/>
      <c r="R161" s="23"/>
      <c r="XCY161"/>
      <c r="XCZ161"/>
      <c r="XDA161"/>
      <c r="XDB161"/>
      <c r="XDC161"/>
      <c r="XDD161"/>
      <c r="XDE161"/>
      <c r="XDF161"/>
      <c r="XDG161"/>
      <c r="XDH161"/>
      <c r="XDI161"/>
      <c r="XDJ161"/>
      <c r="XDK161"/>
      <c r="XDL161"/>
      <c r="XDM161"/>
      <c r="XDN161"/>
      <c r="XDO161"/>
      <c r="XDP161"/>
      <c r="XDQ161"/>
      <c r="XDR161"/>
      <c r="XDS161"/>
      <c r="XDT161"/>
      <c r="XDU161"/>
      <c r="XDV161"/>
      <c r="XDW161"/>
      <c r="XDX161"/>
      <c r="XDY161"/>
      <c r="XDZ161"/>
      <c r="XEA161"/>
      <c r="XEB161"/>
      <c r="XEC161"/>
      <c r="XED161"/>
      <c r="XEE161"/>
      <c r="XEF161"/>
      <c r="XEG161"/>
      <c r="XEH161"/>
      <c r="XEI161"/>
      <c r="XEJ161"/>
      <c r="XEK161"/>
      <c r="XEL161"/>
      <c r="XEM161"/>
      <c r="XEN161"/>
      <c r="XEO161"/>
      <c r="XEP161"/>
      <c r="XEQ161"/>
      <c r="XER161"/>
      <c r="XES161"/>
      <c r="XET161"/>
      <c r="XEU161"/>
      <c r="XEV161"/>
      <c r="XEW161"/>
      <c r="XEX161"/>
      <c r="XEY161"/>
      <c r="XEZ161"/>
      <c r="XFA161"/>
      <c r="XFB161"/>
      <c r="XFC161"/>
      <c r="XFD161"/>
    </row>
    <row r="162" spans="1:18 16327:16384" s="26" customFormat="1" ht="29.1" customHeight="1" outlineLevel="3" x14ac:dyDescent="0.25">
      <c r="A162" s="42" t="s">
        <v>296</v>
      </c>
      <c r="B162" s="43"/>
      <c r="C162" s="66" t="s">
        <v>297</v>
      </c>
      <c r="D162" s="66"/>
      <c r="E162" s="43" t="s">
        <v>34</v>
      </c>
      <c r="F162" s="44"/>
      <c r="G162" s="43" t="s">
        <v>31</v>
      </c>
      <c r="H162" s="45">
        <v>1</v>
      </c>
      <c r="I162" s="46">
        <f>2</f>
        <v>2</v>
      </c>
      <c r="J162" s="23"/>
      <c r="K162" s="47"/>
      <c r="L162" s="48"/>
      <c r="M162" s="49"/>
      <c r="N162" s="49">
        <f t="shared" si="5"/>
        <v>0</v>
      </c>
      <c r="O162" s="49"/>
      <c r="P162" s="49"/>
      <c r="Q162" s="49"/>
      <c r="R162" s="23"/>
      <c r="XCY162"/>
      <c r="XCZ162"/>
      <c r="XDA162"/>
      <c r="XDB162"/>
      <c r="XDC162"/>
      <c r="XDD162"/>
      <c r="XDE162"/>
      <c r="XDF162"/>
      <c r="XDG162"/>
      <c r="XDH162"/>
      <c r="XDI162"/>
      <c r="XDJ162"/>
      <c r="XDK162"/>
      <c r="XDL162"/>
      <c r="XDM162"/>
      <c r="XDN162"/>
      <c r="XDO162"/>
      <c r="XDP162"/>
      <c r="XDQ162"/>
      <c r="XDR162"/>
      <c r="XDS162"/>
      <c r="XDT162"/>
      <c r="XDU162"/>
      <c r="XDV162"/>
      <c r="XDW162"/>
      <c r="XDX162"/>
      <c r="XDY162"/>
      <c r="XDZ162"/>
      <c r="XEA162"/>
      <c r="XEB162"/>
      <c r="XEC162"/>
      <c r="XED162"/>
      <c r="XEE162"/>
      <c r="XEF162"/>
      <c r="XEG162"/>
      <c r="XEH162"/>
      <c r="XEI162"/>
      <c r="XEJ162"/>
      <c r="XEK162"/>
      <c r="XEL162"/>
      <c r="XEM162"/>
      <c r="XEN162"/>
      <c r="XEO162"/>
      <c r="XEP162"/>
      <c r="XEQ162"/>
      <c r="XER162"/>
      <c r="XES162"/>
      <c r="XET162"/>
      <c r="XEU162"/>
      <c r="XEV162"/>
      <c r="XEW162"/>
      <c r="XEX162"/>
      <c r="XEY162"/>
      <c r="XEZ162"/>
      <c r="XFA162"/>
      <c r="XFB162"/>
      <c r="XFC162"/>
      <c r="XFD162"/>
    </row>
    <row r="163" spans="1:18 16327:16384" s="26" customFormat="1" ht="29.1" customHeight="1" outlineLevel="2" x14ac:dyDescent="0.25">
      <c r="A163" s="34" t="s">
        <v>298</v>
      </c>
      <c r="B163" s="35"/>
      <c r="C163" s="65" t="s">
        <v>36</v>
      </c>
      <c r="D163" s="65"/>
      <c r="E163" s="35"/>
      <c r="F163" s="36" t="s">
        <v>299</v>
      </c>
      <c r="G163" s="35" t="s">
        <v>31</v>
      </c>
      <c r="H163" s="37"/>
      <c r="I163" s="38">
        <f>4</f>
        <v>4</v>
      </c>
      <c r="J163" s="23"/>
      <c r="K163" s="39"/>
      <c r="L163" s="40"/>
      <c r="M163" s="41">
        <f>K163+L163</f>
        <v>0</v>
      </c>
      <c r="N163" s="41">
        <f t="shared" si="5"/>
        <v>0</v>
      </c>
      <c r="O163" s="41">
        <f>ROUND((I163*L163),2)</f>
        <v>0</v>
      </c>
      <c r="P163" s="41">
        <f>ROUND((I163*M163),2)</f>
        <v>0</v>
      </c>
      <c r="Q163" s="41"/>
      <c r="R163" s="23"/>
      <c r="XCY163"/>
      <c r="XCZ163"/>
      <c r="XDA163"/>
      <c r="XDB163"/>
      <c r="XDC163"/>
      <c r="XDD163"/>
      <c r="XDE163"/>
      <c r="XDF163"/>
      <c r="XDG163"/>
      <c r="XDH163"/>
      <c r="XDI163"/>
      <c r="XDJ163"/>
      <c r="XDK163"/>
      <c r="XDL163"/>
      <c r="XDM163"/>
      <c r="XDN163"/>
      <c r="XDO163"/>
      <c r="XDP163"/>
      <c r="XDQ163"/>
      <c r="XDR163"/>
      <c r="XDS163"/>
      <c r="XDT163"/>
      <c r="XDU163"/>
      <c r="XDV163"/>
      <c r="XDW163"/>
      <c r="XDX163"/>
      <c r="XDY163"/>
      <c r="XDZ163"/>
      <c r="XEA163"/>
      <c r="XEB163"/>
      <c r="XEC163"/>
      <c r="XED163"/>
      <c r="XEE163"/>
      <c r="XEF163"/>
      <c r="XEG163"/>
      <c r="XEH163"/>
      <c r="XEI163"/>
      <c r="XEJ163"/>
      <c r="XEK163"/>
      <c r="XEL163"/>
      <c r="XEM163"/>
      <c r="XEN163"/>
      <c r="XEO163"/>
      <c r="XEP163"/>
      <c r="XEQ163"/>
      <c r="XER163"/>
      <c r="XES163"/>
      <c r="XET163"/>
      <c r="XEU163"/>
      <c r="XEV163"/>
      <c r="XEW163"/>
      <c r="XEX163"/>
      <c r="XEY163"/>
      <c r="XEZ163"/>
      <c r="XFA163"/>
      <c r="XFB163"/>
      <c r="XFC163"/>
      <c r="XFD163"/>
    </row>
    <row r="164" spans="1:18 16327:16384" s="26" customFormat="1" ht="29.1" customHeight="1" outlineLevel="3" x14ac:dyDescent="0.25">
      <c r="A164" s="42" t="s">
        <v>300</v>
      </c>
      <c r="B164" s="43"/>
      <c r="C164" s="66" t="s">
        <v>301</v>
      </c>
      <c r="D164" s="66"/>
      <c r="E164" s="43" t="s">
        <v>34</v>
      </c>
      <c r="F164" s="44"/>
      <c r="G164" s="43" t="s">
        <v>31</v>
      </c>
      <c r="H164" s="45">
        <v>1</v>
      </c>
      <c r="I164" s="46">
        <f>4</f>
        <v>4</v>
      </c>
      <c r="J164" s="23"/>
      <c r="K164" s="47"/>
      <c r="L164" s="48"/>
      <c r="M164" s="49"/>
      <c r="N164" s="49">
        <f t="shared" si="5"/>
        <v>0</v>
      </c>
      <c r="O164" s="49"/>
      <c r="P164" s="49"/>
      <c r="Q164" s="49"/>
      <c r="R164" s="23"/>
      <c r="XCY164"/>
      <c r="XCZ164"/>
      <c r="XDA164"/>
      <c r="XDB164"/>
      <c r="XDC164"/>
      <c r="XDD164"/>
      <c r="XDE164"/>
      <c r="XDF164"/>
      <c r="XDG164"/>
      <c r="XDH164"/>
      <c r="XDI164"/>
      <c r="XDJ164"/>
      <c r="XDK164"/>
      <c r="XDL164"/>
      <c r="XDM164"/>
      <c r="XDN164"/>
      <c r="XDO164"/>
      <c r="XDP164"/>
      <c r="XDQ164"/>
      <c r="XDR164"/>
      <c r="XDS164"/>
      <c r="XDT164"/>
      <c r="XDU164"/>
      <c r="XDV164"/>
      <c r="XDW164"/>
      <c r="XDX164"/>
      <c r="XDY164"/>
      <c r="XDZ164"/>
      <c r="XEA164"/>
      <c r="XEB164"/>
      <c r="XEC164"/>
      <c r="XED164"/>
      <c r="XEE164"/>
      <c r="XEF164"/>
      <c r="XEG164"/>
      <c r="XEH164"/>
      <c r="XEI164"/>
      <c r="XEJ164"/>
      <c r="XEK164"/>
      <c r="XEL164"/>
      <c r="XEM164"/>
      <c r="XEN164"/>
      <c r="XEO164"/>
      <c r="XEP164"/>
      <c r="XEQ164"/>
      <c r="XER164"/>
      <c r="XES164"/>
      <c r="XET164"/>
      <c r="XEU164"/>
      <c r="XEV164"/>
      <c r="XEW164"/>
      <c r="XEX164"/>
      <c r="XEY164"/>
      <c r="XEZ164"/>
      <c r="XFA164"/>
      <c r="XFB164"/>
      <c r="XFC164"/>
      <c r="XFD164"/>
    </row>
    <row r="165" spans="1:18 16327:16384" s="26" customFormat="1" ht="29.1" customHeight="1" outlineLevel="2" x14ac:dyDescent="0.25">
      <c r="A165" s="34" t="s">
        <v>302</v>
      </c>
      <c r="B165" s="35"/>
      <c r="C165" s="65" t="s">
        <v>36</v>
      </c>
      <c r="D165" s="65"/>
      <c r="E165" s="35"/>
      <c r="F165" s="36" t="s">
        <v>291</v>
      </c>
      <c r="G165" s="35" t="s">
        <v>31</v>
      </c>
      <c r="H165" s="37"/>
      <c r="I165" s="38">
        <f>2</f>
        <v>2</v>
      </c>
      <c r="J165" s="23"/>
      <c r="K165" s="39"/>
      <c r="L165" s="40"/>
      <c r="M165" s="41">
        <f>K165+L165</f>
        <v>0</v>
      </c>
      <c r="N165" s="41">
        <f t="shared" si="5"/>
        <v>0</v>
      </c>
      <c r="O165" s="41">
        <f>ROUND((I165*L165),2)</f>
        <v>0</v>
      </c>
      <c r="P165" s="41">
        <f>ROUND((I165*M165),2)</f>
        <v>0</v>
      </c>
      <c r="Q165" s="41"/>
      <c r="R165" s="23"/>
      <c r="XCY165"/>
      <c r="XCZ165"/>
      <c r="XDA165"/>
      <c r="XDB165"/>
      <c r="XDC165"/>
      <c r="XDD165"/>
      <c r="XDE165"/>
      <c r="XDF165"/>
      <c r="XDG165"/>
      <c r="XDH165"/>
      <c r="XDI165"/>
      <c r="XDJ165"/>
      <c r="XDK165"/>
      <c r="XDL165"/>
      <c r="XDM165"/>
      <c r="XDN165"/>
      <c r="XDO165"/>
      <c r="XDP165"/>
      <c r="XDQ165"/>
      <c r="XDR165"/>
      <c r="XDS165"/>
      <c r="XDT165"/>
      <c r="XDU165"/>
      <c r="XDV165"/>
      <c r="XDW165"/>
      <c r="XDX165"/>
      <c r="XDY165"/>
      <c r="XDZ165"/>
      <c r="XEA165"/>
      <c r="XEB165"/>
      <c r="XEC165"/>
      <c r="XED165"/>
      <c r="XEE165"/>
      <c r="XEF165"/>
      <c r="XEG165"/>
      <c r="XEH165"/>
      <c r="XEI165"/>
      <c r="XEJ165"/>
      <c r="XEK165"/>
      <c r="XEL165"/>
      <c r="XEM165"/>
      <c r="XEN165"/>
      <c r="XEO165"/>
      <c r="XEP165"/>
      <c r="XEQ165"/>
      <c r="XER165"/>
      <c r="XES165"/>
      <c r="XET165"/>
      <c r="XEU165"/>
      <c r="XEV165"/>
      <c r="XEW165"/>
      <c r="XEX165"/>
      <c r="XEY165"/>
      <c r="XEZ165"/>
      <c r="XFA165"/>
      <c r="XFB165"/>
      <c r="XFC165"/>
      <c r="XFD165"/>
    </row>
    <row r="166" spans="1:18 16327:16384" s="26" customFormat="1" ht="29.1" customHeight="1" outlineLevel="3" x14ac:dyDescent="0.25">
      <c r="A166" s="42" t="s">
        <v>303</v>
      </c>
      <c r="B166" s="43"/>
      <c r="C166" s="66" t="s">
        <v>304</v>
      </c>
      <c r="D166" s="66"/>
      <c r="E166" s="43" t="s">
        <v>34</v>
      </c>
      <c r="F166" s="44"/>
      <c r="G166" s="43" t="s">
        <v>31</v>
      </c>
      <c r="H166" s="45">
        <v>1</v>
      </c>
      <c r="I166" s="46">
        <f>2</f>
        <v>2</v>
      </c>
      <c r="J166" s="23"/>
      <c r="K166" s="47"/>
      <c r="L166" s="48"/>
      <c r="M166" s="49"/>
      <c r="N166" s="49">
        <f t="shared" si="5"/>
        <v>0</v>
      </c>
      <c r="O166" s="49"/>
      <c r="P166" s="49"/>
      <c r="Q166" s="49"/>
      <c r="R166" s="23"/>
      <c r="XCY166"/>
      <c r="XCZ166"/>
      <c r="XDA166"/>
      <c r="XDB166"/>
      <c r="XDC166"/>
      <c r="XDD166"/>
      <c r="XDE166"/>
      <c r="XDF166"/>
      <c r="XDG166"/>
      <c r="XDH166"/>
      <c r="XDI166"/>
      <c r="XDJ166"/>
      <c r="XDK166"/>
      <c r="XDL166"/>
      <c r="XDM166"/>
      <c r="XDN166"/>
      <c r="XDO166"/>
      <c r="XDP166"/>
      <c r="XDQ166"/>
      <c r="XDR166"/>
      <c r="XDS166"/>
      <c r="XDT166"/>
      <c r="XDU166"/>
      <c r="XDV166"/>
      <c r="XDW166"/>
      <c r="XDX166"/>
      <c r="XDY166"/>
      <c r="XDZ166"/>
      <c r="XEA166"/>
      <c r="XEB166"/>
      <c r="XEC166"/>
      <c r="XED166"/>
      <c r="XEE166"/>
      <c r="XEF166"/>
      <c r="XEG166"/>
      <c r="XEH166"/>
      <c r="XEI166"/>
      <c r="XEJ166"/>
      <c r="XEK166"/>
      <c r="XEL166"/>
      <c r="XEM166"/>
      <c r="XEN166"/>
      <c r="XEO166"/>
      <c r="XEP166"/>
      <c r="XEQ166"/>
      <c r="XER166"/>
      <c r="XES166"/>
      <c r="XET166"/>
      <c r="XEU166"/>
      <c r="XEV166"/>
      <c r="XEW166"/>
      <c r="XEX166"/>
      <c r="XEY166"/>
      <c r="XEZ166"/>
      <c r="XFA166"/>
      <c r="XFB166"/>
      <c r="XFC166"/>
      <c r="XFD166"/>
    </row>
    <row r="167" spans="1:18 16327:16384" s="26" customFormat="1" ht="29.1" customHeight="1" outlineLevel="2" x14ac:dyDescent="0.25">
      <c r="A167" s="34" t="s">
        <v>305</v>
      </c>
      <c r="B167" s="35"/>
      <c r="C167" s="65" t="s">
        <v>36</v>
      </c>
      <c r="D167" s="65"/>
      <c r="E167" s="35"/>
      <c r="F167" s="36" t="s">
        <v>306</v>
      </c>
      <c r="G167" s="35" t="s">
        <v>31</v>
      </c>
      <c r="H167" s="37"/>
      <c r="I167" s="38">
        <f>1</f>
        <v>1</v>
      </c>
      <c r="J167" s="23"/>
      <c r="K167" s="39"/>
      <c r="L167" s="40"/>
      <c r="M167" s="41">
        <f>K167+L167</f>
        <v>0</v>
      </c>
      <c r="N167" s="41">
        <f t="shared" si="5"/>
        <v>0</v>
      </c>
      <c r="O167" s="41">
        <f>ROUND((I167*L167),2)</f>
        <v>0</v>
      </c>
      <c r="P167" s="41">
        <f>ROUND((I167*M167),2)</f>
        <v>0</v>
      </c>
      <c r="Q167" s="41"/>
      <c r="R167" s="23"/>
      <c r="XCY167"/>
      <c r="XCZ167"/>
      <c r="XDA167"/>
      <c r="XDB167"/>
      <c r="XDC167"/>
      <c r="XDD167"/>
      <c r="XDE167"/>
      <c r="XDF167"/>
      <c r="XDG167"/>
      <c r="XDH167"/>
      <c r="XDI167"/>
      <c r="XDJ167"/>
      <c r="XDK167"/>
      <c r="XDL167"/>
      <c r="XDM167"/>
      <c r="XDN167"/>
      <c r="XDO167"/>
      <c r="XDP167"/>
      <c r="XDQ167"/>
      <c r="XDR167"/>
      <c r="XDS167"/>
      <c r="XDT167"/>
      <c r="XDU167"/>
      <c r="XDV167"/>
      <c r="XDW167"/>
      <c r="XDX167"/>
      <c r="XDY167"/>
      <c r="XDZ167"/>
      <c r="XEA167"/>
      <c r="XEB167"/>
      <c r="XEC167"/>
      <c r="XED167"/>
      <c r="XEE167"/>
      <c r="XEF167"/>
      <c r="XEG167"/>
      <c r="XEH167"/>
      <c r="XEI167"/>
      <c r="XEJ167"/>
      <c r="XEK167"/>
      <c r="XEL167"/>
      <c r="XEM167"/>
      <c r="XEN167"/>
      <c r="XEO167"/>
      <c r="XEP167"/>
      <c r="XEQ167"/>
      <c r="XER167"/>
      <c r="XES167"/>
      <c r="XET167"/>
      <c r="XEU167"/>
      <c r="XEV167"/>
      <c r="XEW167"/>
      <c r="XEX167"/>
      <c r="XEY167"/>
      <c r="XEZ167"/>
      <c r="XFA167"/>
      <c r="XFB167"/>
      <c r="XFC167"/>
      <c r="XFD167"/>
    </row>
    <row r="168" spans="1:18 16327:16384" s="26" customFormat="1" ht="29.1" customHeight="1" outlineLevel="3" x14ac:dyDescent="0.25">
      <c r="A168" s="42" t="s">
        <v>307</v>
      </c>
      <c r="B168" s="43"/>
      <c r="C168" s="66" t="s">
        <v>308</v>
      </c>
      <c r="D168" s="66"/>
      <c r="E168" s="43" t="s">
        <v>34</v>
      </c>
      <c r="F168" s="44"/>
      <c r="G168" s="43" t="s">
        <v>31</v>
      </c>
      <c r="H168" s="45">
        <v>1</v>
      </c>
      <c r="I168" s="46">
        <f>1</f>
        <v>1</v>
      </c>
      <c r="J168" s="23"/>
      <c r="K168" s="47"/>
      <c r="L168" s="48"/>
      <c r="M168" s="49"/>
      <c r="N168" s="49">
        <f t="shared" si="5"/>
        <v>0</v>
      </c>
      <c r="O168" s="49"/>
      <c r="P168" s="49"/>
      <c r="Q168" s="49"/>
      <c r="R168" s="23"/>
      <c r="XCY168"/>
      <c r="XCZ168"/>
      <c r="XDA168"/>
      <c r="XDB168"/>
      <c r="XDC168"/>
      <c r="XDD168"/>
      <c r="XDE168"/>
      <c r="XDF168"/>
      <c r="XDG168"/>
      <c r="XDH168"/>
      <c r="XDI168"/>
      <c r="XDJ168"/>
      <c r="XDK168"/>
      <c r="XDL168"/>
      <c r="XDM168"/>
      <c r="XDN168"/>
      <c r="XDO168"/>
      <c r="XDP168"/>
      <c r="XDQ168"/>
      <c r="XDR168"/>
      <c r="XDS168"/>
      <c r="XDT168"/>
      <c r="XDU168"/>
      <c r="XDV168"/>
      <c r="XDW168"/>
      <c r="XDX168"/>
      <c r="XDY168"/>
      <c r="XDZ168"/>
      <c r="XEA168"/>
      <c r="XEB168"/>
      <c r="XEC168"/>
      <c r="XED168"/>
      <c r="XEE168"/>
      <c r="XEF168"/>
      <c r="XEG168"/>
      <c r="XEH168"/>
      <c r="XEI168"/>
      <c r="XEJ168"/>
      <c r="XEK168"/>
      <c r="XEL168"/>
      <c r="XEM168"/>
      <c r="XEN168"/>
      <c r="XEO168"/>
      <c r="XEP168"/>
      <c r="XEQ168"/>
      <c r="XER168"/>
      <c r="XES168"/>
      <c r="XET168"/>
      <c r="XEU168"/>
      <c r="XEV168"/>
      <c r="XEW168"/>
      <c r="XEX168"/>
      <c r="XEY168"/>
      <c r="XEZ168"/>
      <c r="XFA168"/>
      <c r="XFB168"/>
      <c r="XFC168"/>
      <c r="XFD168"/>
    </row>
    <row r="169" spans="1:18 16327:16384" s="26" customFormat="1" ht="29.1" customHeight="1" outlineLevel="2" x14ac:dyDescent="0.25">
      <c r="A169" s="34" t="s">
        <v>309</v>
      </c>
      <c r="B169" s="35"/>
      <c r="C169" s="65" t="s">
        <v>36</v>
      </c>
      <c r="D169" s="65"/>
      <c r="E169" s="35"/>
      <c r="F169" s="36" t="s">
        <v>291</v>
      </c>
      <c r="G169" s="35" t="s">
        <v>31</v>
      </c>
      <c r="H169" s="37"/>
      <c r="I169" s="38">
        <f>4</f>
        <v>4</v>
      </c>
      <c r="J169" s="23"/>
      <c r="K169" s="39"/>
      <c r="L169" s="40"/>
      <c r="M169" s="41">
        <f>K169+L169</f>
        <v>0</v>
      </c>
      <c r="N169" s="41">
        <f t="shared" si="5"/>
        <v>0</v>
      </c>
      <c r="O169" s="41">
        <f>ROUND((I169*L169),2)</f>
        <v>0</v>
      </c>
      <c r="P169" s="41">
        <f>ROUND((I169*M169),2)</f>
        <v>0</v>
      </c>
      <c r="Q169" s="41"/>
      <c r="R169" s="23"/>
      <c r="XCY169"/>
      <c r="XCZ169"/>
      <c r="XDA169"/>
      <c r="XDB169"/>
      <c r="XDC169"/>
      <c r="XDD169"/>
      <c r="XDE169"/>
      <c r="XDF169"/>
      <c r="XDG169"/>
      <c r="XDH169"/>
      <c r="XDI169"/>
      <c r="XDJ169"/>
      <c r="XDK169"/>
      <c r="XDL169"/>
      <c r="XDM169"/>
      <c r="XDN169"/>
      <c r="XDO169"/>
      <c r="XDP169"/>
      <c r="XDQ169"/>
      <c r="XDR169"/>
      <c r="XDS169"/>
      <c r="XDT169"/>
      <c r="XDU169"/>
      <c r="XDV169"/>
      <c r="XDW169"/>
      <c r="XDX169"/>
      <c r="XDY169"/>
      <c r="XDZ169"/>
      <c r="XEA169"/>
      <c r="XEB169"/>
      <c r="XEC169"/>
      <c r="XED169"/>
      <c r="XEE169"/>
      <c r="XEF169"/>
      <c r="XEG169"/>
      <c r="XEH169"/>
      <c r="XEI169"/>
      <c r="XEJ169"/>
      <c r="XEK169"/>
      <c r="XEL169"/>
      <c r="XEM169"/>
      <c r="XEN169"/>
      <c r="XEO169"/>
      <c r="XEP169"/>
      <c r="XEQ169"/>
      <c r="XER169"/>
      <c r="XES169"/>
      <c r="XET169"/>
      <c r="XEU169"/>
      <c r="XEV169"/>
      <c r="XEW169"/>
      <c r="XEX169"/>
      <c r="XEY169"/>
      <c r="XEZ169"/>
      <c r="XFA169"/>
      <c r="XFB169"/>
      <c r="XFC169"/>
      <c r="XFD169"/>
    </row>
    <row r="170" spans="1:18 16327:16384" s="26" customFormat="1" ht="29.1" customHeight="1" outlineLevel="3" x14ac:dyDescent="0.25">
      <c r="A170" s="42" t="s">
        <v>310</v>
      </c>
      <c r="B170" s="43"/>
      <c r="C170" s="66" t="s">
        <v>311</v>
      </c>
      <c r="D170" s="66"/>
      <c r="E170" s="43" t="s">
        <v>34</v>
      </c>
      <c r="F170" s="44"/>
      <c r="G170" s="43" t="s">
        <v>31</v>
      </c>
      <c r="H170" s="45">
        <v>1</v>
      </c>
      <c r="I170" s="46">
        <f>4</f>
        <v>4</v>
      </c>
      <c r="J170" s="23"/>
      <c r="K170" s="47"/>
      <c r="L170" s="48"/>
      <c r="M170" s="49"/>
      <c r="N170" s="49">
        <f t="shared" si="5"/>
        <v>0</v>
      </c>
      <c r="O170" s="49"/>
      <c r="P170" s="49"/>
      <c r="Q170" s="49"/>
      <c r="R170" s="23"/>
      <c r="XCY170"/>
      <c r="XCZ170"/>
      <c r="XDA170"/>
      <c r="XDB170"/>
      <c r="XDC170"/>
      <c r="XDD170"/>
      <c r="XDE170"/>
      <c r="XDF170"/>
      <c r="XDG170"/>
      <c r="XDH170"/>
      <c r="XDI170"/>
      <c r="XDJ170"/>
      <c r="XDK170"/>
      <c r="XDL170"/>
      <c r="XDM170"/>
      <c r="XDN170"/>
      <c r="XDO170"/>
      <c r="XDP170"/>
      <c r="XDQ170"/>
      <c r="XDR170"/>
      <c r="XDS170"/>
      <c r="XDT170"/>
      <c r="XDU170"/>
      <c r="XDV170"/>
      <c r="XDW170"/>
      <c r="XDX170"/>
      <c r="XDY170"/>
      <c r="XDZ170"/>
      <c r="XEA170"/>
      <c r="XEB170"/>
      <c r="XEC170"/>
      <c r="XED170"/>
      <c r="XEE170"/>
      <c r="XEF170"/>
      <c r="XEG170"/>
      <c r="XEH170"/>
      <c r="XEI170"/>
      <c r="XEJ170"/>
      <c r="XEK170"/>
      <c r="XEL170"/>
      <c r="XEM170"/>
      <c r="XEN170"/>
      <c r="XEO170"/>
      <c r="XEP170"/>
      <c r="XEQ170"/>
      <c r="XER170"/>
      <c r="XES170"/>
      <c r="XET170"/>
      <c r="XEU170"/>
      <c r="XEV170"/>
      <c r="XEW170"/>
      <c r="XEX170"/>
      <c r="XEY170"/>
      <c r="XEZ170"/>
      <c r="XFA170"/>
      <c r="XFB170"/>
      <c r="XFC170"/>
      <c r="XFD170"/>
    </row>
    <row r="171" spans="1:18 16327:16384" s="26" customFormat="1" ht="29.1" customHeight="1" outlineLevel="2" x14ac:dyDescent="0.25">
      <c r="A171" s="34" t="s">
        <v>312</v>
      </c>
      <c r="B171" s="35"/>
      <c r="C171" s="65" t="s">
        <v>36</v>
      </c>
      <c r="D171" s="65"/>
      <c r="E171" s="35"/>
      <c r="F171" s="36" t="s">
        <v>295</v>
      </c>
      <c r="G171" s="35" t="s">
        <v>31</v>
      </c>
      <c r="H171" s="37"/>
      <c r="I171" s="38">
        <f>2</f>
        <v>2</v>
      </c>
      <c r="J171" s="23"/>
      <c r="K171" s="39"/>
      <c r="L171" s="40"/>
      <c r="M171" s="41">
        <f>K171+L171</f>
        <v>0</v>
      </c>
      <c r="N171" s="41">
        <f t="shared" si="5"/>
        <v>0</v>
      </c>
      <c r="O171" s="41">
        <f>ROUND((I171*L171),2)</f>
        <v>0</v>
      </c>
      <c r="P171" s="41">
        <f>ROUND((I171*M171),2)</f>
        <v>0</v>
      </c>
      <c r="Q171" s="41"/>
      <c r="R171" s="23"/>
      <c r="XCY171"/>
      <c r="XCZ171"/>
      <c r="XDA171"/>
      <c r="XDB171"/>
      <c r="XDC171"/>
      <c r="XDD171"/>
      <c r="XDE171"/>
      <c r="XDF171"/>
      <c r="XDG171"/>
      <c r="XDH171"/>
      <c r="XDI171"/>
      <c r="XDJ171"/>
      <c r="XDK171"/>
      <c r="XDL171"/>
      <c r="XDM171"/>
      <c r="XDN171"/>
      <c r="XDO171"/>
      <c r="XDP171"/>
      <c r="XDQ171"/>
      <c r="XDR171"/>
      <c r="XDS171"/>
      <c r="XDT171"/>
      <c r="XDU171"/>
      <c r="XDV171"/>
      <c r="XDW171"/>
      <c r="XDX171"/>
      <c r="XDY171"/>
      <c r="XDZ171"/>
      <c r="XEA171"/>
      <c r="XEB171"/>
      <c r="XEC171"/>
      <c r="XED171"/>
      <c r="XEE171"/>
      <c r="XEF171"/>
      <c r="XEG171"/>
      <c r="XEH171"/>
      <c r="XEI171"/>
      <c r="XEJ171"/>
      <c r="XEK171"/>
      <c r="XEL171"/>
      <c r="XEM171"/>
      <c r="XEN171"/>
      <c r="XEO171"/>
      <c r="XEP171"/>
      <c r="XEQ171"/>
      <c r="XER171"/>
      <c r="XES171"/>
      <c r="XET171"/>
      <c r="XEU171"/>
      <c r="XEV171"/>
      <c r="XEW171"/>
      <c r="XEX171"/>
      <c r="XEY171"/>
      <c r="XEZ171"/>
      <c r="XFA171"/>
      <c r="XFB171"/>
      <c r="XFC171"/>
      <c r="XFD171"/>
    </row>
    <row r="172" spans="1:18 16327:16384" s="26" customFormat="1" ht="29.1" customHeight="1" outlineLevel="3" x14ac:dyDescent="0.25">
      <c r="A172" s="42" t="s">
        <v>313</v>
      </c>
      <c r="B172" s="43"/>
      <c r="C172" s="66" t="s">
        <v>314</v>
      </c>
      <c r="D172" s="66"/>
      <c r="E172" s="43" t="s">
        <v>34</v>
      </c>
      <c r="F172" s="44"/>
      <c r="G172" s="43" t="s">
        <v>31</v>
      </c>
      <c r="H172" s="45">
        <v>1</v>
      </c>
      <c r="I172" s="46">
        <f>2</f>
        <v>2</v>
      </c>
      <c r="J172" s="23"/>
      <c r="K172" s="47"/>
      <c r="L172" s="48"/>
      <c r="M172" s="49"/>
      <c r="N172" s="49">
        <f t="shared" si="5"/>
        <v>0</v>
      </c>
      <c r="O172" s="49"/>
      <c r="P172" s="49"/>
      <c r="Q172" s="49"/>
      <c r="R172" s="23"/>
      <c r="XCY172"/>
      <c r="XCZ172"/>
      <c r="XDA172"/>
      <c r="XDB172"/>
      <c r="XDC172"/>
      <c r="XDD172"/>
      <c r="XDE172"/>
      <c r="XDF172"/>
      <c r="XDG172"/>
      <c r="XDH172"/>
      <c r="XDI172"/>
      <c r="XDJ172"/>
      <c r="XDK172"/>
      <c r="XDL172"/>
      <c r="XDM172"/>
      <c r="XDN172"/>
      <c r="XDO172"/>
      <c r="XDP172"/>
      <c r="XDQ172"/>
      <c r="XDR172"/>
      <c r="XDS172"/>
      <c r="XDT172"/>
      <c r="XDU172"/>
      <c r="XDV172"/>
      <c r="XDW172"/>
      <c r="XDX172"/>
      <c r="XDY172"/>
      <c r="XDZ172"/>
      <c r="XEA172"/>
      <c r="XEB172"/>
      <c r="XEC172"/>
      <c r="XED172"/>
      <c r="XEE172"/>
      <c r="XEF172"/>
      <c r="XEG172"/>
      <c r="XEH172"/>
      <c r="XEI172"/>
      <c r="XEJ172"/>
      <c r="XEK172"/>
      <c r="XEL172"/>
      <c r="XEM172"/>
      <c r="XEN172"/>
      <c r="XEO172"/>
      <c r="XEP172"/>
      <c r="XEQ172"/>
      <c r="XER172"/>
      <c r="XES172"/>
      <c r="XET172"/>
      <c r="XEU172"/>
      <c r="XEV172"/>
      <c r="XEW172"/>
      <c r="XEX172"/>
      <c r="XEY172"/>
      <c r="XEZ172"/>
      <c r="XFA172"/>
      <c r="XFB172"/>
      <c r="XFC172"/>
      <c r="XFD172"/>
    </row>
    <row r="173" spans="1:18 16327:16384" s="26" customFormat="1" ht="29.1" customHeight="1" outlineLevel="2" x14ac:dyDescent="0.25">
      <c r="A173" s="34" t="s">
        <v>315</v>
      </c>
      <c r="B173" s="35"/>
      <c r="C173" s="65" t="s">
        <v>36</v>
      </c>
      <c r="D173" s="65"/>
      <c r="E173" s="35"/>
      <c r="F173" s="36" t="s">
        <v>299</v>
      </c>
      <c r="G173" s="35" t="s">
        <v>31</v>
      </c>
      <c r="H173" s="37"/>
      <c r="I173" s="38">
        <f>90</f>
        <v>90</v>
      </c>
      <c r="J173" s="23"/>
      <c r="K173" s="39"/>
      <c r="L173" s="40"/>
      <c r="M173" s="41">
        <f>K173+L173</f>
        <v>0</v>
      </c>
      <c r="N173" s="41">
        <f t="shared" si="5"/>
        <v>0</v>
      </c>
      <c r="O173" s="41">
        <f>ROUND((I173*L173),2)</f>
        <v>0</v>
      </c>
      <c r="P173" s="41">
        <f>ROUND((I173*M173),2)</f>
        <v>0</v>
      </c>
      <c r="Q173" s="41"/>
      <c r="R173" s="23"/>
      <c r="XCY173"/>
      <c r="XCZ173"/>
      <c r="XDA173"/>
      <c r="XDB173"/>
      <c r="XDC173"/>
      <c r="XDD173"/>
      <c r="XDE173"/>
      <c r="XDF173"/>
      <c r="XDG173"/>
      <c r="XDH173"/>
      <c r="XDI173"/>
      <c r="XDJ173"/>
      <c r="XDK173"/>
      <c r="XDL173"/>
      <c r="XDM173"/>
      <c r="XDN173"/>
      <c r="XDO173"/>
      <c r="XDP173"/>
      <c r="XDQ173"/>
      <c r="XDR173"/>
      <c r="XDS173"/>
      <c r="XDT173"/>
      <c r="XDU173"/>
      <c r="XDV173"/>
      <c r="XDW173"/>
      <c r="XDX173"/>
      <c r="XDY173"/>
      <c r="XDZ173"/>
      <c r="XEA173"/>
      <c r="XEB173"/>
      <c r="XEC173"/>
      <c r="XED173"/>
      <c r="XEE173"/>
      <c r="XEF173"/>
      <c r="XEG173"/>
      <c r="XEH173"/>
      <c r="XEI173"/>
      <c r="XEJ173"/>
      <c r="XEK173"/>
      <c r="XEL173"/>
      <c r="XEM173"/>
      <c r="XEN173"/>
      <c r="XEO173"/>
      <c r="XEP173"/>
      <c r="XEQ173"/>
      <c r="XER173"/>
      <c r="XES173"/>
      <c r="XET173"/>
      <c r="XEU173"/>
      <c r="XEV173"/>
      <c r="XEW173"/>
      <c r="XEX173"/>
      <c r="XEY173"/>
      <c r="XEZ173"/>
      <c r="XFA173"/>
      <c r="XFB173"/>
      <c r="XFC173"/>
      <c r="XFD173"/>
    </row>
    <row r="174" spans="1:18 16327:16384" s="26" customFormat="1" ht="29.1" customHeight="1" outlineLevel="3" x14ac:dyDescent="0.25">
      <c r="A174" s="42" t="s">
        <v>316</v>
      </c>
      <c r="B174" s="43"/>
      <c r="C174" s="66" t="s">
        <v>317</v>
      </c>
      <c r="D174" s="66"/>
      <c r="E174" s="43" t="s">
        <v>34</v>
      </c>
      <c r="F174" s="44"/>
      <c r="G174" s="43" t="s">
        <v>31</v>
      </c>
      <c r="H174" s="45">
        <v>1</v>
      </c>
      <c r="I174" s="46">
        <f>90</f>
        <v>90</v>
      </c>
      <c r="J174" s="23"/>
      <c r="K174" s="47"/>
      <c r="L174" s="48"/>
      <c r="M174" s="49"/>
      <c r="N174" s="49">
        <f t="shared" si="5"/>
        <v>0</v>
      </c>
      <c r="O174" s="49"/>
      <c r="P174" s="49"/>
      <c r="Q174" s="49"/>
      <c r="R174" s="23"/>
      <c r="XCY174"/>
      <c r="XCZ174"/>
      <c r="XDA174"/>
      <c r="XDB174"/>
      <c r="XDC174"/>
      <c r="XDD174"/>
      <c r="XDE174"/>
      <c r="XDF174"/>
      <c r="XDG174"/>
      <c r="XDH174"/>
      <c r="XDI174"/>
      <c r="XDJ174"/>
      <c r="XDK174"/>
      <c r="XDL174"/>
      <c r="XDM174"/>
      <c r="XDN174"/>
      <c r="XDO174"/>
      <c r="XDP174"/>
      <c r="XDQ174"/>
      <c r="XDR174"/>
      <c r="XDS174"/>
      <c r="XDT174"/>
      <c r="XDU174"/>
      <c r="XDV174"/>
      <c r="XDW174"/>
      <c r="XDX174"/>
      <c r="XDY174"/>
      <c r="XDZ174"/>
      <c r="XEA174"/>
      <c r="XEB174"/>
      <c r="XEC174"/>
      <c r="XED174"/>
      <c r="XEE174"/>
      <c r="XEF174"/>
      <c r="XEG174"/>
      <c r="XEH174"/>
      <c r="XEI174"/>
      <c r="XEJ174"/>
      <c r="XEK174"/>
      <c r="XEL174"/>
      <c r="XEM174"/>
      <c r="XEN174"/>
      <c r="XEO174"/>
      <c r="XEP174"/>
      <c r="XEQ174"/>
      <c r="XER174"/>
      <c r="XES174"/>
      <c r="XET174"/>
      <c r="XEU174"/>
      <c r="XEV174"/>
      <c r="XEW174"/>
      <c r="XEX174"/>
      <c r="XEY174"/>
      <c r="XEZ174"/>
      <c r="XFA174"/>
      <c r="XFB174"/>
      <c r="XFC174"/>
      <c r="XFD174"/>
    </row>
    <row r="175" spans="1:18 16327:16384" s="26" customFormat="1" ht="29.1" customHeight="1" outlineLevel="2" x14ac:dyDescent="0.25">
      <c r="A175" s="34" t="s">
        <v>318</v>
      </c>
      <c r="B175" s="35"/>
      <c r="C175" s="65" t="s">
        <v>36</v>
      </c>
      <c r="D175" s="65"/>
      <c r="E175" s="35"/>
      <c r="F175" s="36" t="s">
        <v>319</v>
      </c>
      <c r="G175" s="35" t="s">
        <v>31</v>
      </c>
      <c r="H175" s="37"/>
      <c r="I175" s="38">
        <f>8</f>
        <v>8</v>
      </c>
      <c r="J175" s="23"/>
      <c r="K175" s="39"/>
      <c r="L175" s="40"/>
      <c r="M175" s="41">
        <f>K175+L175</f>
        <v>0</v>
      </c>
      <c r="N175" s="41">
        <f t="shared" si="5"/>
        <v>0</v>
      </c>
      <c r="O175" s="41">
        <f>ROUND((I175*L175),2)</f>
        <v>0</v>
      </c>
      <c r="P175" s="41">
        <f>ROUND((I175*M175),2)</f>
        <v>0</v>
      </c>
      <c r="Q175" s="41"/>
      <c r="R175" s="23"/>
      <c r="XCY175"/>
      <c r="XCZ175"/>
      <c r="XDA175"/>
      <c r="XDB175"/>
      <c r="XDC175"/>
      <c r="XDD175"/>
      <c r="XDE175"/>
      <c r="XDF175"/>
      <c r="XDG175"/>
      <c r="XDH175"/>
      <c r="XDI175"/>
      <c r="XDJ175"/>
      <c r="XDK175"/>
      <c r="XDL175"/>
      <c r="XDM175"/>
      <c r="XDN175"/>
      <c r="XDO175"/>
      <c r="XDP175"/>
      <c r="XDQ175"/>
      <c r="XDR175"/>
      <c r="XDS175"/>
      <c r="XDT175"/>
      <c r="XDU175"/>
      <c r="XDV175"/>
      <c r="XDW175"/>
      <c r="XDX175"/>
      <c r="XDY175"/>
      <c r="XDZ175"/>
      <c r="XEA175"/>
      <c r="XEB175"/>
      <c r="XEC175"/>
      <c r="XED175"/>
      <c r="XEE175"/>
      <c r="XEF175"/>
      <c r="XEG175"/>
      <c r="XEH175"/>
      <c r="XEI175"/>
      <c r="XEJ175"/>
      <c r="XEK175"/>
      <c r="XEL175"/>
      <c r="XEM175"/>
      <c r="XEN175"/>
      <c r="XEO175"/>
      <c r="XEP175"/>
      <c r="XEQ175"/>
      <c r="XER175"/>
      <c r="XES175"/>
      <c r="XET175"/>
      <c r="XEU175"/>
      <c r="XEV175"/>
      <c r="XEW175"/>
      <c r="XEX175"/>
      <c r="XEY175"/>
      <c r="XEZ175"/>
      <c r="XFA175"/>
      <c r="XFB175"/>
      <c r="XFC175"/>
      <c r="XFD175"/>
    </row>
    <row r="176" spans="1:18 16327:16384" s="26" customFormat="1" ht="29.1" customHeight="1" outlineLevel="3" x14ac:dyDescent="0.25">
      <c r="A176" s="42" t="s">
        <v>320</v>
      </c>
      <c r="B176" s="43"/>
      <c r="C176" s="66" t="s">
        <v>321</v>
      </c>
      <c r="D176" s="66"/>
      <c r="E176" s="43" t="s">
        <v>34</v>
      </c>
      <c r="F176" s="44"/>
      <c r="G176" s="43" t="s">
        <v>31</v>
      </c>
      <c r="H176" s="45">
        <v>1</v>
      </c>
      <c r="I176" s="46">
        <f>8</f>
        <v>8</v>
      </c>
      <c r="J176" s="23"/>
      <c r="K176" s="47"/>
      <c r="L176" s="48"/>
      <c r="M176" s="49"/>
      <c r="N176" s="49">
        <f t="shared" si="5"/>
        <v>0</v>
      </c>
      <c r="O176" s="49"/>
      <c r="P176" s="49"/>
      <c r="Q176" s="49"/>
      <c r="R176" s="23"/>
      <c r="XCY176"/>
      <c r="XCZ176"/>
      <c r="XDA176"/>
      <c r="XDB176"/>
      <c r="XDC176"/>
      <c r="XDD176"/>
      <c r="XDE176"/>
      <c r="XDF176"/>
      <c r="XDG176"/>
      <c r="XDH176"/>
      <c r="XDI176"/>
      <c r="XDJ176"/>
      <c r="XDK176"/>
      <c r="XDL176"/>
      <c r="XDM176"/>
      <c r="XDN176"/>
      <c r="XDO176"/>
      <c r="XDP176"/>
      <c r="XDQ176"/>
      <c r="XDR176"/>
      <c r="XDS176"/>
      <c r="XDT176"/>
      <c r="XDU176"/>
      <c r="XDV176"/>
      <c r="XDW176"/>
      <c r="XDX176"/>
      <c r="XDY176"/>
      <c r="XDZ176"/>
      <c r="XEA176"/>
      <c r="XEB176"/>
      <c r="XEC176"/>
      <c r="XED176"/>
      <c r="XEE176"/>
      <c r="XEF176"/>
      <c r="XEG176"/>
      <c r="XEH176"/>
      <c r="XEI176"/>
      <c r="XEJ176"/>
      <c r="XEK176"/>
      <c r="XEL176"/>
      <c r="XEM176"/>
      <c r="XEN176"/>
      <c r="XEO176"/>
      <c r="XEP176"/>
      <c r="XEQ176"/>
      <c r="XER176"/>
      <c r="XES176"/>
      <c r="XET176"/>
      <c r="XEU176"/>
      <c r="XEV176"/>
      <c r="XEW176"/>
      <c r="XEX176"/>
      <c r="XEY176"/>
      <c r="XEZ176"/>
      <c r="XFA176"/>
      <c r="XFB176"/>
      <c r="XFC176"/>
      <c r="XFD176"/>
    </row>
    <row r="177" spans="1:18 16327:16384" s="26" customFormat="1" ht="29.1" customHeight="1" outlineLevel="2" x14ac:dyDescent="0.25">
      <c r="A177" s="34" t="s">
        <v>322</v>
      </c>
      <c r="B177" s="35"/>
      <c r="C177" s="65" t="s">
        <v>36</v>
      </c>
      <c r="D177" s="65"/>
      <c r="E177" s="35"/>
      <c r="F177" s="36" t="s">
        <v>306</v>
      </c>
      <c r="G177" s="35" t="s">
        <v>31</v>
      </c>
      <c r="H177" s="37"/>
      <c r="I177" s="38">
        <f>1</f>
        <v>1</v>
      </c>
      <c r="J177" s="23"/>
      <c r="K177" s="39"/>
      <c r="L177" s="40"/>
      <c r="M177" s="41">
        <f>K177+L177</f>
        <v>0</v>
      </c>
      <c r="N177" s="41">
        <f t="shared" si="5"/>
        <v>0</v>
      </c>
      <c r="O177" s="41">
        <f>ROUND((I177*L177),2)</f>
        <v>0</v>
      </c>
      <c r="P177" s="41">
        <f>ROUND((I177*M177),2)</f>
        <v>0</v>
      </c>
      <c r="Q177" s="41"/>
      <c r="R177" s="23"/>
      <c r="XCY177"/>
      <c r="XCZ177"/>
      <c r="XDA177"/>
      <c r="XDB177"/>
      <c r="XDC177"/>
      <c r="XDD177"/>
      <c r="XDE177"/>
      <c r="XDF177"/>
      <c r="XDG177"/>
      <c r="XDH177"/>
      <c r="XDI177"/>
      <c r="XDJ177"/>
      <c r="XDK177"/>
      <c r="XDL177"/>
      <c r="XDM177"/>
      <c r="XDN177"/>
      <c r="XDO177"/>
      <c r="XDP177"/>
      <c r="XDQ177"/>
      <c r="XDR177"/>
      <c r="XDS177"/>
      <c r="XDT177"/>
      <c r="XDU177"/>
      <c r="XDV177"/>
      <c r="XDW177"/>
      <c r="XDX177"/>
      <c r="XDY177"/>
      <c r="XDZ177"/>
      <c r="XEA177"/>
      <c r="XEB177"/>
      <c r="XEC177"/>
      <c r="XED177"/>
      <c r="XEE177"/>
      <c r="XEF177"/>
      <c r="XEG177"/>
      <c r="XEH177"/>
      <c r="XEI177"/>
      <c r="XEJ177"/>
      <c r="XEK177"/>
      <c r="XEL177"/>
      <c r="XEM177"/>
      <c r="XEN177"/>
      <c r="XEO177"/>
      <c r="XEP177"/>
      <c r="XEQ177"/>
      <c r="XER177"/>
      <c r="XES177"/>
      <c r="XET177"/>
      <c r="XEU177"/>
      <c r="XEV177"/>
      <c r="XEW177"/>
      <c r="XEX177"/>
      <c r="XEY177"/>
      <c r="XEZ177"/>
      <c r="XFA177"/>
      <c r="XFB177"/>
      <c r="XFC177"/>
      <c r="XFD177"/>
    </row>
    <row r="178" spans="1:18 16327:16384" s="26" customFormat="1" ht="29.1" customHeight="1" outlineLevel="3" x14ac:dyDescent="0.25">
      <c r="A178" s="42" t="s">
        <v>323</v>
      </c>
      <c r="B178" s="43"/>
      <c r="C178" s="66" t="s">
        <v>324</v>
      </c>
      <c r="D178" s="66"/>
      <c r="E178" s="43" t="s">
        <v>34</v>
      </c>
      <c r="F178" s="44"/>
      <c r="G178" s="43" t="s">
        <v>31</v>
      </c>
      <c r="H178" s="45">
        <v>1</v>
      </c>
      <c r="I178" s="46">
        <f>1</f>
        <v>1</v>
      </c>
      <c r="J178" s="23"/>
      <c r="K178" s="47"/>
      <c r="L178" s="48"/>
      <c r="M178" s="49"/>
      <c r="N178" s="49">
        <f t="shared" si="5"/>
        <v>0</v>
      </c>
      <c r="O178" s="49"/>
      <c r="P178" s="49"/>
      <c r="Q178" s="49"/>
      <c r="R178" s="23"/>
      <c r="XCY178"/>
      <c r="XCZ178"/>
      <c r="XDA178"/>
      <c r="XDB178"/>
      <c r="XDC178"/>
      <c r="XDD178"/>
      <c r="XDE178"/>
      <c r="XDF178"/>
      <c r="XDG178"/>
      <c r="XDH178"/>
      <c r="XDI178"/>
      <c r="XDJ178"/>
      <c r="XDK178"/>
      <c r="XDL178"/>
      <c r="XDM178"/>
      <c r="XDN178"/>
      <c r="XDO178"/>
      <c r="XDP178"/>
      <c r="XDQ178"/>
      <c r="XDR178"/>
      <c r="XDS178"/>
      <c r="XDT178"/>
      <c r="XDU178"/>
      <c r="XDV178"/>
      <c r="XDW178"/>
      <c r="XDX178"/>
      <c r="XDY178"/>
      <c r="XDZ178"/>
      <c r="XEA178"/>
      <c r="XEB178"/>
      <c r="XEC178"/>
      <c r="XED178"/>
      <c r="XEE178"/>
      <c r="XEF178"/>
      <c r="XEG178"/>
      <c r="XEH178"/>
      <c r="XEI178"/>
      <c r="XEJ178"/>
      <c r="XEK178"/>
      <c r="XEL178"/>
      <c r="XEM178"/>
      <c r="XEN178"/>
      <c r="XEO178"/>
      <c r="XEP178"/>
      <c r="XEQ178"/>
      <c r="XER178"/>
      <c r="XES178"/>
      <c r="XET178"/>
      <c r="XEU178"/>
      <c r="XEV178"/>
      <c r="XEW178"/>
      <c r="XEX178"/>
      <c r="XEY178"/>
      <c r="XEZ178"/>
      <c r="XFA178"/>
      <c r="XFB178"/>
      <c r="XFC178"/>
      <c r="XFD178"/>
    </row>
    <row r="179" spans="1:18 16327:16384" s="26" customFormat="1" ht="29.1" customHeight="1" outlineLevel="2" x14ac:dyDescent="0.25">
      <c r="A179" s="34" t="s">
        <v>325</v>
      </c>
      <c r="B179" s="35"/>
      <c r="C179" s="65" t="s">
        <v>36</v>
      </c>
      <c r="D179" s="65"/>
      <c r="E179" s="35"/>
      <c r="F179" s="36" t="s">
        <v>299</v>
      </c>
      <c r="G179" s="35" t="s">
        <v>31</v>
      </c>
      <c r="H179" s="37"/>
      <c r="I179" s="38">
        <f>4</f>
        <v>4</v>
      </c>
      <c r="J179" s="23"/>
      <c r="K179" s="39"/>
      <c r="L179" s="40"/>
      <c r="M179" s="41">
        <f>K179+L179</f>
        <v>0</v>
      </c>
      <c r="N179" s="41">
        <f t="shared" si="5"/>
        <v>0</v>
      </c>
      <c r="O179" s="41">
        <f>ROUND((I179*L179),2)</f>
        <v>0</v>
      </c>
      <c r="P179" s="41">
        <f>ROUND((I179*M179),2)</f>
        <v>0</v>
      </c>
      <c r="Q179" s="41"/>
      <c r="R179" s="23"/>
      <c r="XCY179"/>
      <c r="XCZ179"/>
      <c r="XDA179"/>
      <c r="XDB179"/>
      <c r="XDC179"/>
      <c r="XDD179"/>
      <c r="XDE179"/>
      <c r="XDF179"/>
      <c r="XDG179"/>
      <c r="XDH179"/>
      <c r="XDI179"/>
      <c r="XDJ179"/>
      <c r="XDK179"/>
      <c r="XDL179"/>
      <c r="XDM179"/>
      <c r="XDN179"/>
      <c r="XDO179"/>
      <c r="XDP179"/>
      <c r="XDQ179"/>
      <c r="XDR179"/>
      <c r="XDS179"/>
      <c r="XDT179"/>
      <c r="XDU179"/>
      <c r="XDV179"/>
      <c r="XDW179"/>
      <c r="XDX179"/>
      <c r="XDY179"/>
      <c r="XDZ179"/>
      <c r="XEA179"/>
      <c r="XEB179"/>
      <c r="XEC179"/>
      <c r="XED179"/>
      <c r="XEE179"/>
      <c r="XEF179"/>
      <c r="XEG179"/>
      <c r="XEH179"/>
      <c r="XEI179"/>
      <c r="XEJ179"/>
      <c r="XEK179"/>
      <c r="XEL179"/>
      <c r="XEM179"/>
      <c r="XEN179"/>
      <c r="XEO179"/>
      <c r="XEP179"/>
      <c r="XEQ179"/>
      <c r="XER179"/>
      <c r="XES179"/>
      <c r="XET179"/>
      <c r="XEU179"/>
      <c r="XEV179"/>
      <c r="XEW179"/>
      <c r="XEX179"/>
      <c r="XEY179"/>
      <c r="XEZ179"/>
      <c r="XFA179"/>
      <c r="XFB179"/>
      <c r="XFC179"/>
      <c r="XFD179"/>
    </row>
    <row r="180" spans="1:18 16327:16384" s="26" customFormat="1" ht="29.1" customHeight="1" outlineLevel="3" x14ac:dyDescent="0.25">
      <c r="A180" s="42" t="s">
        <v>326</v>
      </c>
      <c r="B180" s="43"/>
      <c r="C180" s="66" t="s">
        <v>327</v>
      </c>
      <c r="D180" s="66"/>
      <c r="E180" s="43" t="s">
        <v>34</v>
      </c>
      <c r="F180" s="44"/>
      <c r="G180" s="43" t="s">
        <v>31</v>
      </c>
      <c r="H180" s="45">
        <v>1</v>
      </c>
      <c r="I180" s="46">
        <f>4</f>
        <v>4</v>
      </c>
      <c r="J180" s="23"/>
      <c r="K180" s="47"/>
      <c r="L180" s="48"/>
      <c r="M180" s="49"/>
      <c r="N180" s="49">
        <f t="shared" si="5"/>
        <v>0</v>
      </c>
      <c r="O180" s="49"/>
      <c r="P180" s="49"/>
      <c r="Q180" s="49"/>
      <c r="R180" s="23"/>
      <c r="XCY180"/>
      <c r="XCZ180"/>
      <c r="XDA180"/>
      <c r="XDB180"/>
      <c r="XDC180"/>
      <c r="XDD180"/>
      <c r="XDE180"/>
      <c r="XDF180"/>
      <c r="XDG180"/>
      <c r="XDH180"/>
      <c r="XDI180"/>
      <c r="XDJ180"/>
      <c r="XDK180"/>
      <c r="XDL180"/>
      <c r="XDM180"/>
      <c r="XDN180"/>
      <c r="XDO180"/>
      <c r="XDP180"/>
      <c r="XDQ180"/>
      <c r="XDR180"/>
      <c r="XDS180"/>
      <c r="XDT180"/>
      <c r="XDU180"/>
      <c r="XDV180"/>
      <c r="XDW180"/>
      <c r="XDX180"/>
      <c r="XDY180"/>
      <c r="XDZ180"/>
      <c r="XEA180"/>
      <c r="XEB180"/>
      <c r="XEC180"/>
      <c r="XED180"/>
      <c r="XEE180"/>
      <c r="XEF180"/>
      <c r="XEG180"/>
      <c r="XEH180"/>
      <c r="XEI180"/>
      <c r="XEJ180"/>
      <c r="XEK180"/>
      <c r="XEL180"/>
      <c r="XEM180"/>
      <c r="XEN180"/>
      <c r="XEO180"/>
      <c r="XEP180"/>
      <c r="XEQ180"/>
      <c r="XER180"/>
      <c r="XES180"/>
      <c r="XET180"/>
      <c r="XEU180"/>
      <c r="XEV180"/>
      <c r="XEW180"/>
      <c r="XEX180"/>
      <c r="XEY180"/>
      <c r="XEZ180"/>
      <c r="XFA180"/>
      <c r="XFB180"/>
      <c r="XFC180"/>
      <c r="XFD180"/>
    </row>
    <row r="181" spans="1:18 16327:16384" s="26" customFormat="1" ht="29.1" customHeight="1" outlineLevel="2" x14ac:dyDescent="0.25">
      <c r="A181" s="34" t="s">
        <v>328</v>
      </c>
      <c r="B181" s="35"/>
      <c r="C181" s="65" t="s">
        <v>36</v>
      </c>
      <c r="D181" s="65"/>
      <c r="E181" s="35"/>
      <c r="F181" s="36" t="s">
        <v>306</v>
      </c>
      <c r="G181" s="35" t="s">
        <v>31</v>
      </c>
      <c r="H181" s="37"/>
      <c r="I181" s="38">
        <f>4</f>
        <v>4</v>
      </c>
      <c r="J181" s="23"/>
      <c r="K181" s="39"/>
      <c r="L181" s="40"/>
      <c r="M181" s="41">
        <f>K181+L181</f>
        <v>0</v>
      </c>
      <c r="N181" s="41">
        <f t="shared" si="5"/>
        <v>0</v>
      </c>
      <c r="O181" s="41">
        <f>ROUND((I181*L181),2)</f>
        <v>0</v>
      </c>
      <c r="P181" s="41">
        <f>ROUND((I181*M181),2)</f>
        <v>0</v>
      </c>
      <c r="Q181" s="41"/>
      <c r="R181" s="23"/>
      <c r="XCY181"/>
      <c r="XCZ181"/>
      <c r="XDA181"/>
      <c r="XDB181"/>
      <c r="XDC181"/>
      <c r="XDD181"/>
      <c r="XDE181"/>
      <c r="XDF181"/>
      <c r="XDG181"/>
      <c r="XDH181"/>
      <c r="XDI181"/>
      <c r="XDJ181"/>
      <c r="XDK181"/>
      <c r="XDL181"/>
      <c r="XDM181"/>
      <c r="XDN181"/>
      <c r="XDO181"/>
      <c r="XDP181"/>
      <c r="XDQ181"/>
      <c r="XDR181"/>
      <c r="XDS181"/>
      <c r="XDT181"/>
      <c r="XDU181"/>
      <c r="XDV181"/>
      <c r="XDW181"/>
      <c r="XDX181"/>
      <c r="XDY181"/>
      <c r="XDZ181"/>
      <c r="XEA181"/>
      <c r="XEB181"/>
      <c r="XEC181"/>
      <c r="XED181"/>
      <c r="XEE181"/>
      <c r="XEF181"/>
      <c r="XEG181"/>
      <c r="XEH181"/>
      <c r="XEI181"/>
      <c r="XEJ181"/>
      <c r="XEK181"/>
      <c r="XEL181"/>
      <c r="XEM181"/>
      <c r="XEN181"/>
      <c r="XEO181"/>
      <c r="XEP181"/>
      <c r="XEQ181"/>
      <c r="XER181"/>
      <c r="XES181"/>
      <c r="XET181"/>
      <c r="XEU181"/>
      <c r="XEV181"/>
      <c r="XEW181"/>
      <c r="XEX181"/>
      <c r="XEY181"/>
      <c r="XEZ181"/>
      <c r="XFA181"/>
      <c r="XFB181"/>
      <c r="XFC181"/>
      <c r="XFD181"/>
    </row>
    <row r="182" spans="1:18 16327:16384" s="26" customFormat="1" ht="29.1" customHeight="1" outlineLevel="3" x14ac:dyDescent="0.25">
      <c r="A182" s="42" t="s">
        <v>329</v>
      </c>
      <c r="B182" s="43"/>
      <c r="C182" s="66" t="s">
        <v>330</v>
      </c>
      <c r="D182" s="66"/>
      <c r="E182" s="43" t="s">
        <v>34</v>
      </c>
      <c r="F182" s="44"/>
      <c r="G182" s="43" t="s">
        <v>31</v>
      </c>
      <c r="H182" s="45">
        <v>1</v>
      </c>
      <c r="I182" s="46">
        <f>4</f>
        <v>4</v>
      </c>
      <c r="J182" s="23"/>
      <c r="K182" s="47"/>
      <c r="L182" s="48"/>
      <c r="M182" s="49"/>
      <c r="N182" s="49">
        <f t="shared" si="5"/>
        <v>0</v>
      </c>
      <c r="O182" s="49"/>
      <c r="P182" s="49"/>
      <c r="Q182" s="49"/>
      <c r="R182" s="23"/>
      <c r="XCY182"/>
      <c r="XCZ182"/>
      <c r="XDA182"/>
      <c r="XDB182"/>
      <c r="XDC182"/>
      <c r="XDD182"/>
      <c r="XDE182"/>
      <c r="XDF182"/>
      <c r="XDG182"/>
      <c r="XDH182"/>
      <c r="XDI182"/>
      <c r="XDJ182"/>
      <c r="XDK182"/>
      <c r="XDL182"/>
      <c r="XDM182"/>
      <c r="XDN182"/>
      <c r="XDO182"/>
      <c r="XDP182"/>
      <c r="XDQ182"/>
      <c r="XDR182"/>
      <c r="XDS182"/>
      <c r="XDT182"/>
      <c r="XDU182"/>
      <c r="XDV182"/>
      <c r="XDW182"/>
      <c r="XDX182"/>
      <c r="XDY182"/>
      <c r="XDZ182"/>
      <c r="XEA182"/>
      <c r="XEB182"/>
      <c r="XEC182"/>
      <c r="XED182"/>
      <c r="XEE182"/>
      <c r="XEF182"/>
      <c r="XEG182"/>
      <c r="XEH182"/>
      <c r="XEI182"/>
      <c r="XEJ182"/>
      <c r="XEK182"/>
      <c r="XEL182"/>
      <c r="XEM182"/>
      <c r="XEN182"/>
      <c r="XEO182"/>
      <c r="XEP182"/>
      <c r="XEQ182"/>
      <c r="XER182"/>
      <c r="XES182"/>
      <c r="XET182"/>
      <c r="XEU182"/>
      <c r="XEV182"/>
      <c r="XEW182"/>
      <c r="XEX182"/>
      <c r="XEY182"/>
      <c r="XEZ182"/>
      <c r="XFA182"/>
      <c r="XFB182"/>
      <c r="XFC182"/>
      <c r="XFD182"/>
    </row>
    <row r="183" spans="1:18 16327:16384" s="26" customFormat="1" ht="29.1" customHeight="1" outlineLevel="2" x14ac:dyDescent="0.25">
      <c r="A183" s="34" t="s">
        <v>331</v>
      </c>
      <c r="B183" s="35"/>
      <c r="C183" s="65" t="s">
        <v>332</v>
      </c>
      <c r="D183" s="65"/>
      <c r="E183" s="35"/>
      <c r="F183" s="36"/>
      <c r="G183" s="35" t="s">
        <v>31</v>
      </c>
      <c r="H183" s="37"/>
      <c r="I183" s="38">
        <f>1</f>
        <v>1</v>
      </c>
      <c r="J183" s="23"/>
      <c r="K183" s="39"/>
      <c r="L183" s="40"/>
      <c r="M183" s="41">
        <f>K183+L183</f>
        <v>0</v>
      </c>
      <c r="N183" s="41">
        <f t="shared" si="5"/>
        <v>0</v>
      </c>
      <c r="O183" s="41">
        <f>ROUND((I183*L183),2)</f>
        <v>0</v>
      </c>
      <c r="P183" s="41">
        <f>ROUND((I183*M183),2)</f>
        <v>0</v>
      </c>
      <c r="Q183" s="41"/>
      <c r="R183" s="23"/>
      <c r="XCY183"/>
      <c r="XCZ183"/>
      <c r="XDA183"/>
      <c r="XDB183"/>
      <c r="XDC183"/>
      <c r="XDD183"/>
      <c r="XDE183"/>
      <c r="XDF183"/>
      <c r="XDG183"/>
      <c r="XDH183"/>
      <c r="XDI183"/>
      <c r="XDJ183"/>
      <c r="XDK183"/>
      <c r="XDL183"/>
      <c r="XDM183"/>
      <c r="XDN183"/>
      <c r="XDO183"/>
      <c r="XDP183"/>
      <c r="XDQ183"/>
      <c r="XDR183"/>
      <c r="XDS183"/>
      <c r="XDT183"/>
      <c r="XDU183"/>
      <c r="XDV183"/>
      <c r="XDW183"/>
      <c r="XDX183"/>
      <c r="XDY183"/>
      <c r="XDZ183"/>
      <c r="XEA183"/>
      <c r="XEB183"/>
      <c r="XEC183"/>
      <c r="XED183"/>
      <c r="XEE183"/>
      <c r="XEF183"/>
      <c r="XEG183"/>
      <c r="XEH183"/>
      <c r="XEI183"/>
      <c r="XEJ183"/>
      <c r="XEK183"/>
      <c r="XEL183"/>
      <c r="XEM183"/>
      <c r="XEN183"/>
      <c r="XEO183"/>
      <c r="XEP183"/>
      <c r="XEQ183"/>
      <c r="XER183"/>
      <c r="XES183"/>
      <c r="XET183"/>
      <c r="XEU183"/>
      <c r="XEV183"/>
      <c r="XEW183"/>
      <c r="XEX183"/>
      <c r="XEY183"/>
      <c r="XEZ183"/>
      <c r="XFA183"/>
      <c r="XFB183"/>
      <c r="XFC183"/>
      <c r="XFD183"/>
    </row>
    <row r="184" spans="1:18 16327:16384" s="26" customFormat="1" ht="29.1" customHeight="1" outlineLevel="3" x14ac:dyDescent="0.25">
      <c r="A184" s="42" t="s">
        <v>333</v>
      </c>
      <c r="B184" s="43"/>
      <c r="C184" s="66" t="s">
        <v>334</v>
      </c>
      <c r="D184" s="66"/>
      <c r="E184" s="43" t="s">
        <v>34</v>
      </c>
      <c r="F184" s="44"/>
      <c r="G184" s="43" t="s">
        <v>31</v>
      </c>
      <c r="H184" s="45">
        <v>1</v>
      </c>
      <c r="I184" s="46">
        <f>1</f>
        <v>1</v>
      </c>
      <c r="J184" s="23"/>
      <c r="K184" s="47"/>
      <c r="L184" s="48"/>
      <c r="M184" s="49"/>
      <c r="N184" s="49">
        <f t="shared" si="5"/>
        <v>0</v>
      </c>
      <c r="O184" s="49"/>
      <c r="P184" s="49"/>
      <c r="Q184" s="49"/>
      <c r="R184" s="23"/>
      <c r="XCY184"/>
      <c r="XCZ184"/>
      <c r="XDA184"/>
      <c r="XDB184"/>
      <c r="XDC184"/>
      <c r="XDD184"/>
      <c r="XDE184"/>
      <c r="XDF184"/>
      <c r="XDG184"/>
      <c r="XDH184"/>
      <c r="XDI184"/>
      <c r="XDJ184"/>
      <c r="XDK184"/>
      <c r="XDL184"/>
      <c r="XDM184"/>
      <c r="XDN184"/>
      <c r="XDO184"/>
      <c r="XDP184"/>
      <c r="XDQ184"/>
      <c r="XDR184"/>
      <c r="XDS184"/>
      <c r="XDT184"/>
      <c r="XDU184"/>
      <c r="XDV184"/>
      <c r="XDW184"/>
      <c r="XDX184"/>
      <c r="XDY184"/>
      <c r="XDZ184"/>
      <c r="XEA184"/>
      <c r="XEB184"/>
      <c r="XEC184"/>
      <c r="XED184"/>
      <c r="XEE184"/>
      <c r="XEF184"/>
      <c r="XEG184"/>
      <c r="XEH184"/>
      <c r="XEI184"/>
      <c r="XEJ184"/>
      <c r="XEK184"/>
      <c r="XEL184"/>
      <c r="XEM184"/>
      <c r="XEN184"/>
      <c r="XEO184"/>
      <c r="XEP184"/>
      <c r="XEQ184"/>
      <c r="XER184"/>
      <c r="XES184"/>
      <c r="XET184"/>
      <c r="XEU184"/>
      <c r="XEV184"/>
      <c r="XEW184"/>
      <c r="XEX184"/>
      <c r="XEY184"/>
      <c r="XEZ184"/>
      <c r="XFA184"/>
      <c r="XFB184"/>
      <c r="XFC184"/>
      <c r="XFD184"/>
    </row>
    <row r="185" spans="1:18 16327:16384" s="26" customFormat="1" ht="29.1" customHeight="1" outlineLevel="3" x14ac:dyDescent="0.25">
      <c r="A185" s="42" t="s">
        <v>335</v>
      </c>
      <c r="B185" s="43"/>
      <c r="C185" s="66" t="s">
        <v>336</v>
      </c>
      <c r="D185" s="66"/>
      <c r="E185" s="43" t="s">
        <v>34</v>
      </c>
      <c r="F185" s="44"/>
      <c r="G185" s="43" t="s">
        <v>31</v>
      </c>
      <c r="H185" s="45">
        <v>1</v>
      </c>
      <c r="I185" s="46">
        <f>1168</f>
        <v>1168</v>
      </c>
      <c r="J185" s="23"/>
      <c r="K185" s="47"/>
      <c r="L185" s="48"/>
      <c r="M185" s="49"/>
      <c r="N185" s="49">
        <f t="shared" si="5"/>
        <v>0</v>
      </c>
      <c r="O185" s="49"/>
      <c r="P185" s="49"/>
      <c r="Q185" s="49"/>
      <c r="R185" s="23"/>
      <c r="XCY185"/>
      <c r="XCZ185"/>
      <c r="XDA185"/>
      <c r="XDB185"/>
      <c r="XDC185"/>
      <c r="XDD185"/>
      <c r="XDE185"/>
      <c r="XDF185"/>
      <c r="XDG185"/>
      <c r="XDH185"/>
      <c r="XDI185"/>
      <c r="XDJ185"/>
      <c r="XDK185"/>
      <c r="XDL185"/>
      <c r="XDM185"/>
      <c r="XDN185"/>
      <c r="XDO185"/>
      <c r="XDP185"/>
      <c r="XDQ185"/>
      <c r="XDR185"/>
      <c r="XDS185"/>
      <c r="XDT185"/>
      <c r="XDU185"/>
      <c r="XDV185"/>
      <c r="XDW185"/>
      <c r="XDX185"/>
      <c r="XDY185"/>
      <c r="XDZ185"/>
      <c r="XEA185"/>
      <c r="XEB185"/>
      <c r="XEC185"/>
      <c r="XED185"/>
      <c r="XEE185"/>
      <c r="XEF185"/>
      <c r="XEG185"/>
      <c r="XEH185"/>
      <c r="XEI185"/>
      <c r="XEJ185"/>
      <c r="XEK185"/>
      <c r="XEL185"/>
      <c r="XEM185"/>
      <c r="XEN185"/>
      <c r="XEO185"/>
      <c r="XEP185"/>
      <c r="XEQ185"/>
      <c r="XER185"/>
      <c r="XES185"/>
      <c r="XET185"/>
      <c r="XEU185"/>
      <c r="XEV185"/>
      <c r="XEW185"/>
      <c r="XEX185"/>
      <c r="XEY185"/>
      <c r="XEZ185"/>
      <c r="XFA185"/>
      <c r="XFB185"/>
      <c r="XFC185"/>
      <c r="XFD185"/>
    </row>
    <row r="186" spans="1:18 16327:16384" s="26" customFormat="1" ht="29.1" customHeight="1" outlineLevel="2" x14ac:dyDescent="0.25">
      <c r="A186" s="34" t="s">
        <v>337</v>
      </c>
      <c r="B186" s="35"/>
      <c r="C186" s="65" t="s">
        <v>239</v>
      </c>
      <c r="D186" s="65"/>
      <c r="E186" s="35"/>
      <c r="F186" s="36"/>
      <c r="G186" s="35" t="s">
        <v>31</v>
      </c>
      <c r="H186" s="37"/>
      <c r="I186" s="38">
        <f>12</f>
        <v>12</v>
      </c>
      <c r="J186" s="23"/>
      <c r="K186" s="39"/>
      <c r="L186" s="40"/>
      <c r="M186" s="41">
        <f>K186+L186</f>
        <v>0</v>
      </c>
      <c r="N186" s="41">
        <f t="shared" si="5"/>
        <v>0</v>
      </c>
      <c r="O186" s="41">
        <f>ROUND((I186*L186),2)</f>
        <v>0</v>
      </c>
      <c r="P186" s="41">
        <f>ROUND((I186*M186),2)</f>
        <v>0</v>
      </c>
      <c r="Q186" s="41"/>
      <c r="R186" s="23"/>
      <c r="XCY186"/>
      <c r="XCZ186"/>
      <c r="XDA186"/>
      <c r="XDB186"/>
      <c r="XDC186"/>
      <c r="XDD186"/>
      <c r="XDE186"/>
      <c r="XDF186"/>
      <c r="XDG186"/>
      <c r="XDH186"/>
      <c r="XDI186"/>
      <c r="XDJ186"/>
      <c r="XDK186"/>
      <c r="XDL186"/>
      <c r="XDM186"/>
      <c r="XDN186"/>
      <c r="XDO186"/>
      <c r="XDP186"/>
      <c r="XDQ186"/>
      <c r="XDR186"/>
      <c r="XDS186"/>
      <c r="XDT186"/>
      <c r="XDU186"/>
      <c r="XDV186"/>
      <c r="XDW186"/>
      <c r="XDX186"/>
      <c r="XDY186"/>
      <c r="XDZ186"/>
      <c r="XEA186"/>
      <c r="XEB186"/>
      <c r="XEC186"/>
      <c r="XED186"/>
      <c r="XEE186"/>
      <c r="XEF186"/>
      <c r="XEG186"/>
      <c r="XEH186"/>
      <c r="XEI186"/>
      <c r="XEJ186"/>
      <c r="XEK186"/>
      <c r="XEL186"/>
      <c r="XEM186"/>
      <c r="XEN186"/>
      <c r="XEO186"/>
      <c r="XEP186"/>
      <c r="XEQ186"/>
      <c r="XER186"/>
      <c r="XES186"/>
      <c r="XET186"/>
      <c r="XEU186"/>
      <c r="XEV186"/>
      <c r="XEW186"/>
      <c r="XEX186"/>
      <c r="XEY186"/>
      <c r="XEZ186"/>
      <c r="XFA186"/>
      <c r="XFB186"/>
      <c r="XFC186"/>
      <c r="XFD186"/>
    </row>
    <row r="187" spans="1:18 16327:16384" s="26" customFormat="1" ht="29.1" customHeight="1" outlineLevel="3" x14ac:dyDescent="0.25">
      <c r="A187" s="42" t="s">
        <v>338</v>
      </c>
      <c r="B187" s="43"/>
      <c r="C187" s="66" t="s">
        <v>339</v>
      </c>
      <c r="D187" s="66"/>
      <c r="E187" s="43" t="s">
        <v>34</v>
      </c>
      <c r="F187" s="44"/>
      <c r="G187" s="43" t="s">
        <v>31</v>
      </c>
      <c r="H187" s="45">
        <v>1</v>
      </c>
      <c r="I187" s="46">
        <f>12</f>
        <v>12</v>
      </c>
      <c r="J187" s="23"/>
      <c r="K187" s="47"/>
      <c r="L187" s="48"/>
      <c r="M187" s="49"/>
      <c r="N187" s="49">
        <f t="shared" si="5"/>
        <v>0</v>
      </c>
      <c r="O187" s="49"/>
      <c r="P187" s="49"/>
      <c r="Q187" s="49"/>
      <c r="R187" s="23"/>
      <c r="XCY187"/>
      <c r="XCZ187"/>
      <c r="XDA187"/>
      <c r="XDB187"/>
      <c r="XDC187"/>
      <c r="XDD187"/>
      <c r="XDE187"/>
      <c r="XDF187"/>
      <c r="XDG187"/>
      <c r="XDH187"/>
      <c r="XDI187"/>
      <c r="XDJ187"/>
      <c r="XDK187"/>
      <c r="XDL187"/>
      <c r="XDM187"/>
      <c r="XDN187"/>
      <c r="XDO187"/>
      <c r="XDP187"/>
      <c r="XDQ187"/>
      <c r="XDR187"/>
      <c r="XDS187"/>
      <c r="XDT187"/>
      <c r="XDU187"/>
      <c r="XDV187"/>
      <c r="XDW187"/>
      <c r="XDX187"/>
      <c r="XDY187"/>
      <c r="XDZ187"/>
      <c r="XEA187"/>
      <c r="XEB187"/>
      <c r="XEC187"/>
      <c r="XED187"/>
      <c r="XEE187"/>
      <c r="XEF187"/>
      <c r="XEG187"/>
      <c r="XEH187"/>
      <c r="XEI187"/>
      <c r="XEJ187"/>
      <c r="XEK187"/>
      <c r="XEL187"/>
      <c r="XEM187"/>
      <c r="XEN187"/>
      <c r="XEO187"/>
      <c r="XEP187"/>
      <c r="XEQ187"/>
      <c r="XER187"/>
      <c r="XES187"/>
      <c r="XET187"/>
      <c r="XEU187"/>
      <c r="XEV187"/>
      <c r="XEW187"/>
      <c r="XEX187"/>
      <c r="XEY187"/>
      <c r="XEZ187"/>
      <c r="XFA187"/>
      <c r="XFB187"/>
      <c r="XFC187"/>
      <c r="XFD187"/>
    </row>
    <row r="188" spans="1:18 16327:16384" s="26" customFormat="1" ht="29.1" customHeight="1" outlineLevel="3" x14ac:dyDescent="0.25">
      <c r="A188" s="42" t="s">
        <v>340</v>
      </c>
      <c r="B188" s="43"/>
      <c r="C188" s="66" t="s">
        <v>341</v>
      </c>
      <c r="D188" s="66"/>
      <c r="E188" s="43" t="s">
        <v>34</v>
      </c>
      <c r="F188" s="44"/>
      <c r="G188" s="43" t="s">
        <v>31</v>
      </c>
      <c r="H188" s="45">
        <v>1</v>
      </c>
      <c r="I188" s="46">
        <f>12</f>
        <v>12</v>
      </c>
      <c r="J188" s="23"/>
      <c r="K188" s="47"/>
      <c r="L188" s="48"/>
      <c r="M188" s="49"/>
      <c r="N188" s="49">
        <f t="shared" si="5"/>
        <v>0</v>
      </c>
      <c r="O188" s="49"/>
      <c r="P188" s="49"/>
      <c r="Q188" s="49"/>
      <c r="R188" s="23"/>
      <c r="XCY188"/>
      <c r="XCZ188"/>
      <c r="XDA188"/>
      <c r="XDB188"/>
      <c r="XDC188"/>
      <c r="XDD188"/>
      <c r="XDE188"/>
      <c r="XDF188"/>
      <c r="XDG188"/>
      <c r="XDH188"/>
      <c r="XDI188"/>
      <c r="XDJ188"/>
      <c r="XDK188"/>
      <c r="XDL188"/>
      <c r="XDM188"/>
      <c r="XDN188"/>
      <c r="XDO188"/>
      <c r="XDP188"/>
      <c r="XDQ188"/>
      <c r="XDR188"/>
      <c r="XDS188"/>
      <c r="XDT188"/>
      <c r="XDU188"/>
      <c r="XDV188"/>
      <c r="XDW188"/>
      <c r="XDX188"/>
      <c r="XDY188"/>
      <c r="XDZ188"/>
      <c r="XEA188"/>
      <c r="XEB188"/>
      <c r="XEC188"/>
      <c r="XED188"/>
      <c r="XEE188"/>
      <c r="XEF188"/>
      <c r="XEG188"/>
      <c r="XEH188"/>
      <c r="XEI188"/>
      <c r="XEJ188"/>
      <c r="XEK188"/>
      <c r="XEL188"/>
      <c r="XEM188"/>
      <c r="XEN188"/>
      <c r="XEO188"/>
      <c r="XEP188"/>
      <c r="XEQ188"/>
      <c r="XER188"/>
      <c r="XES188"/>
      <c r="XET188"/>
      <c r="XEU188"/>
      <c r="XEV188"/>
      <c r="XEW188"/>
      <c r="XEX188"/>
      <c r="XEY188"/>
      <c r="XEZ188"/>
      <c r="XFA188"/>
      <c r="XFB188"/>
      <c r="XFC188"/>
      <c r="XFD188"/>
    </row>
    <row r="189" spans="1:18 16327:16384" s="26" customFormat="1" ht="29.1" customHeight="1" outlineLevel="2" x14ac:dyDescent="0.25">
      <c r="A189" s="34" t="s">
        <v>342</v>
      </c>
      <c r="B189" s="35"/>
      <c r="C189" s="65" t="s">
        <v>343</v>
      </c>
      <c r="D189" s="65"/>
      <c r="E189" s="35"/>
      <c r="F189" s="36"/>
      <c r="G189" s="35" t="s">
        <v>31</v>
      </c>
      <c r="H189" s="37"/>
      <c r="I189" s="38">
        <f>42</f>
        <v>42</v>
      </c>
      <c r="J189" s="23"/>
      <c r="K189" s="39"/>
      <c r="L189" s="40"/>
      <c r="M189" s="41">
        <f>K189+L189</f>
        <v>0</v>
      </c>
      <c r="N189" s="41">
        <f t="shared" si="5"/>
        <v>0</v>
      </c>
      <c r="O189" s="41">
        <f>ROUND((I189*L189),2)</f>
        <v>0</v>
      </c>
      <c r="P189" s="41">
        <f>ROUND((I189*M189),2)</f>
        <v>0</v>
      </c>
      <c r="Q189" s="41"/>
      <c r="R189" s="23"/>
      <c r="XCY189"/>
      <c r="XCZ189"/>
      <c r="XDA189"/>
      <c r="XDB189"/>
      <c r="XDC189"/>
      <c r="XDD189"/>
      <c r="XDE189"/>
      <c r="XDF189"/>
      <c r="XDG189"/>
      <c r="XDH189"/>
      <c r="XDI189"/>
      <c r="XDJ189"/>
      <c r="XDK189"/>
      <c r="XDL189"/>
      <c r="XDM189"/>
      <c r="XDN189"/>
      <c r="XDO189"/>
      <c r="XDP189"/>
      <c r="XDQ189"/>
      <c r="XDR189"/>
      <c r="XDS189"/>
      <c r="XDT189"/>
      <c r="XDU189"/>
      <c r="XDV189"/>
      <c r="XDW189"/>
      <c r="XDX189"/>
      <c r="XDY189"/>
      <c r="XDZ189"/>
      <c r="XEA189"/>
      <c r="XEB189"/>
      <c r="XEC189"/>
      <c r="XED189"/>
      <c r="XEE189"/>
      <c r="XEF189"/>
      <c r="XEG189"/>
      <c r="XEH189"/>
      <c r="XEI189"/>
      <c r="XEJ189"/>
      <c r="XEK189"/>
      <c r="XEL189"/>
      <c r="XEM189"/>
      <c r="XEN189"/>
      <c r="XEO189"/>
      <c r="XEP189"/>
      <c r="XEQ189"/>
      <c r="XER189"/>
      <c r="XES189"/>
      <c r="XET189"/>
      <c r="XEU189"/>
      <c r="XEV189"/>
      <c r="XEW189"/>
      <c r="XEX189"/>
      <c r="XEY189"/>
      <c r="XEZ189"/>
      <c r="XFA189"/>
      <c r="XFB189"/>
      <c r="XFC189"/>
      <c r="XFD189"/>
    </row>
    <row r="190" spans="1:18 16327:16384" s="26" customFormat="1" ht="29.1" customHeight="1" outlineLevel="3" x14ac:dyDescent="0.25">
      <c r="A190" s="42" t="s">
        <v>344</v>
      </c>
      <c r="B190" s="43"/>
      <c r="C190" s="66" t="s">
        <v>345</v>
      </c>
      <c r="D190" s="66"/>
      <c r="E190" s="43" t="s">
        <v>34</v>
      </c>
      <c r="F190" s="44"/>
      <c r="G190" s="43" t="s">
        <v>31</v>
      </c>
      <c r="H190" s="45">
        <v>1</v>
      </c>
      <c r="I190" s="46">
        <f>42</f>
        <v>42</v>
      </c>
      <c r="J190" s="23"/>
      <c r="K190" s="47"/>
      <c r="L190" s="48"/>
      <c r="M190" s="49"/>
      <c r="N190" s="49">
        <f t="shared" si="5"/>
        <v>0</v>
      </c>
      <c r="O190" s="49"/>
      <c r="P190" s="49"/>
      <c r="Q190" s="49"/>
      <c r="R190" s="23"/>
      <c r="XCY190"/>
      <c r="XCZ190"/>
      <c r="XDA190"/>
      <c r="XDB190"/>
      <c r="XDC190"/>
      <c r="XDD190"/>
      <c r="XDE190"/>
      <c r="XDF190"/>
      <c r="XDG190"/>
      <c r="XDH190"/>
      <c r="XDI190"/>
      <c r="XDJ190"/>
      <c r="XDK190"/>
      <c r="XDL190"/>
      <c r="XDM190"/>
      <c r="XDN190"/>
      <c r="XDO190"/>
      <c r="XDP190"/>
      <c r="XDQ190"/>
      <c r="XDR190"/>
      <c r="XDS190"/>
      <c r="XDT190"/>
      <c r="XDU190"/>
      <c r="XDV190"/>
      <c r="XDW190"/>
      <c r="XDX190"/>
      <c r="XDY190"/>
      <c r="XDZ190"/>
      <c r="XEA190"/>
      <c r="XEB190"/>
      <c r="XEC190"/>
      <c r="XED190"/>
      <c r="XEE190"/>
      <c r="XEF190"/>
      <c r="XEG190"/>
      <c r="XEH190"/>
      <c r="XEI190"/>
      <c r="XEJ190"/>
      <c r="XEK190"/>
      <c r="XEL190"/>
      <c r="XEM190"/>
      <c r="XEN190"/>
      <c r="XEO190"/>
      <c r="XEP190"/>
      <c r="XEQ190"/>
      <c r="XER190"/>
      <c r="XES190"/>
      <c r="XET190"/>
      <c r="XEU190"/>
      <c r="XEV190"/>
      <c r="XEW190"/>
      <c r="XEX190"/>
      <c r="XEY190"/>
      <c r="XEZ190"/>
      <c r="XFA190"/>
      <c r="XFB190"/>
      <c r="XFC190"/>
      <c r="XFD190"/>
    </row>
    <row r="191" spans="1:18 16327:16384" s="26" customFormat="1" ht="29.1" customHeight="1" outlineLevel="2" x14ac:dyDescent="0.25">
      <c r="A191" s="34" t="s">
        <v>346</v>
      </c>
      <c r="B191" s="35"/>
      <c r="C191" s="65" t="s">
        <v>343</v>
      </c>
      <c r="D191" s="65"/>
      <c r="E191" s="35"/>
      <c r="F191" s="36"/>
      <c r="G191" s="35" t="s">
        <v>31</v>
      </c>
      <c r="H191" s="37"/>
      <c r="I191" s="38">
        <f>54</f>
        <v>54</v>
      </c>
      <c r="J191" s="23"/>
      <c r="K191" s="39"/>
      <c r="L191" s="40"/>
      <c r="M191" s="41">
        <f>K191+L191</f>
        <v>0</v>
      </c>
      <c r="N191" s="41">
        <f t="shared" ref="N191:N222" si="6">ROUND((I191*K191),2)</f>
        <v>0</v>
      </c>
      <c r="O191" s="41">
        <f>ROUND((I191*L191),2)</f>
        <v>0</v>
      </c>
      <c r="P191" s="41">
        <f>ROUND((I191*M191),2)</f>
        <v>0</v>
      </c>
      <c r="Q191" s="41"/>
      <c r="R191" s="23"/>
      <c r="XCY191"/>
      <c r="XCZ191"/>
      <c r="XDA191"/>
      <c r="XDB191"/>
      <c r="XDC191"/>
      <c r="XDD191"/>
      <c r="XDE191"/>
      <c r="XDF191"/>
      <c r="XDG191"/>
      <c r="XDH191"/>
      <c r="XDI191"/>
      <c r="XDJ191"/>
      <c r="XDK191"/>
      <c r="XDL191"/>
      <c r="XDM191"/>
      <c r="XDN191"/>
      <c r="XDO191"/>
      <c r="XDP191"/>
      <c r="XDQ191"/>
      <c r="XDR191"/>
      <c r="XDS191"/>
      <c r="XDT191"/>
      <c r="XDU191"/>
      <c r="XDV191"/>
      <c r="XDW191"/>
      <c r="XDX191"/>
      <c r="XDY191"/>
      <c r="XDZ191"/>
      <c r="XEA191"/>
      <c r="XEB191"/>
      <c r="XEC191"/>
      <c r="XED191"/>
      <c r="XEE191"/>
      <c r="XEF191"/>
      <c r="XEG191"/>
      <c r="XEH191"/>
      <c r="XEI191"/>
      <c r="XEJ191"/>
      <c r="XEK191"/>
      <c r="XEL191"/>
      <c r="XEM191"/>
      <c r="XEN191"/>
      <c r="XEO191"/>
      <c r="XEP191"/>
      <c r="XEQ191"/>
      <c r="XER191"/>
      <c r="XES191"/>
      <c r="XET191"/>
      <c r="XEU191"/>
      <c r="XEV191"/>
      <c r="XEW191"/>
      <c r="XEX191"/>
      <c r="XEY191"/>
      <c r="XEZ191"/>
      <c r="XFA191"/>
      <c r="XFB191"/>
      <c r="XFC191"/>
      <c r="XFD191"/>
    </row>
    <row r="192" spans="1:18 16327:16384" s="26" customFormat="1" ht="29.1" customHeight="1" outlineLevel="3" x14ac:dyDescent="0.25">
      <c r="A192" s="42" t="s">
        <v>347</v>
      </c>
      <c r="B192" s="43"/>
      <c r="C192" s="66" t="s">
        <v>348</v>
      </c>
      <c r="D192" s="66"/>
      <c r="E192" s="43" t="s">
        <v>34</v>
      </c>
      <c r="F192" s="44"/>
      <c r="G192" s="43" t="s">
        <v>31</v>
      </c>
      <c r="H192" s="45">
        <v>1</v>
      </c>
      <c r="I192" s="46">
        <f>54</f>
        <v>54</v>
      </c>
      <c r="J192" s="23"/>
      <c r="K192" s="47"/>
      <c r="L192" s="48"/>
      <c r="M192" s="49"/>
      <c r="N192" s="49">
        <f t="shared" si="6"/>
        <v>0</v>
      </c>
      <c r="O192" s="49"/>
      <c r="P192" s="49"/>
      <c r="Q192" s="49"/>
      <c r="R192" s="23"/>
      <c r="XCY192"/>
      <c r="XCZ192"/>
      <c r="XDA192"/>
      <c r="XDB192"/>
      <c r="XDC192"/>
      <c r="XDD192"/>
      <c r="XDE192"/>
      <c r="XDF192"/>
      <c r="XDG192"/>
      <c r="XDH192"/>
      <c r="XDI192"/>
      <c r="XDJ192"/>
      <c r="XDK192"/>
      <c r="XDL192"/>
      <c r="XDM192"/>
      <c r="XDN192"/>
      <c r="XDO192"/>
      <c r="XDP192"/>
      <c r="XDQ192"/>
      <c r="XDR192"/>
      <c r="XDS192"/>
      <c r="XDT192"/>
      <c r="XDU192"/>
      <c r="XDV192"/>
      <c r="XDW192"/>
      <c r="XDX192"/>
      <c r="XDY192"/>
      <c r="XDZ192"/>
      <c r="XEA192"/>
      <c r="XEB192"/>
      <c r="XEC192"/>
      <c r="XED192"/>
      <c r="XEE192"/>
      <c r="XEF192"/>
      <c r="XEG192"/>
      <c r="XEH192"/>
      <c r="XEI192"/>
      <c r="XEJ192"/>
      <c r="XEK192"/>
      <c r="XEL192"/>
      <c r="XEM192"/>
      <c r="XEN192"/>
      <c r="XEO192"/>
      <c r="XEP192"/>
      <c r="XEQ192"/>
      <c r="XER192"/>
      <c r="XES192"/>
      <c r="XET192"/>
      <c r="XEU192"/>
      <c r="XEV192"/>
      <c r="XEW192"/>
      <c r="XEX192"/>
      <c r="XEY192"/>
      <c r="XEZ192"/>
      <c r="XFA192"/>
      <c r="XFB192"/>
      <c r="XFC192"/>
      <c r="XFD192"/>
    </row>
    <row r="193" spans="1:18 16327:16384" s="26" customFormat="1" ht="29.1" customHeight="1" outlineLevel="2" x14ac:dyDescent="0.25">
      <c r="A193" s="34" t="s">
        <v>349</v>
      </c>
      <c r="B193" s="35"/>
      <c r="C193" s="65" t="s">
        <v>350</v>
      </c>
      <c r="D193" s="65"/>
      <c r="E193" s="35"/>
      <c r="F193" s="36"/>
      <c r="G193" s="35" t="s">
        <v>31</v>
      </c>
      <c r="H193" s="37"/>
      <c r="I193" s="38">
        <f>42</f>
        <v>42</v>
      </c>
      <c r="J193" s="23"/>
      <c r="K193" s="39"/>
      <c r="L193" s="40"/>
      <c r="M193" s="41">
        <f>K193+L193</f>
        <v>0</v>
      </c>
      <c r="N193" s="41">
        <f t="shared" si="6"/>
        <v>0</v>
      </c>
      <c r="O193" s="41">
        <f>ROUND((I193*L193),2)</f>
        <v>0</v>
      </c>
      <c r="P193" s="41">
        <f>ROUND((I193*M193),2)</f>
        <v>0</v>
      </c>
      <c r="Q193" s="41"/>
      <c r="R193" s="23"/>
      <c r="XCY193"/>
      <c r="XCZ193"/>
      <c r="XDA193"/>
      <c r="XDB193"/>
      <c r="XDC193"/>
      <c r="XDD193"/>
      <c r="XDE193"/>
      <c r="XDF193"/>
      <c r="XDG193"/>
      <c r="XDH193"/>
      <c r="XDI193"/>
      <c r="XDJ193"/>
      <c r="XDK193"/>
      <c r="XDL193"/>
      <c r="XDM193"/>
      <c r="XDN193"/>
      <c r="XDO193"/>
      <c r="XDP193"/>
      <c r="XDQ193"/>
      <c r="XDR193"/>
      <c r="XDS193"/>
      <c r="XDT193"/>
      <c r="XDU193"/>
      <c r="XDV193"/>
      <c r="XDW193"/>
      <c r="XDX193"/>
      <c r="XDY193"/>
      <c r="XDZ193"/>
      <c r="XEA193"/>
      <c r="XEB193"/>
      <c r="XEC193"/>
      <c r="XED193"/>
      <c r="XEE193"/>
      <c r="XEF193"/>
      <c r="XEG193"/>
      <c r="XEH193"/>
      <c r="XEI193"/>
      <c r="XEJ193"/>
      <c r="XEK193"/>
      <c r="XEL193"/>
      <c r="XEM193"/>
      <c r="XEN193"/>
      <c r="XEO193"/>
      <c r="XEP193"/>
      <c r="XEQ193"/>
      <c r="XER193"/>
      <c r="XES193"/>
      <c r="XET193"/>
      <c r="XEU193"/>
      <c r="XEV193"/>
      <c r="XEW193"/>
      <c r="XEX193"/>
      <c r="XEY193"/>
      <c r="XEZ193"/>
      <c r="XFA193"/>
      <c r="XFB193"/>
      <c r="XFC193"/>
      <c r="XFD193"/>
    </row>
    <row r="194" spans="1:18 16327:16384" s="26" customFormat="1" ht="29.1" customHeight="1" outlineLevel="3" x14ac:dyDescent="0.25">
      <c r="A194" s="42" t="s">
        <v>351</v>
      </c>
      <c r="B194" s="43"/>
      <c r="C194" s="66" t="s">
        <v>352</v>
      </c>
      <c r="D194" s="66"/>
      <c r="E194" s="43" t="s">
        <v>34</v>
      </c>
      <c r="F194" s="44"/>
      <c r="G194" s="43" t="s">
        <v>31</v>
      </c>
      <c r="H194" s="45">
        <v>1</v>
      </c>
      <c r="I194" s="46">
        <f>42</f>
        <v>42</v>
      </c>
      <c r="J194" s="23"/>
      <c r="K194" s="47"/>
      <c r="L194" s="48"/>
      <c r="M194" s="49"/>
      <c r="N194" s="49">
        <f t="shared" si="6"/>
        <v>0</v>
      </c>
      <c r="O194" s="49"/>
      <c r="P194" s="49"/>
      <c r="Q194" s="49"/>
      <c r="R194" s="23"/>
      <c r="XCY194"/>
      <c r="XCZ194"/>
      <c r="XDA194"/>
      <c r="XDB194"/>
      <c r="XDC194"/>
      <c r="XDD194"/>
      <c r="XDE194"/>
      <c r="XDF194"/>
      <c r="XDG194"/>
      <c r="XDH194"/>
      <c r="XDI194"/>
      <c r="XDJ194"/>
      <c r="XDK194"/>
      <c r="XDL194"/>
      <c r="XDM194"/>
      <c r="XDN194"/>
      <c r="XDO194"/>
      <c r="XDP194"/>
      <c r="XDQ194"/>
      <c r="XDR194"/>
      <c r="XDS194"/>
      <c r="XDT194"/>
      <c r="XDU194"/>
      <c r="XDV194"/>
      <c r="XDW194"/>
      <c r="XDX194"/>
      <c r="XDY194"/>
      <c r="XDZ194"/>
      <c r="XEA194"/>
      <c r="XEB194"/>
      <c r="XEC194"/>
      <c r="XED194"/>
      <c r="XEE194"/>
      <c r="XEF194"/>
      <c r="XEG194"/>
      <c r="XEH194"/>
      <c r="XEI194"/>
      <c r="XEJ194"/>
      <c r="XEK194"/>
      <c r="XEL194"/>
      <c r="XEM194"/>
      <c r="XEN194"/>
      <c r="XEO194"/>
      <c r="XEP194"/>
      <c r="XEQ194"/>
      <c r="XER194"/>
      <c r="XES194"/>
      <c r="XET194"/>
      <c r="XEU194"/>
      <c r="XEV194"/>
      <c r="XEW194"/>
      <c r="XEX194"/>
      <c r="XEY194"/>
      <c r="XEZ194"/>
      <c r="XFA194"/>
      <c r="XFB194"/>
      <c r="XFC194"/>
      <c r="XFD194"/>
    </row>
    <row r="195" spans="1:18 16327:16384" s="26" customFormat="1" ht="29.1" customHeight="1" outlineLevel="2" x14ac:dyDescent="0.25">
      <c r="A195" s="34" t="s">
        <v>353</v>
      </c>
      <c r="B195" s="35"/>
      <c r="C195" s="65" t="s">
        <v>354</v>
      </c>
      <c r="D195" s="65"/>
      <c r="E195" s="35"/>
      <c r="F195" s="36"/>
      <c r="G195" s="35" t="s">
        <v>31</v>
      </c>
      <c r="H195" s="37"/>
      <c r="I195" s="38">
        <f>54</f>
        <v>54</v>
      </c>
      <c r="J195" s="23"/>
      <c r="K195" s="39"/>
      <c r="L195" s="40"/>
      <c r="M195" s="41">
        <f>K195+L195</f>
        <v>0</v>
      </c>
      <c r="N195" s="41">
        <f t="shared" si="6"/>
        <v>0</v>
      </c>
      <c r="O195" s="41">
        <f>ROUND((I195*L195),2)</f>
        <v>0</v>
      </c>
      <c r="P195" s="41">
        <f>ROUND((I195*M195),2)</f>
        <v>0</v>
      </c>
      <c r="Q195" s="41"/>
      <c r="R195" s="23"/>
      <c r="XCY195"/>
      <c r="XCZ195"/>
      <c r="XDA195"/>
      <c r="XDB195"/>
      <c r="XDC195"/>
      <c r="XDD195"/>
      <c r="XDE195"/>
      <c r="XDF195"/>
      <c r="XDG195"/>
      <c r="XDH195"/>
      <c r="XDI195"/>
      <c r="XDJ195"/>
      <c r="XDK195"/>
      <c r="XDL195"/>
      <c r="XDM195"/>
      <c r="XDN195"/>
      <c r="XDO195"/>
      <c r="XDP195"/>
      <c r="XDQ195"/>
      <c r="XDR195"/>
      <c r="XDS195"/>
      <c r="XDT195"/>
      <c r="XDU195"/>
      <c r="XDV195"/>
      <c r="XDW195"/>
      <c r="XDX195"/>
      <c r="XDY195"/>
      <c r="XDZ195"/>
      <c r="XEA195"/>
      <c r="XEB195"/>
      <c r="XEC195"/>
      <c r="XED195"/>
      <c r="XEE195"/>
      <c r="XEF195"/>
      <c r="XEG195"/>
      <c r="XEH195"/>
      <c r="XEI195"/>
      <c r="XEJ195"/>
      <c r="XEK195"/>
      <c r="XEL195"/>
      <c r="XEM195"/>
      <c r="XEN195"/>
      <c r="XEO195"/>
      <c r="XEP195"/>
      <c r="XEQ195"/>
      <c r="XER195"/>
      <c r="XES195"/>
      <c r="XET195"/>
      <c r="XEU195"/>
      <c r="XEV195"/>
      <c r="XEW195"/>
      <c r="XEX195"/>
      <c r="XEY195"/>
      <c r="XEZ195"/>
      <c r="XFA195"/>
      <c r="XFB195"/>
      <c r="XFC195"/>
      <c r="XFD195"/>
    </row>
    <row r="196" spans="1:18 16327:16384" s="26" customFormat="1" ht="29.1" customHeight="1" outlineLevel="3" x14ac:dyDescent="0.25">
      <c r="A196" s="42" t="s">
        <v>355</v>
      </c>
      <c r="B196" s="43"/>
      <c r="C196" s="66" t="s">
        <v>356</v>
      </c>
      <c r="D196" s="66"/>
      <c r="E196" s="43" t="s">
        <v>34</v>
      </c>
      <c r="F196" s="44"/>
      <c r="G196" s="43" t="s">
        <v>31</v>
      </c>
      <c r="H196" s="45">
        <v>1</v>
      </c>
      <c r="I196" s="46">
        <f>54</f>
        <v>54</v>
      </c>
      <c r="J196" s="23"/>
      <c r="K196" s="47"/>
      <c r="L196" s="48"/>
      <c r="M196" s="49"/>
      <c r="N196" s="49">
        <f t="shared" si="6"/>
        <v>0</v>
      </c>
      <c r="O196" s="49"/>
      <c r="P196" s="49"/>
      <c r="Q196" s="49"/>
      <c r="R196" s="23"/>
      <c r="XCY196"/>
      <c r="XCZ196"/>
      <c r="XDA196"/>
      <c r="XDB196"/>
      <c r="XDC196"/>
      <c r="XDD196"/>
      <c r="XDE196"/>
      <c r="XDF196"/>
      <c r="XDG196"/>
      <c r="XDH196"/>
      <c r="XDI196"/>
      <c r="XDJ196"/>
      <c r="XDK196"/>
      <c r="XDL196"/>
      <c r="XDM196"/>
      <c r="XDN196"/>
      <c r="XDO196"/>
      <c r="XDP196"/>
      <c r="XDQ196"/>
      <c r="XDR196"/>
      <c r="XDS196"/>
      <c r="XDT196"/>
      <c r="XDU196"/>
      <c r="XDV196"/>
      <c r="XDW196"/>
      <c r="XDX196"/>
      <c r="XDY196"/>
      <c r="XDZ196"/>
      <c r="XEA196"/>
      <c r="XEB196"/>
      <c r="XEC196"/>
      <c r="XED196"/>
      <c r="XEE196"/>
      <c r="XEF196"/>
      <c r="XEG196"/>
      <c r="XEH196"/>
      <c r="XEI196"/>
      <c r="XEJ196"/>
      <c r="XEK196"/>
      <c r="XEL196"/>
      <c r="XEM196"/>
      <c r="XEN196"/>
      <c r="XEO196"/>
      <c r="XEP196"/>
      <c r="XEQ196"/>
      <c r="XER196"/>
      <c r="XES196"/>
      <c r="XET196"/>
      <c r="XEU196"/>
      <c r="XEV196"/>
      <c r="XEW196"/>
      <c r="XEX196"/>
      <c r="XEY196"/>
      <c r="XEZ196"/>
      <c r="XFA196"/>
      <c r="XFB196"/>
      <c r="XFC196"/>
      <c r="XFD196"/>
    </row>
    <row r="197" spans="1:18 16327:16384" s="26" customFormat="1" ht="29.1" customHeight="1" outlineLevel="2" x14ac:dyDescent="0.25">
      <c r="A197" s="34" t="s">
        <v>357</v>
      </c>
      <c r="B197" s="35"/>
      <c r="C197" s="65" t="s">
        <v>332</v>
      </c>
      <c r="D197" s="65"/>
      <c r="E197" s="35"/>
      <c r="F197" s="36"/>
      <c r="G197" s="35" t="s">
        <v>31</v>
      </c>
      <c r="H197" s="37"/>
      <c r="I197" s="38">
        <f>24</f>
        <v>24</v>
      </c>
      <c r="J197" s="23"/>
      <c r="K197" s="39"/>
      <c r="L197" s="40"/>
      <c r="M197" s="41">
        <f>K197+L197</f>
        <v>0</v>
      </c>
      <c r="N197" s="41">
        <f t="shared" si="6"/>
        <v>0</v>
      </c>
      <c r="O197" s="41">
        <f>ROUND((I197*L197),2)</f>
        <v>0</v>
      </c>
      <c r="P197" s="41">
        <f>ROUND((I197*M197),2)</f>
        <v>0</v>
      </c>
      <c r="Q197" s="41"/>
      <c r="R197" s="23"/>
      <c r="XCY197"/>
      <c r="XCZ197"/>
      <c r="XDA197"/>
      <c r="XDB197"/>
      <c r="XDC197"/>
      <c r="XDD197"/>
      <c r="XDE197"/>
      <c r="XDF197"/>
      <c r="XDG197"/>
      <c r="XDH197"/>
      <c r="XDI197"/>
      <c r="XDJ197"/>
      <c r="XDK197"/>
      <c r="XDL197"/>
      <c r="XDM197"/>
      <c r="XDN197"/>
      <c r="XDO197"/>
      <c r="XDP197"/>
      <c r="XDQ197"/>
      <c r="XDR197"/>
      <c r="XDS197"/>
      <c r="XDT197"/>
      <c r="XDU197"/>
      <c r="XDV197"/>
      <c r="XDW197"/>
      <c r="XDX197"/>
      <c r="XDY197"/>
      <c r="XDZ197"/>
      <c r="XEA197"/>
      <c r="XEB197"/>
      <c r="XEC197"/>
      <c r="XED197"/>
      <c r="XEE197"/>
      <c r="XEF197"/>
      <c r="XEG197"/>
      <c r="XEH197"/>
      <c r="XEI197"/>
      <c r="XEJ197"/>
      <c r="XEK197"/>
      <c r="XEL197"/>
      <c r="XEM197"/>
      <c r="XEN197"/>
      <c r="XEO197"/>
      <c r="XEP197"/>
      <c r="XEQ197"/>
      <c r="XER197"/>
      <c r="XES197"/>
      <c r="XET197"/>
      <c r="XEU197"/>
      <c r="XEV197"/>
      <c r="XEW197"/>
      <c r="XEX197"/>
      <c r="XEY197"/>
      <c r="XEZ197"/>
      <c r="XFA197"/>
      <c r="XFB197"/>
      <c r="XFC197"/>
      <c r="XFD197"/>
    </row>
    <row r="198" spans="1:18 16327:16384" s="26" customFormat="1" ht="29.1" customHeight="1" outlineLevel="3" x14ac:dyDescent="0.25">
      <c r="A198" s="42" t="s">
        <v>358</v>
      </c>
      <c r="B198" s="43"/>
      <c r="C198" s="66" t="s">
        <v>359</v>
      </c>
      <c r="D198" s="66"/>
      <c r="E198" s="43" t="s">
        <v>34</v>
      </c>
      <c r="F198" s="44"/>
      <c r="G198" s="43" t="s">
        <v>31</v>
      </c>
      <c r="H198" s="45">
        <v>1</v>
      </c>
      <c r="I198" s="46">
        <f>24</f>
        <v>24</v>
      </c>
      <c r="J198" s="23"/>
      <c r="K198" s="47"/>
      <c r="L198" s="48"/>
      <c r="M198" s="49"/>
      <c r="N198" s="49">
        <f t="shared" si="6"/>
        <v>0</v>
      </c>
      <c r="O198" s="49"/>
      <c r="P198" s="49"/>
      <c r="Q198" s="49"/>
      <c r="R198" s="23"/>
      <c r="XCY198"/>
      <c r="XCZ198"/>
      <c r="XDA198"/>
      <c r="XDB198"/>
      <c r="XDC198"/>
      <c r="XDD198"/>
      <c r="XDE198"/>
      <c r="XDF198"/>
      <c r="XDG198"/>
      <c r="XDH198"/>
      <c r="XDI198"/>
      <c r="XDJ198"/>
      <c r="XDK198"/>
      <c r="XDL198"/>
      <c r="XDM198"/>
      <c r="XDN198"/>
      <c r="XDO198"/>
      <c r="XDP198"/>
      <c r="XDQ198"/>
      <c r="XDR198"/>
      <c r="XDS198"/>
      <c r="XDT198"/>
      <c r="XDU198"/>
      <c r="XDV198"/>
      <c r="XDW198"/>
      <c r="XDX198"/>
      <c r="XDY198"/>
      <c r="XDZ198"/>
      <c r="XEA198"/>
      <c r="XEB198"/>
      <c r="XEC198"/>
      <c r="XED198"/>
      <c r="XEE198"/>
      <c r="XEF198"/>
      <c r="XEG198"/>
      <c r="XEH198"/>
      <c r="XEI198"/>
      <c r="XEJ198"/>
      <c r="XEK198"/>
      <c r="XEL198"/>
      <c r="XEM198"/>
      <c r="XEN198"/>
      <c r="XEO198"/>
      <c r="XEP198"/>
      <c r="XEQ198"/>
      <c r="XER198"/>
      <c r="XES198"/>
      <c r="XET198"/>
      <c r="XEU198"/>
      <c r="XEV198"/>
      <c r="XEW198"/>
      <c r="XEX198"/>
      <c r="XEY198"/>
      <c r="XEZ198"/>
      <c r="XFA198"/>
      <c r="XFB198"/>
      <c r="XFC198"/>
      <c r="XFD198"/>
    </row>
    <row r="199" spans="1:18 16327:16384" s="26" customFormat="1" ht="29.1" customHeight="1" outlineLevel="2" x14ac:dyDescent="0.25">
      <c r="A199" s="34" t="s">
        <v>360</v>
      </c>
      <c r="B199" s="35"/>
      <c r="C199" s="65" t="s">
        <v>361</v>
      </c>
      <c r="D199" s="65"/>
      <c r="E199" s="35"/>
      <c r="F199" s="36"/>
      <c r="G199" s="35" t="s">
        <v>31</v>
      </c>
      <c r="H199" s="37"/>
      <c r="I199" s="38">
        <f>36</f>
        <v>36</v>
      </c>
      <c r="J199" s="23"/>
      <c r="K199" s="39"/>
      <c r="L199" s="40"/>
      <c r="M199" s="41">
        <f>K199+L199</f>
        <v>0</v>
      </c>
      <c r="N199" s="41">
        <f t="shared" si="6"/>
        <v>0</v>
      </c>
      <c r="O199" s="41">
        <f>ROUND((I199*L199),2)</f>
        <v>0</v>
      </c>
      <c r="P199" s="41">
        <f>ROUND((I199*M199),2)</f>
        <v>0</v>
      </c>
      <c r="Q199" s="41"/>
      <c r="R199" s="23"/>
      <c r="XCY199"/>
      <c r="XCZ199"/>
      <c r="XDA199"/>
      <c r="XDB199"/>
      <c r="XDC199"/>
      <c r="XDD199"/>
      <c r="XDE199"/>
      <c r="XDF199"/>
      <c r="XDG199"/>
      <c r="XDH199"/>
      <c r="XDI199"/>
      <c r="XDJ199"/>
      <c r="XDK199"/>
      <c r="XDL199"/>
      <c r="XDM199"/>
      <c r="XDN199"/>
      <c r="XDO199"/>
      <c r="XDP199"/>
      <c r="XDQ199"/>
      <c r="XDR199"/>
      <c r="XDS199"/>
      <c r="XDT199"/>
      <c r="XDU199"/>
      <c r="XDV199"/>
      <c r="XDW199"/>
      <c r="XDX199"/>
      <c r="XDY199"/>
      <c r="XDZ199"/>
      <c r="XEA199"/>
      <c r="XEB199"/>
      <c r="XEC199"/>
      <c r="XED199"/>
      <c r="XEE199"/>
      <c r="XEF199"/>
      <c r="XEG199"/>
      <c r="XEH199"/>
      <c r="XEI199"/>
      <c r="XEJ199"/>
      <c r="XEK199"/>
      <c r="XEL199"/>
      <c r="XEM199"/>
      <c r="XEN199"/>
      <c r="XEO199"/>
      <c r="XEP199"/>
      <c r="XEQ199"/>
      <c r="XER199"/>
      <c r="XES199"/>
      <c r="XET199"/>
      <c r="XEU199"/>
      <c r="XEV199"/>
      <c r="XEW199"/>
      <c r="XEX199"/>
      <c r="XEY199"/>
      <c r="XEZ199"/>
      <c r="XFA199"/>
      <c r="XFB199"/>
      <c r="XFC199"/>
      <c r="XFD199"/>
    </row>
    <row r="200" spans="1:18 16327:16384" s="26" customFormat="1" ht="29.1" customHeight="1" outlineLevel="3" x14ac:dyDescent="0.25">
      <c r="A200" s="42" t="s">
        <v>362</v>
      </c>
      <c r="B200" s="43"/>
      <c r="C200" s="66" t="s">
        <v>363</v>
      </c>
      <c r="D200" s="66"/>
      <c r="E200" s="43" t="s">
        <v>34</v>
      </c>
      <c r="F200" s="44"/>
      <c r="G200" s="43" t="s">
        <v>31</v>
      </c>
      <c r="H200" s="45">
        <v>1</v>
      </c>
      <c r="I200" s="46">
        <f>36</f>
        <v>36</v>
      </c>
      <c r="J200" s="23"/>
      <c r="K200" s="47"/>
      <c r="L200" s="48"/>
      <c r="M200" s="49"/>
      <c r="N200" s="49">
        <f t="shared" si="6"/>
        <v>0</v>
      </c>
      <c r="O200" s="49"/>
      <c r="P200" s="49"/>
      <c r="Q200" s="49"/>
      <c r="R200" s="23"/>
      <c r="XCY200"/>
      <c r="XCZ200"/>
      <c r="XDA200"/>
      <c r="XDB200"/>
      <c r="XDC200"/>
      <c r="XDD200"/>
      <c r="XDE200"/>
      <c r="XDF200"/>
      <c r="XDG200"/>
      <c r="XDH200"/>
      <c r="XDI200"/>
      <c r="XDJ200"/>
      <c r="XDK200"/>
      <c r="XDL200"/>
      <c r="XDM200"/>
      <c r="XDN200"/>
      <c r="XDO200"/>
      <c r="XDP200"/>
      <c r="XDQ200"/>
      <c r="XDR200"/>
      <c r="XDS200"/>
      <c r="XDT200"/>
      <c r="XDU200"/>
      <c r="XDV200"/>
      <c r="XDW200"/>
      <c r="XDX200"/>
      <c r="XDY200"/>
      <c r="XDZ200"/>
      <c r="XEA200"/>
      <c r="XEB200"/>
      <c r="XEC200"/>
      <c r="XED200"/>
      <c r="XEE200"/>
      <c r="XEF200"/>
      <c r="XEG200"/>
      <c r="XEH200"/>
      <c r="XEI200"/>
      <c r="XEJ200"/>
      <c r="XEK200"/>
      <c r="XEL200"/>
      <c r="XEM200"/>
      <c r="XEN200"/>
      <c r="XEO200"/>
      <c r="XEP200"/>
      <c r="XEQ200"/>
      <c r="XER200"/>
      <c r="XES200"/>
      <c r="XET200"/>
      <c r="XEU200"/>
      <c r="XEV200"/>
      <c r="XEW200"/>
      <c r="XEX200"/>
      <c r="XEY200"/>
      <c r="XEZ200"/>
      <c r="XFA200"/>
      <c r="XFB200"/>
      <c r="XFC200"/>
      <c r="XFD200"/>
    </row>
    <row r="201" spans="1:18 16327:16384" s="26" customFormat="1" ht="29.1" customHeight="1" outlineLevel="3" x14ac:dyDescent="0.25">
      <c r="A201" s="42" t="s">
        <v>364</v>
      </c>
      <c r="B201" s="43"/>
      <c r="C201" s="66" t="s">
        <v>365</v>
      </c>
      <c r="D201" s="66"/>
      <c r="E201" s="43" t="s">
        <v>34</v>
      </c>
      <c r="F201" s="44"/>
      <c r="G201" s="43" t="s">
        <v>90</v>
      </c>
      <c r="H201" s="45">
        <v>1</v>
      </c>
      <c r="I201" s="46">
        <f>36</f>
        <v>36</v>
      </c>
      <c r="J201" s="23"/>
      <c r="K201" s="47"/>
      <c r="L201" s="48"/>
      <c r="M201" s="49"/>
      <c r="N201" s="49">
        <f t="shared" si="6"/>
        <v>0</v>
      </c>
      <c r="O201" s="49"/>
      <c r="P201" s="49"/>
      <c r="Q201" s="49"/>
      <c r="R201" s="23"/>
      <c r="XCY201"/>
      <c r="XCZ201"/>
      <c r="XDA201"/>
      <c r="XDB201"/>
      <c r="XDC201"/>
      <c r="XDD201"/>
      <c r="XDE201"/>
      <c r="XDF201"/>
      <c r="XDG201"/>
      <c r="XDH201"/>
      <c r="XDI201"/>
      <c r="XDJ201"/>
      <c r="XDK201"/>
      <c r="XDL201"/>
      <c r="XDM201"/>
      <c r="XDN201"/>
      <c r="XDO201"/>
      <c r="XDP201"/>
      <c r="XDQ201"/>
      <c r="XDR201"/>
      <c r="XDS201"/>
      <c r="XDT201"/>
      <c r="XDU201"/>
      <c r="XDV201"/>
      <c r="XDW201"/>
      <c r="XDX201"/>
      <c r="XDY201"/>
      <c r="XDZ201"/>
      <c r="XEA201"/>
      <c r="XEB201"/>
      <c r="XEC201"/>
      <c r="XED201"/>
      <c r="XEE201"/>
      <c r="XEF201"/>
      <c r="XEG201"/>
      <c r="XEH201"/>
      <c r="XEI201"/>
      <c r="XEJ201"/>
      <c r="XEK201"/>
      <c r="XEL201"/>
      <c r="XEM201"/>
      <c r="XEN201"/>
      <c r="XEO201"/>
      <c r="XEP201"/>
      <c r="XEQ201"/>
      <c r="XER201"/>
      <c r="XES201"/>
      <c r="XET201"/>
      <c r="XEU201"/>
      <c r="XEV201"/>
      <c r="XEW201"/>
      <c r="XEX201"/>
      <c r="XEY201"/>
      <c r="XEZ201"/>
      <c r="XFA201"/>
      <c r="XFB201"/>
      <c r="XFC201"/>
      <c r="XFD201"/>
    </row>
    <row r="202" spans="1:18 16327:16384" s="26" customFormat="1" ht="29.1" customHeight="1" outlineLevel="2" x14ac:dyDescent="0.25">
      <c r="A202" s="34" t="s">
        <v>366</v>
      </c>
      <c r="B202" s="35"/>
      <c r="C202" s="65" t="s">
        <v>367</v>
      </c>
      <c r="D202" s="65"/>
      <c r="E202" s="35"/>
      <c r="F202" s="36"/>
      <c r="G202" s="35" t="s">
        <v>31</v>
      </c>
      <c r="H202" s="37"/>
      <c r="I202" s="38">
        <f>36</f>
        <v>36</v>
      </c>
      <c r="J202" s="23"/>
      <c r="K202" s="39"/>
      <c r="L202" s="40"/>
      <c r="M202" s="41">
        <f>K202+L202</f>
        <v>0</v>
      </c>
      <c r="N202" s="41">
        <f t="shared" si="6"/>
        <v>0</v>
      </c>
      <c r="O202" s="41">
        <f>ROUND((I202*L202),2)</f>
        <v>0</v>
      </c>
      <c r="P202" s="41">
        <f>ROUND((I202*M202),2)</f>
        <v>0</v>
      </c>
      <c r="Q202" s="41"/>
      <c r="R202" s="23"/>
      <c r="XCY202"/>
      <c r="XCZ202"/>
      <c r="XDA202"/>
      <c r="XDB202"/>
      <c r="XDC202"/>
      <c r="XDD202"/>
      <c r="XDE202"/>
      <c r="XDF202"/>
      <c r="XDG202"/>
      <c r="XDH202"/>
      <c r="XDI202"/>
      <c r="XDJ202"/>
      <c r="XDK202"/>
      <c r="XDL202"/>
      <c r="XDM202"/>
      <c r="XDN202"/>
      <c r="XDO202"/>
      <c r="XDP202"/>
      <c r="XDQ202"/>
      <c r="XDR202"/>
      <c r="XDS202"/>
      <c r="XDT202"/>
      <c r="XDU202"/>
      <c r="XDV202"/>
      <c r="XDW202"/>
      <c r="XDX202"/>
      <c r="XDY202"/>
      <c r="XDZ202"/>
      <c r="XEA202"/>
      <c r="XEB202"/>
      <c r="XEC202"/>
      <c r="XED202"/>
      <c r="XEE202"/>
      <c r="XEF202"/>
      <c r="XEG202"/>
      <c r="XEH202"/>
      <c r="XEI202"/>
      <c r="XEJ202"/>
      <c r="XEK202"/>
      <c r="XEL202"/>
      <c r="XEM202"/>
      <c r="XEN202"/>
      <c r="XEO202"/>
      <c r="XEP202"/>
      <c r="XEQ202"/>
      <c r="XER202"/>
      <c r="XES202"/>
      <c r="XET202"/>
      <c r="XEU202"/>
      <c r="XEV202"/>
      <c r="XEW202"/>
      <c r="XEX202"/>
      <c r="XEY202"/>
      <c r="XEZ202"/>
      <c r="XFA202"/>
      <c r="XFB202"/>
      <c r="XFC202"/>
      <c r="XFD202"/>
    </row>
    <row r="203" spans="1:18 16327:16384" s="26" customFormat="1" ht="29.1" customHeight="1" outlineLevel="3" x14ac:dyDescent="0.25">
      <c r="A203" s="42" t="s">
        <v>368</v>
      </c>
      <c r="B203" s="43"/>
      <c r="C203" s="66" t="s">
        <v>369</v>
      </c>
      <c r="D203" s="66"/>
      <c r="E203" s="43" t="s">
        <v>34</v>
      </c>
      <c r="F203" s="44"/>
      <c r="G203" s="43" t="s">
        <v>31</v>
      </c>
      <c r="H203" s="45">
        <v>1</v>
      </c>
      <c r="I203" s="46">
        <f>36</f>
        <v>36</v>
      </c>
      <c r="J203" s="23"/>
      <c r="K203" s="47"/>
      <c r="L203" s="48"/>
      <c r="M203" s="49"/>
      <c r="N203" s="49">
        <f t="shared" si="6"/>
        <v>0</v>
      </c>
      <c r="O203" s="49"/>
      <c r="P203" s="49"/>
      <c r="Q203" s="49"/>
      <c r="R203" s="23"/>
      <c r="XCY203"/>
      <c r="XCZ203"/>
      <c r="XDA203"/>
      <c r="XDB203"/>
      <c r="XDC203"/>
      <c r="XDD203"/>
      <c r="XDE203"/>
      <c r="XDF203"/>
      <c r="XDG203"/>
      <c r="XDH203"/>
      <c r="XDI203"/>
      <c r="XDJ203"/>
      <c r="XDK203"/>
      <c r="XDL203"/>
      <c r="XDM203"/>
      <c r="XDN203"/>
      <c r="XDO203"/>
      <c r="XDP203"/>
      <c r="XDQ203"/>
      <c r="XDR203"/>
      <c r="XDS203"/>
      <c r="XDT203"/>
      <c r="XDU203"/>
      <c r="XDV203"/>
      <c r="XDW203"/>
      <c r="XDX203"/>
      <c r="XDY203"/>
      <c r="XDZ203"/>
      <c r="XEA203"/>
      <c r="XEB203"/>
      <c r="XEC203"/>
      <c r="XED203"/>
      <c r="XEE203"/>
      <c r="XEF203"/>
      <c r="XEG203"/>
      <c r="XEH203"/>
      <c r="XEI203"/>
      <c r="XEJ203"/>
      <c r="XEK203"/>
      <c r="XEL203"/>
      <c r="XEM203"/>
      <c r="XEN203"/>
      <c r="XEO203"/>
      <c r="XEP203"/>
      <c r="XEQ203"/>
      <c r="XER203"/>
      <c r="XES203"/>
      <c r="XET203"/>
      <c r="XEU203"/>
      <c r="XEV203"/>
      <c r="XEW203"/>
      <c r="XEX203"/>
      <c r="XEY203"/>
      <c r="XEZ203"/>
      <c r="XFA203"/>
      <c r="XFB203"/>
      <c r="XFC203"/>
      <c r="XFD203"/>
    </row>
    <row r="204" spans="1:18 16327:16384" s="26" customFormat="1" ht="29.1" customHeight="1" outlineLevel="2" x14ac:dyDescent="0.25">
      <c r="A204" s="34" t="s">
        <v>370</v>
      </c>
      <c r="B204" s="35"/>
      <c r="C204" s="65" t="s">
        <v>371</v>
      </c>
      <c r="D204" s="65"/>
      <c r="E204" s="35"/>
      <c r="F204" s="36"/>
      <c r="G204" s="35" t="s">
        <v>31</v>
      </c>
      <c r="H204" s="37"/>
      <c r="I204" s="38">
        <f>36</f>
        <v>36</v>
      </c>
      <c r="J204" s="23"/>
      <c r="K204" s="39"/>
      <c r="L204" s="40"/>
      <c r="M204" s="41">
        <f>K204+L204</f>
        <v>0</v>
      </c>
      <c r="N204" s="41">
        <f t="shared" si="6"/>
        <v>0</v>
      </c>
      <c r="O204" s="41">
        <f>ROUND((I204*L204),2)</f>
        <v>0</v>
      </c>
      <c r="P204" s="41">
        <f>ROUND((I204*M204),2)</f>
        <v>0</v>
      </c>
      <c r="Q204" s="41"/>
      <c r="R204" s="23"/>
      <c r="XCY204"/>
      <c r="XCZ204"/>
      <c r="XDA204"/>
      <c r="XDB204"/>
      <c r="XDC204"/>
      <c r="XDD204"/>
      <c r="XDE204"/>
      <c r="XDF204"/>
      <c r="XDG204"/>
      <c r="XDH204"/>
      <c r="XDI204"/>
      <c r="XDJ204"/>
      <c r="XDK204"/>
      <c r="XDL204"/>
      <c r="XDM204"/>
      <c r="XDN204"/>
      <c r="XDO204"/>
      <c r="XDP204"/>
      <c r="XDQ204"/>
      <c r="XDR204"/>
      <c r="XDS204"/>
      <c r="XDT204"/>
      <c r="XDU204"/>
      <c r="XDV204"/>
      <c r="XDW204"/>
      <c r="XDX204"/>
      <c r="XDY204"/>
      <c r="XDZ204"/>
      <c r="XEA204"/>
      <c r="XEB204"/>
      <c r="XEC204"/>
      <c r="XED204"/>
      <c r="XEE204"/>
      <c r="XEF204"/>
      <c r="XEG204"/>
      <c r="XEH204"/>
      <c r="XEI204"/>
      <c r="XEJ204"/>
      <c r="XEK204"/>
      <c r="XEL204"/>
      <c r="XEM204"/>
      <c r="XEN204"/>
      <c r="XEO204"/>
      <c r="XEP204"/>
      <c r="XEQ204"/>
      <c r="XER204"/>
      <c r="XES204"/>
      <c r="XET204"/>
      <c r="XEU204"/>
      <c r="XEV204"/>
      <c r="XEW204"/>
      <c r="XEX204"/>
      <c r="XEY204"/>
      <c r="XEZ204"/>
      <c r="XFA204"/>
      <c r="XFB204"/>
      <c r="XFC204"/>
      <c r="XFD204"/>
    </row>
    <row r="205" spans="1:18 16327:16384" s="26" customFormat="1" ht="29.1" customHeight="1" outlineLevel="3" x14ac:dyDescent="0.25">
      <c r="A205" s="42" t="s">
        <v>372</v>
      </c>
      <c r="B205" s="43"/>
      <c r="C205" s="66" t="s">
        <v>373</v>
      </c>
      <c r="D205" s="66"/>
      <c r="E205" s="43" t="s">
        <v>34</v>
      </c>
      <c r="F205" s="44"/>
      <c r="G205" s="43" t="s">
        <v>31</v>
      </c>
      <c r="H205" s="45">
        <v>1</v>
      </c>
      <c r="I205" s="46">
        <f>36</f>
        <v>36</v>
      </c>
      <c r="J205" s="23"/>
      <c r="K205" s="47"/>
      <c r="L205" s="48"/>
      <c r="M205" s="49"/>
      <c r="N205" s="49">
        <f t="shared" si="6"/>
        <v>0</v>
      </c>
      <c r="O205" s="49"/>
      <c r="P205" s="49"/>
      <c r="Q205" s="49"/>
      <c r="R205" s="23"/>
      <c r="XCY205"/>
      <c r="XCZ205"/>
      <c r="XDA205"/>
      <c r="XDB205"/>
      <c r="XDC205"/>
      <c r="XDD205"/>
      <c r="XDE205"/>
      <c r="XDF205"/>
      <c r="XDG205"/>
      <c r="XDH205"/>
      <c r="XDI205"/>
      <c r="XDJ205"/>
      <c r="XDK205"/>
      <c r="XDL205"/>
      <c r="XDM205"/>
      <c r="XDN205"/>
      <c r="XDO205"/>
      <c r="XDP205"/>
      <c r="XDQ205"/>
      <c r="XDR205"/>
      <c r="XDS205"/>
      <c r="XDT205"/>
      <c r="XDU205"/>
      <c r="XDV205"/>
      <c r="XDW205"/>
      <c r="XDX205"/>
      <c r="XDY205"/>
      <c r="XDZ205"/>
      <c r="XEA205"/>
      <c r="XEB205"/>
      <c r="XEC205"/>
      <c r="XED205"/>
      <c r="XEE205"/>
      <c r="XEF205"/>
      <c r="XEG205"/>
      <c r="XEH205"/>
      <c r="XEI205"/>
      <c r="XEJ205"/>
      <c r="XEK205"/>
      <c r="XEL205"/>
      <c r="XEM205"/>
      <c r="XEN205"/>
      <c r="XEO205"/>
      <c r="XEP205"/>
      <c r="XEQ205"/>
      <c r="XER205"/>
      <c r="XES205"/>
      <c r="XET205"/>
      <c r="XEU205"/>
      <c r="XEV205"/>
      <c r="XEW205"/>
      <c r="XEX205"/>
      <c r="XEY205"/>
      <c r="XEZ205"/>
      <c r="XFA205"/>
      <c r="XFB205"/>
      <c r="XFC205"/>
      <c r="XFD205"/>
    </row>
    <row r="206" spans="1:18 16327:16384" s="26" customFormat="1" ht="29.1" customHeight="1" outlineLevel="2" x14ac:dyDescent="0.25">
      <c r="A206" s="34" t="s">
        <v>374</v>
      </c>
      <c r="B206" s="35"/>
      <c r="C206" s="65" t="s">
        <v>375</v>
      </c>
      <c r="D206" s="65"/>
      <c r="E206" s="35"/>
      <c r="F206" s="36"/>
      <c r="G206" s="35" t="s">
        <v>31</v>
      </c>
      <c r="H206" s="37"/>
      <c r="I206" s="38">
        <f>18</f>
        <v>18</v>
      </c>
      <c r="J206" s="23"/>
      <c r="K206" s="39"/>
      <c r="L206" s="40"/>
      <c r="M206" s="41">
        <f>K206+L206</f>
        <v>0</v>
      </c>
      <c r="N206" s="41">
        <f t="shared" si="6"/>
        <v>0</v>
      </c>
      <c r="O206" s="41">
        <f>ROUND((I206*L206),2)</f>
        <v>0</v>
      </c>
      <c r="P206" s="41">
        <f>ROUND((I206*M206),2)</f>
        <v>0</v>
      </c>
      <c r="Q206" s="41"/>
      <c r="R206" s="23"/>
      <c r="XCY206"/>
      <c r="XCZ206"/>
      <c r="XDA206"/>
      <c r="XDB206"/>
      <c r="XDC206"/>
      <c r="XDD206"/>
      <c r="XDE206"/>
      <c r="XDF206"/>
      <c r="XDG206"/>
      <c r="XDH206"/>
      <c r="XDI206"/>
      <c r="XDJ206"/>
      <c r="XDK206"/>
      <c r="XDL206"/>
      <c r="XDM206"/>
      <c r="XDN206"/>
      <c r="XDO206"/>
      <c r="XDP206"/>
      <c r="XDQ206"/>
      <c r="XDR206"/>
      <c r="XDS206"/>
      <c r="XDT206"/>
      <c r="XDU206"/>
      <c r="XDV206"/>
      <c r="XDW206"/>
      <c r="XDX206"/>
      <c r="XDY206"/>
      <c r="XDZ206"/>
      <c r="XEA206"/>
      <c r="XEB206"/>
      <c r="XEC206"/>
      <c r="XED206"/>
      <c r="XEE206"/>
      <c r="XEF206"/>
      <c r="XEG206"/>
      <c r="XEH206"/>
      <c r="XEI206"/>
      <c r="XEJ206"/>
      <c r="XEK206"/>
      <c r="XEL206"/>
      <c r="XEM206"/>
      <c r="XEN206"/>
      <c r="XEO206"/>
      <c r="XEP206"/>
      <c r="XEQ206"/>
      <c r="XER206"/>
      <c r="XES206"/>
      <c r="XET206"/>
      <c r="XEU206"/>
      <c r="XEV206"/>
      <c r="XEW206"/>
      <c r="XEX206"/>
      <c r="XEY206"/>
      <c r="XEZ206"/>
      <c r="XFA206"/>
      <c r="XFB206"/>
      <c r="XFC206"/>
      <c r="XFD206"/>
    </row>
    <row r="207" spans="1:18 16327:16384" s="26" customFormat="1" ht="29.1" customHeight="1" outlineLevel="3" x14ac:dyDescent="0.25">
      <c r="A207" s="42" t="s">
        <v>376</v>
      </c>
      <c r="B207" s="43"/>
      <c r="C207" s="66" t="s">
        <v>377</v>
      </c>
      <c r="D207" s="66"/>
      <c r="E207" s="43" t="s">
        <v>34</v>
      </c>
      <c r="F207" s="44"/>
      <c r="G207" s="43" t="s">
        <v>31</v>
      </c>
      <c r="H207" s="45">
        <v>1</v>
      </c>
      <c r="I207" s="46">
        <f>18</f>
        <v>18</v>
      </c>
      <c r="J207" s="23"/>
      <c r="K207" s="47"/>
      <c r="L207" s="48"/>
      <c r="M207" s="49"/>
      <c r="N207" s="49">
        <f t="shared" si="6"/>
        <v>0</v>
      </c>
      <c r="O207" s="49"/>
      <c r="P207" s="49"/>
      <c r="Q207" s="49"/>
      <c r="R207" s="23"/>
      <c r="XCY207"/>
      <c r="XCZ207"/>
      <c r="XDA207"/>
      <c r="XDB207"/>
      <c r="XDC207"/>
      <c r="XDD207"/>
      <c r="XDE207"/>
      <c r="XDF207"/>
      <c r="XDG207"/>
      <c r="XDH207"/>
      <c r="XDI207"/>
      <c r="XDJ207"/>
      <c r="XDK207"/>
      <c r="XDL207"/>
      <c r="XDM207"/>
      <c r="XDN207"/>
      <c r="XDO207"/>
      <c r="XDP207"/>
      <c r="XDQ207"/>
      <c r="XDR207"/>
      <c r="XDS207"/>
      <c r="XDT207"/>
      <c r="XDU207"/>
      <c r="XDV207"/>
      <c r="XDW207"/>
      <c r="XDX207"/>
      <c r="XDY207"/>
      <c r="XDZ207"/>
      <c r="XEA207"/>
      <c r="XEB207"/>
      <c r="XEC207"/>
      <c r="XED207"/>
      <c r="XEE207"/>
      <c r="XEF207"/>
      <c r="XEG207"/>
      <c r="XEH207"/>
      <c r="XEI207"/>
      <c r="XEJ207"/>
      <c r="XEK207"/>
      <c r="XEL207"/>
      <c r="XEM207"/>
      <c r="XEN207"/>
      <c r="XEO207"/>
      <c r="XEP207"/>
      <c r="XEQ207"/>
      <c r="XER207"/>
      <c r="XES207"/>
      <c r="XET207"/>
      <c r="XEU207"/>
      <c r="XEV207"/>
      <c r="XEW207"/>
      <c r="XEX207"/>
      <c r="XEY207"/>
      <c r="XEZ207"/>
      <c r="XFA207"/>
      <c r="XFB207"/>
      <c r="XFC207"/>
      <c r="XFD207"/>
    </row>
    <row r="208" spans="1:18 16327:16384" s="26" customFormat="1" ht="29.1" customHeight="1" outlineLevel="2" x14ac:dyDescent="0.25">
      <c r="A208" s="34" t="s">
        <v>378</v>
      </c>
      <c r="B208" s="35"/>
      <c r="C208" s="65" t="s">
        <v>379</v>
      </c>
      <c r="D208" s="65"/>
      <c r="E208" s="35"/>
      <c r="F208" s="36"/>
      <c r="G208" s="35" t="s">
        <v>31</v>
      </c>
      <c r="H208" s="37"/>
      <c r="I208" s="38">
        <f>12</f>
        <v>12</v>
      </c>
      <c r="J208" s="23"/>
      <c r="K208" s="39"/>
      <c r="L208" s="40"/>
      <c r="M208" s="41">
        <f>K208+L208</f>
        <v>0</v>
      </c>
      <c r="N208" s="41">
        <f t="shared" si="6"/>
        <v>0</v>
      </c>
      <c r="O208" s="41">
        <f>ROUND((I208*L208),2)</f>
        <v>0</v>
      </c>
      <c r="P208" s="41">
        <f>ROUND((I208*M208),2)</f>
        <v>0</v>
      </c>
      <c r="Q208" s="41"/>
      <c r="R208" s="23"/>
      <c r="XCY208"/>
      <c r="XCZ208"/>
      <c r="XDA208"/>
      <c r="XDB208"/>
      <c r="XDC208"/>
      <c r="XDD208"/>
      <c r="XDE208"/>
      <c r="XDF208"/>
      <c r="XDG208"/>
      <c r="XDH208"/>
      <c r="XDI208"/>
      <c r="XDJ208"/>
      <c r="XDK208"/>
      <c r="XDL208"/>
      <c r="XDM208"/>
      <c r="XDN208"/>
      <c r="XDO208"/>
      <c r="XDP208"/>
      <c r="XDQ208"/>
      <c r="XDR208"/>
      <c r="XDS208"/>
      <c r="XDT208"/>
      <c r="XDU208"/>
      <c r="XDV208"/>
      <c r="XDW208"/>
      <c r="XDX208"/>
      <c r="XDY208"/>
      <c r="XDZ208"/>
      <c r="XEA208"/>
      <c r="XEB208"/>
      <c r="XEC208"/>
      <c r="XED208"/>
      <c r="XEE208"/>
      <c r="XEF208"/>
      <c r="XEG208"/>
      <c r="XEH208"/>
      <c r="XEI208"/>
      <c r="XEJ208"/>
      <c r="XEK208"/>
      <c r="XEL208"/>
      <c r="XEM208"/>
      <c r="XEN208"/>
      <c r="XEO208"/>
      <c r="XEP208"/>
      <c r="XEQ208"/>
      <c r="XER208"/>
      <c r="XES208"/>
      <c r="XET208"/>
      <c r="XEU208"/>
      <c r="XEV208"/>
      <c r="XEW208"/>
      <c r="XEX208"/>
      <c r="XEY208"/>
      <c r="XEZ208"/>
      <c r="XFA208"/>
      <c r="XFB208"/>
      <c r="XFC208"/>
      <c r="XFD208"/>
    </row>
    <row r="209" spans="1:18 16327:16384" s="26" customFormat="1" ht="29.1" customHeight="1" outlineLevel="3" x14ac:dyDescent="0.25">
      <c r="A209" s="42" t="s">
        <v>380</v>
      </c>
      <c r="B209" s="43"/>
      <c r="C209" s="66" t="s">
        <v>381</v>
      </c>
      <c r="D209" s="66"/>
      <c r="E209" s="43" t="s">
        <v>34</v>
      </c>
      <c r="F209" s="44"/>
      <c r="G209" s="43" t="s">
        <v>31</v>
      </c>
      <c r="H209" s="45">
        <v>1</v>
      </c>
      <c r="I209" s="46">
        <f>12</f>
        <v>12</v>
      </c>
      <c r="J209" s="23"/>
      <c r="K209" s="47"/>
      <c r="L209" s="48"/>
      <c r="M209" s="49"/>
      <c r="N209" s="49">
        <f t="shared" si="6"/>
        <v>0</v>
      </c>
      <c r="O209" s="49"/>
      <c r="P209" s="49"/>
      <c r="Q209" s="49"/>
      <c r="R209" s="23"/>
      <c r="XCY209"/>
      <c r="XCZ209"/>
      <c r="XDA209"/>
      <c r="XDB209"/>
      <c r="XDC209"/>
      <c r="XDD209"/>
      <c r="XDE209"/>
      <c r="XDF209"/>
      <c r="XDG209"/>
      <c r="XDH209"/>
      <c r="XDI209"/>
      <c r="XDJ209"/>
      <c r="XDK209"/>
      <c r="XDL209"/>
      <c r="XDM209"/>
      <c r="XDN209"/>
      <c r="XDO209"/>
      <c r="XDP209"/>
      <c r="XDQ209"/>
      <c r="XDR209"/>
      <c r="XDS209"/>
      <c r="XDT209"/>
      <c r="XDU209"/>
      <c r="XDV209"/>
      <c r="XDW209"/>
      <c r="XDX209"/>
      <c r="XDY209"/>
      <c r="XDZ209"/>
      <c r="XEA209"/>
      <c r="XEB209"/>
      <c r="XEC209"/>
      <c r="XED209"/>
      <c r="XEE209"/>
      <c r="XEF209"/>
      <c r="XEG209"/>
      <c r="XEH209"/>
      <c r="XEI209"/>
      <c r="XEJ209"/>
      <c r="XEK209"/>
      <c r="XEL209"/>
      <c r="XEM209"/>
      <c r="XEN209"/>
      <c r="XEO209"/>
      <c r="XEP209"/>
      <c r="XEQ209"/>
      <c r="XER209"/>
      <c r="XES209"/>
      <c r="XET209"/>
      <c r="XEU209"/>
      <c r="XEV209"/>
      <c r="XEW209"/>
      <c r="XEX209"/>
      <c r="XEY209"/>
      <c r="XEZ209"/>
      <c r="XFA209"/>
      <c r="XFB209"/>
      <c r="XFC209"/>
      <c r="XFD209"/>
    </row>
    <row r="210" spans="1:18 16327:16384" s="26" customFormat="1" ht="29.1" customHeight="1" outlineLevel="3" x14ac:dyDescent="0.25">
      <c r="A210" s="42" t="s">
        <v>382</v>
      </c>
      <c r="B210" s="43"/>
      <c r="C210" s="66" t="s">
        <v>383</v>
      </c>
      <c r="D210" s="66"/>
      <c r="E210" s="43" t="s">
        <v>34</v>
      </c>
      <c r="F210" s="44"/>
      <c r="G210" s="43" t="s">
        <v>31</v>
      </c>
      <c r="H210" s="45">
        <v>1</v>
      </c>
      <c r="I210" s="46">
        <f>12</f>
        <v>12</v>
      </c>
      <c r="J210" s="23"/>
      <c r="K210" s="47"/>
      <c r="L210" s="48"/>
      <c r="M210" s="49"/>
      <c r="N210" s="49">
        <f t="shared" si="6"/>
        <v>0</v>
      </c>
      <c r="O210" s="49"/>
      <c r="P210" s="49"/>
      <c r="Q210" s="49"/>
      <c r="R210" s="23"/>
      <c r="XCY210"/>
      <c r="XCZ210"/>
      <c r="XDA210"/>
      <c r="XDB210"/>
      <c r="XDC210"/>
      <c r="XDD210"/>
      <c r="XDE210"/>
      <c r="XDF210"/>
      <c r="XDG210"/>
      <c r="XDH210"/>
      <c r="XDI210"/>
      <c r="XDJ210"/>
      <c r="XDK210"/>
      <c r="XDL210"/>
      <c r="XDM210"/>
      <c r="XDN210"/>
      <c r="XDO210"/>
      <c r="XDP210"/>
      <c r="XDQ210"/>
      <c r="XDR210"/>
      <c r="XDS210"/>
      <c r="XDT210"/>
      <c r="XDU210"/>
      <c r="XDV210"/>
      <c r="XDW210"/>
      <c r="XDX210"/>
      <c r="XDY210"/>
      <c r="XDZ210"/>
      <c r="XEA210"/>
      <c r="XEB210"/>
      <c r="XEC210"/>
      <c r="XED210"/>
      <c r="XEE210"/>
      <c r="XEF210"/>
      <c r="XEG210"/>
      <c r="XEH210"/>
      <c r="XEI210"/>
      <c r="XEJ210"/>
      <c r="XEK210"/>
      <c r="XEL210"/>
      <c r="XEM210"/>
      <c r="XEN210"/>
      <c r="XEO210"/>
      <c r="XEP210"/>
      <c r="XEQ210"/>
      <c r="XER210"/>
      <c r="XES210"/>
      <c r="XET210"/>
      <c r="XEU210"/>
      <c r="XEV210"/>
      <c r="XEW210"/>
      <c r="XEX210"/>
      <c r="XEY210"/>
      <c r="XEZ210"/>
      <c r="XFA210"/>
      <c r="XFB210"/>
      <c r="XFC210"/>
      <c r="XFD210"/>
    </row>
    <row r="211" spans="1:18 16327:16384" s="26" customFormat="1" ht="29.1" customHeight="1" outlineLevel="2" x14ac:dyDescent="0.25">
      <c r="A211" s="34" t="s">
        <v>384</v>
      </c>
      <c r="B211" s="35"/>
      <c r="C211" s="65" t="s">
        <v>50</v>
      </c>
      <c r="D211" s="65"/>
      <c r="E211" s="35"/>
      <c r="F211" s="36"/>
      <c r="G211" s="35" t="s">
        <v>31</v>
      </c>
      <c r="H211" s="37"/>
      <c r="I211" s="38">
        <f>264</f>
        <v>264</v>
      </c>
      <c r="J211" s="23"/>
      <c r="K211" s="39"/>
      <c r="L211" s="40"/>
      <c r="M211" s="41">
        <f>K211+L211</f>
        <v>0</v>
      </c>
      <c r="N211" s="41">
        <f t="shared" si="6"/>
        <v>0</v>
      </c>
      <c r="O211" s="41">
        <f>ROUND((I211*L211),2)</f>
        <v>0</v>
      </c>
      <c r="P211" s="41">
        <f>ROUND((I211*M211),2)</f>
        <v>0</v>
      </c>
      <c r="Q211" s="41"/>
      <c r="R211" s="23"/>
      <c r="XCY211"/>
      <c r="XCZ211"/>
      <c r="XDA211"/>
      <c r="XDB211"/>
      <c r="XDC211"/>
      <c r="XDD211"/>
      <c r="XDE211"/>
      <c r="XDF211"/>
      <c r="XDG211"/>
      <c r="XDH211"/>
      <c r="XDI211"/>
      <c r="XDJ211"/>
      <c r="XDK211"/>
      <c r="XDL211"/>
      <c r="XDM211"/>
      <c r="XDN211"/>
      <c r="XDO211"/>
      <c r="XDP211"/>
      <c r="XDQ211"/>
      <c r="XDR211"/>
      <c r="XDS211"/>
      <c r="XDT211"/>
      <c r="XDU211"/>
      <c r="XDV211"/>
      <c r="XDW211"/>
      <c r="XDX211"/>
      <c r="XDY211"/>
      <c r="XDZ211"/>
      <c r="XEA211"/>
      <c r="XEB211"/>
      <c r="XEC211"/>
      <c r="XED211"/>
      <c r="XEE211"/>
      <c r="XEF211"/>
      <c r="XEG211"/>
      <c r="XEH211"/>
      <c r="XEI211"/>
      <c r="XEJ211"/>
      <c r="XEK211"/>
      <c r="XEL211"/>
      <c r="XEM211"/>
      <c r="XEN211"/>
      <c r="XEO211"/>
      <c r="XEP211"/>
      <c r="XEQ211"/>
      <c r="XER211"/>
      <c r="XES211"/>
      <c r="XET211"/>
      <c r="XEU211"/>
      <c r="XEV211"/>
      <c r="XEW211"/>
      <c r="XEX211"/>
      <c r="XEY211"/>
      <c r="XEZ211"/>
      <c r="XFA211"/>
      <c r="XFB211"/>
      <c r="XFC211"/>
      <c r="XFD211"/>
    </row>
    <row r="212" spans="1:18 16327:16384" s="26" customFormat="1" ht="29.1" customHeight="1" outlineLevel="3" x14ac:dyDescent="0.25">
      <c r="A212" s="42" t="s">
        <v>385</v>
      </c>
      <c r="B212" s="43"/>
      <c r="C212" s="66" t="s">
        <v>386</v>
      </c>
      <c r="D212" s="66"/>
      <c r="E212" s="43" t="s">
        <v>34</v>
      </c>
      <c r="F212" s="44"/>
      <c r="G212" s="43" t="s">
        <v>31</v>
      </c>
      <c r="H212" s="45">
        <v>1</v>
      </c>
      <c r="I212" s="46">
        <f>264</f>
        <v>264</v>
      </c>
      <c r="J212" s="23"/>
      <c r="K212" s="47"/>
      <c r="L212" s="48"/>
      <c r="M212" s="49"/>
      <c r="N212" s="49">
        <f t="shared" si="6"/>
        <v>0</v>
      </c>
      <c r="O212" s="49"/>
      <c r="P212" s="49"/>
      <c r="Q212" s="49"/>
      <c r="R212" s="23"/>
      <c r="XCY212"/>
      <c r="XCZ212"/>
      <c r="XDA212"/>
      <c r="XDB212"/>
      <c r="XDC212"/>
      <c r="XDD212"/>
      <c r="XDE212"/>
      <c r="XDF212"/>
      <c r="XDG212"/>
      <c r="XDH212"/>
      <c r="XDI212"/>
      <c r="XDJ212"/>
      <c r="XDK212"/>
      <c r="XDL212"/>
      <c r="XDM212"/>
      <c r="XDN212"/>
      <c r="XDO212"/>
      <c r="XDP212"/>
      <c r="XDQ212"/>
      <c r="XDR212"/>
      <c r="XDS212"/>
      <c r="XDT212"/>
      <c r="XDU212"/>
      <c r="XDV212"/>
      <c r="XDW212"/>
      <c r="XDX212"/>
      <c r="XDY212"/>
      <c r="XDZ212"/>
      <c r="XEA212"/>
      <c r="XEB212"/>
      <c r="XEC212"/>
      <c r="XED212"/>
      <c r="XEE212"/>
      <c r="XEF212"/>
      <c r="XEG212"/>
      <c r="XEH212"/>
      <c r="XEI212"/>
      <c r="XEJ212"/>
      <c r="XEK212"/>
      <c r="XEL212"/>
      <c r="XEM212"/>
      <c r="XEN212"/>
      <c r="XEO212"/>
      <c r="XEP212"/>
      <c r="XEQ212"/>
      <c r="XER212"/>
      <c r="XES212"/>
      <c r="XET212"/>
      <c r="XEU212"/>
      <c r="XEV212"/>
      <c r="XEW212"/>
      <c r="XEX212"/>
      <c r="XEY212"/>
      <c r="XEZ212"/>
      <c r="XFA212"/>
      <c r="XFB212"/>
      <c r="XFC212"/>
      <c r="XFD212"/>
    </row>
    <row r="213" spans="1:18 16327:16384" s="26" customFormat="1" ht="29.1" customHeight="1" outlineLevel="2" x14ac:dyDescent="0.25">
      <c r="A213" s="34" t="s">
        <v>387</v>
      </c>
      <c r="B213" s="35"/>
      <c r="C213" s="65" t="s">
        <v>50</v>
      </c>
      <c r="D213" s="65"/>
      <c r="E213" s="35"/>
      <c r="F213" s="36"/>
      <c r="G213" s="35" t="s">
        <v>31</v>
      </c>
      <c r="H213" s="37"/>
      <c r="I213" s="38">
        <f>48</f>
        <v>48</v>
      </c>
      <c r="J213" s="23"/>
      <c r="K213" s="39"/>
      <c r="L213" s="40"/>
      <c r="M213" s="41">
        <f>K213+L213</f>
        <v>0</v>
      </c>
      <c r="N213" s="41">
        <f t="shared" si="6"/>
        <v>0</v>
      </c>
      <c r="O213" s="41">
        <f>ROUND((I213*L213),2)</f>
        <v>0</v>
      </c>
      <c r="P213" s="41">
        <f>ROUND((I213*M213),2)</f>
        <v>0</v>
      </c>
      <c r="Q213" s="41"/>
      <c r="R213" s="23"/>
      <c r="XCY213"/>
      <c r="XCZ213"/>
      <c r="XDA213"/>
      <c r="XDB213"/>
      <c r="XDC213"/>
      <c r="XDD213"/>
      <c r="XDE213"/>
      <c r="XDF213"/>
      <c r="XDG213"/>
      <c r="XDH213"/>
      <c r="XDI213"/>
      <c r="XDJ213"/>
      <c r="XDK213"/>
      <c r="XDL213"/>
      <c r="XDM213"/>
      <c r="XDN213"/>
      <c r="XDO213"/>
      <c r="XDP213"/>
      <c r="XDQ213"/>
      <c r="XDR213"/>
      <c r="XDS213"/>
      <c r="XDT213"/>
      <c r="XDU213"/>
      <c r="XDV213"/>
      <c r="XDW213"/>
      <c r="XDX213"/>
      <c r="XDY213"/>
      <c r="XDZ213"/>
      <c r="XEA213"/>
      <c r="XEB213"/>
      <c r="XEC213"/>
      <c r="XED213"/>
      <c r="XEE213"/>
      <c r="XEF213"/>
      <c r="XEG213"/>
      <c r="XEH213"/>
      <c r="XEI213"/>
      <c r="XEJ213"/>
      <c r="XEK213"/>
      <c r="XEL213"/>
      <c r="XEM213"/>
      <c r="XEN213"/>
      <c r="XEO213"/>
      <c r="XEP213"/>
      <c r="XEQ213"/>
      <c r="XER213"/>
      <c r="XES213"/>
      <c r="XET213"/>
      <c r="XEU213"/>
      <c r="XEV213"/>
      <c r="XEW213"/>
      <c r="XEX213"/>
      <c r="XEY213"/>
      <c r="XEZ213"/>
      <c r="XFA213"/>
      <c r="XFB213"/>
      <c r="XFC213"/>
      <c r="XFD213"/>
    </row>
    <row r="214" spans="1:18 16327:16384" s="26" customFormat="1" ht="29.1" customHeight="1" outlineLevel="3" x14ac:dyDescent="0.25">
      <c r="A214" s="42" t="s">
        <v>388</v>
      </c>
      <c r="B214" s="43"/>
      <c r="C214" s="66" t="s">
        <v>389</v>
      </c>
      <c r="D214" s="66"/>
      <c r="E214" s="43" t="s">
        <v>34</v>
      </c>
      <c r="F214" s="44"/>
      <c r="G214" s="43" t="s">
        <v>31</v>
      </c>
      <c r="H214" s="45">
        <v>1</v>
      </c>
      <c r="I214" s="46">
        <f>48</f>
        <v>48</v>
      </c>
      <c r="J214" s="23"/>
      <c r="K214" s="47"/>
      <c r="L214" s="48"/>
      <c r="M214" s="49"/>
      <c r="N214" s="49">
        <f t="shared" si="6"/>
        <v>0</v>
      </c>
      <c r="O214" s="49"/>
      <c r="P214" s="49"/>
      <c r="Q214" s="49"/>
      <c r="R214" s="23"/>
      <c r="XCY214"/>
      <c r="XCZ214"/>
      <c r="XDA214"/>
      <c r="XDB214"/>
      <c r="XDC214"/>
      <c r="XDD214"/>
      <c r="XDE214"/>
      <c r="XDF214"/>
      <c r="XDG214"/>
      <c r="XDH214"/>
      <c r="XDI214"/>
      <c r="XDJ214"/>
      <c r="XDK214"/>
      <c r="XDL214"/>
      <c r="XDM214"/>
      <c r="XDN214"/>
      <c r="XDO214"/>
      <c r="XDP214"/>
      <c r="XDQ214"/>
      <c r="XDR214"/>
      <c r="XDS214"/>
      <c r="XDT214"/>
      <c r="XDU214"/>
      <c r="XDV214"/>
      <c r="XDW214"/>
      <c r="XDX214"/>
      <c r="XDY214"/>
      <c r="XDZ214"/>
      <c r="XEA214"/>
      <c r="XEB214"/>
      <c r="XEC214"/>
      <c r="XED214"/>
      <c r="XEE214"/>
      <c r="XEF214"/>
      <c r="XEG214"/>
      <c r="XEH214"/>
      <c r="XEI214"/>
      <c r="XEJ214"/>
      <c r="XEK214"/>
      <c r="XEL214"/>
      <c r="XEM214"/>
      <c r="XEN214"/>
      <c r="XEO214"/>
      <c r="XEP214"/>
      <c r="XEQ214"/>
      <c r="XER214"/>
      <c r="XES214"/>
      <c r="XET214"/>
      <c r="XEU214"/>
      <c r="XEV214"/>
      <c r="XEW214"/>
      <c r="XEX214"/>
      <c r="XEY214"/>
      <c r="XEZ214"/>
      <c r="XFA214"/>
      <c r="XFB214"/>
      <c r="XFC214"/>
      <c r="XFD214"/>
    </row>
    <row r="215" spans="1:18 16327:16384" s="26" customFormat="1" ht="29.1" customHeight="1" outlineLevel="2" x14ac:dyDescent="0.25">
      <c r="A215" s="34" t="s">
        <v>390</v>
      </c>
      <c r="B215" s="35"/>
      <c r="C215" s="65" t="s">
        <v>50</v>
      </c>
      <c r="D215" s="65"/>
      <c r="E215" s="35"/>
      <c r="F215" s="36"/>
      <c r="G215" s="35" t="s">
        <v>31</v>
      </c>
      <c r="H215" s="37"/>
      <c r="I215" s="38">
        <f>48</f>
        <v>48</v>
      </c>
      <c r="J215" s="23"/>
      <c r="K215" s="39"/>
      <c r="L215" s="40"/>
      <c r="M215" s="41">
        <f>K215+L215</f>
        <v>0</v>
      </c>
      <c r="N215" s="41">
        <f t="shared" si="6"/>
        <v>0</v>
      </c>
      <c r="O215" s="41">
        <f>ROUND((I215*L215),2)</f>
        <v>0</v>
      </c>
      <c r="P215" s="41">
        <f>ROUND((I215*M215),2)</f>
        <v>0</v>
      </c>
      <c r="Q215" s="41"/>
      <c r="R215" s="23"/>
      <c r="XCY215"/>
      <c r="XCZ215"/>
      <c r="XDA215"/>
      <c r="XDB215"/>
      <c r="XDC215"/>
      <c r="XDD215"/>
      <c r="XDE215"/>
      <c r="XDF215"/>
      <c r="XDG215"/>
      <c r="XDH215"/>
      <c r="XDI215"/>
      <c r="XDJ215"/>
      <c r="XDK215"/>
      <c r="XDL215"/>
      <c r="XDM215"/>
      <c r="XDN215"/>
      <c r="XDO215"/>
      <c r="XDP215"/>
      <c r="XDQ215"/>
      <c r="XDR215"/>
      <c r="XDS215"/>
      <c r="XDT215"/>
      <c r="XDU215"/>
      <c r="XDV215"/>
      <c r="XDW215"/>
      <c r="XDX215"/>
      <c r="XDY215"/>
      <c r="XDZ215"/>
      <c r="XEA215"/>
      <c r="XEB215"/>
      <c r="XEC215"/>
      <c r="XED215"/>
      <c r="XEE215"/>
      <c r="XEF215"/>
      <c r="XEG215"/>
      <c r="XEH215"/>
      <c r="XEI215"/>
      <c r="XEJ215"/>
      <c r="XEK215"/>
      <c r="XEL215"/>
      <c r="XEM215"/>
      <c r="XEN215"/>
      <c r="XEO215"/>
      <c r="XEP215"/>
      <c r="XEQ215"/>
      <c r="XER215"/>
      <c r="XES215"/>
      <c r="XET215"/>
      <c r="XEU215"/>
      <c r="XEV215"/>
      <c r="XEW215"/>
      <c r="XEX215"/>
      <c r="XEY215"/>
      <c r="XEZ215"/>
      <c r="XFA215"/>
      <c r="XFB215"/>
      <c r="XFC215"/>
      <c r="XFD215"/>
    </row>
    <row r="216" spans="1:18 16327:16384" s="26" customFormat="1" ht="29.1" customHeight="1" outlineLevel="3" x14ac:dyDescent="0.25">
      <c r="A216" s="42" t="s">
        <v>391</v>
      </c>
      <c r="B216" s="43"/>
      <c r="C216" s="66" t="s">
        <v>392</v>
      </c>
      <c r="D216" s="66"/>
      <c r="E216" s="43" t="s">
        <v>34</v>
      </c>
      <c r="F216" s="44"/>
      <c r="G216" s="43" t="s">
        <v>31</v>
      </c>
      <c r="H216" s="45">
        <v>1</v>
      </c>
      <c r="I216" s="46">
        <f>48</f>
        <v>48</v>
      </c>
      <c r="J216" s="23"/>
      <c r="K216" s="47"/>
      <c r="L216" s="48"/>
      <c r="M216" s="49"/>
      <c r="N216" s="49">
        <f t="shared" si="6"/>
        <v>0</v>
      </c>
      <c r="O216" s="49"/>
      <c r="P216" s="49"/>
      <c r="Q216" s="49"/>
      <c r="R216" s="23"/>
      <c r="XCY216"/>
      <c r="XCZ216"/>
      <c r="XDA216"/>
      <c r="XDB216"/>
      <c r="XDC216"/>
      <c r="XDD216"/>
      <c r="XDE216"/>
      <c r="XDF216"/>
      <c r="XDG216"/>
      <c r="XDH216"/>
      <c r="XDI216"/>
      <c r="XDJ216"/>
      <c r="XDK216"/>
      <c r="XDL216"/>
      <c r="XDM216"/>
      <c r="XDN216"/>
      <c r="XDO216"/>
      <c r="XDP216"/>
      <c r="XDQ216"/>
      <c r="XDR216"/>
      <c r="XDS216"/>
      <c r="XDT216"/>
      <c r="XDU216"/>
      <c r="XDV216"/>
      <c r="XDW216"/>
      <c r="XDX216"/>
      <c r="XDY216"/>
      <c r="XDZ216"/>
      <c r="XEA216"/>
      <c r="XEB216"/>
      <c r="XEC216"/>
      <c r="XED216"/>
      <c r="XEE216"/>
      <c r="XEF216"/>
      <c r="XEG216"/>
      <c r="XEH216"/>
      <c r="XEI216"/>
      <c r="XEJ216"/>
      <c r="XEK216"/>
      <c r="XEL216"/>
      <c r="XEM216"/>
      <c r="XEN216"/>
      <c r="XEO216"/>
      <c r="XEP216"/>
      <c r="XEQ216"/>
      <c r="XER216"/>
      <c r="XES216"/>
      <c r="XET216"/>
      <c r="XEU216"/>
      <c r="XEV216"/>
      <c r="XEW216"/>
      <c r="XEX216"/>
      <c r="XEY216"/>
      <c r="XEZ216"/>
      <c r="XFA216"/>
      <c r="XFB216"/>
      <c r="XFC216"/>
      <c r="XFD216"/>
    </row>
    <row r="217" spans="1:18 16327:16384" s="26" customFormat="1" ht="29.1" customHeight="1" outlineLevel="2" x14ac:dyDescent="0.25">
      <c r="A217" s="34" t="s">
        <v>393</v>
      </c>
      <c r="B217" s="35"/>
      <c r="C217" s="65" t="s">
        <v>64</v>
      </c>
      <c r="D217" s="65"/>
      <c r="E217" s="35"/>
      <c r="F217" s="36" t="s">
        <v>394</v>
      </c>
      <c r="G217" s="35" t="s">
        <v>65</v>
      </c>
      <c r="H217" s="37"/>
      <c r="I217" s="38">
        <f>5620</f>
        <v>5620</v>
      </c>
      <c r="J217" s="23"/>
      <c r="K217" s="39"/>
      <c r="L217" s="40"/>
      <c r="M217" s="41"/>
      <c r="N217" s="41"/>
      <c r="O217" s="41"/>
      <c r="P217" s="41"/>
      <c r="Q217" s="41"/>
      <c r="R217" s="23"/>
      <c r="XCY217"/>
      <c r="XCZ217"/>
      <c r="XDA217"/>
      <c r="XDB217"/>
      <c r="XDC217"/>
      <c r="XDD217"/>
      <c r="XDE217"/>
      <c r="XDF217"/>
      <c r="XDG217"/>
      <c r="XDH217"/>
      <c r="XDI217"/>
      <c r="XDJ217"/>
      <c r="XDK217"/>
      <c r="XDL217"/>
      <c r="XDM217"/>
      <c r="XDN217"/>
      <c r="XDO217"/>
      <c r="XDP217"/>
      <c r="XDQ217"/>
      <c r="XDR217"/>
      <c r="XDS217"/>
      <c r="XDT217"/>
      <c r="XDU217"/>
      <c r="XDV217"/>
      <c r="XDW217"/>
      <c r="XDX217"/>
      <c r="XDY217"/>
      <c r="XDZ217"/>
      <c r="XEA217"/>
      <c r="XEB217"/>
      <c r="XEC217"/>
      <c r="XED217"/>
      <c r="XEE217"/>
      <c r="XEF217"/>
      <c r="XEG217"/>
      <c r="XEH217"/>
      <c r="XEI217"/>
      <c r="XEJ217"/>
      <c r="XEK217"/>
      <c r="XEL217"/>
      <c r="XEM217"/>
      <c r="XEN217"/>
      <c r="XEO217"/>
      <c r="XEP217"/>
      <c r="XEQ217"/>
      <c r="XER217"/>
      <c r="XES217"/>
      <c r="XET217"/>
      <c r="XEU217"/>
      <c r="XEV217"/>
      <c r="XEW217"/>
      <c r="XEX217"/>
      <c r="XEY217"/>
      <c r="XEZ217"/>
      <c r="XFA217"/>
      <c r="XFB217"/>
      <c r="XFC217"/>
      <c r="XFD217"/>
    </row>
    <row r="218" spans="1:18 16327:16384" s="26" customFormat="1" ht="29.1" customHeight="1" outlineLevel="3" x14ac:dyDescent="0.25">
      <c r="A218" s="42" t="s">
        <v>395</v>
      </c>
      <c r="B218" s="43"/>
      <c r="C218" s="66" t="s">
        <v>396</v>
      </c>
      <c r="D218" s="66"/>
      <c r="E218" s="43" t="s">
        <v>34</v>
      </c>
      <c r="F218" s="44"/>
      <c r="G218" s="43" t="s">
        <v>65</v>
      </c>
      <c r="H218" s="45">
        <v>1.02</v>
      </c>
      <c r="I218" s="46">
        <f>5732.4</f>
        <v>5732.4</v>
      </c>
      <c r="J218" s="23"/>
      <c r="K218" s="47"/>
      <c r="L218" s="48"/>
      <c r="M218" s="49"/>
      <c r="N218" s="49">
        <f t="shared" si="6"/>
        <v>0</v>
      </c>
      <c r="O218" s="49"/>
      <c r="P218" s="49"/>
      <c r="Q218" s="49"/>
      <c r="R218" s="23"/>
      <c r="XCY218"/>
      <c r="XCZ218"/>
      <c r="XDA218"/>
      <c r="XDB218"/>
      <c r="XDC218"/>
      <c r="XDD218"/>
      <c r="XDE218"/>
      <c r="XDF218"/>
      <c r="XDG218"/>
      <c r="XDH218"/>
      <c r="XDI218"/>
      <c r="XDJ218"/>
      <c r="XDK218"/>
      <c r="XDL218"/>
      <c r="XDM218"/>
      <c r="XDN218"/>
      <c r="XDO218"/>
      <c r="XDP218"/>
      <c r="XDQ218"/>
      <c r="XDR218"/>
      <c r="XDS218"/>
      <c r="XDT218"/>
      <c r="XDU218"/>
      <c r="XDV218"/>
      <c r="XDW218"/>
      <c r="XDX218"/>
      <c r="XDY218"/>
      <c r="XDZ218"/>
      <c r="XEA218"/>
      <c r="XEB218"/>
      <c r="XEC218"/>
      <c r="XED218"/>
      <c r="XEE218"/>
      <c r="XEF218"/>
      <c r="XEG218"/>
      <c r="XEH218"/>
      <c r="XEI218"/>
      <c r="XEJ218"/>
      <c r="XEK218"/>
      <c r="XEL218"/>
      <c r="XEM218"/>
      <c r="XEN218"/>
      <c r="XEO218"/>
      <c r="XEP218"/>
      <c r="XEQ218"/>
      <c r="XER218"/>
      <c r="XES218"/>
      <c r="XET218"/>
      <c r="XEU218"/>
      <c r="XEV218"/>
      <c r="XEW218"/>
      <c r="XEX218"/>
      <c r="XEY218"/>
      <c r="XEZ218"/>
      <c r="XFA218"/>
      <c r="XFB218"/>
      <c r="XFC218"/>
      <c r="XFD218"/>
    </row>
    <row r="219" spans="1:18 16327:16384" s="26" customFormat="1" ht="29.1" customHeight="1" outlineLevel="2" x14ac:dyDescent="0.25">
      <c r="A219" s="34" t="s">
        <v>397</v>
      </c>
      <c r="B219" s="35"/>
      <c r="C219" s="65" t="s">
        <v>69</v>
      </c>
      <c r="D219" s="65"/>
      <c r="E219" s="35"/>
      <c r="F219" s="36" t="s">
        <v>394</v>
      </c>
      <c r="G219" s="35" t="s">
        <v>65</v>
      </c>
      <c r="H219" s="37"/>
      <c r="I219" s="38">
        <f>5612</f>
        <v>5612</v>
      </c>
      <c r="J219" s="23"/>
      <c r="K219" s="39"/>
      <c r="L219" s="40"/>
      <c r="M219" s="41"/>
      <c r="N219" s="41"/>
      <c r="O219" s="41"/>
      <c r="P219" s="41"/>
      <c r="Q219" s="41"/>
      <c r="R219" s="23"/>
      <c r="XCY219"/>
      <c r="XCZ219"/>
      <c r="XDA219"/>
      <c r="XDB219"/>
      <c r="XDC219"/>
      <c r="XDD219"/>
      <c r="XDE219"/>
      <c r="XDF219"/>
      <c r="XDG219"/>
      <c r="XDH219"/>
      <c r="XDI219"/>
      <c r="XDJ219"/>
      <c r="XDK219"/>
      <c r="XDL219"/>
      <c r="XDM219"/>
      <c r="XDN219"/>
      <c r="XDO219"/>
      <c r="XDP219"/>
      <c r="XDQ219"/>
      <c r="XDR219"/>
      <c r="XDS219"/>
      <c r="XDT219"/>
      <c r="XDU219"/>
      <c r="XDV219"/>
      <c r="XDW219"/>
      <c r="XDX219"/>
      <c r="XDY219"/>
      <c r="XDZ219"/>
      <c r="XEA219"/>
      <c r="XEB219"/>
      <c r="XEC219"/>
      <c r="XED219"/>
      <c r="XEE219"/>
      <c r="XEF219"/>
      <c r="XEG219"/>
      <c r="XEH219"/>
      <c r="XEI219"/>
      <c r="XEJ219"/>
      <c r="XEK219"/>
      <c r="XEL219"/>
      <c r="XEM219"/>
      <c r="XEN219"/>
      <c r="XEO219"/>
      <c r="XEP219"/>
      <c r="XEQ219"/>
      <c r="XER219"/>
      <c r="XES219"/>
      <c r="XET219"/>
      <c r="XEU219"/>
      <c r="XEV219"/>
      <c r="XEW219"/>
      <c r="XEX219"/>
      <c r="XEY219"/>
      <c r="XEZ219"/>
      <c r="XFA219"/>
      <c r="XFB219"/>
      <c r="XFC219"/>
      <c r="XFD219"/>
    </row>
    <row r="220" spans="1:18 16327:16384" s="26" customFormat="1" ht="29.1" customHeight="1" outlineLevel="3" x14ac:dyDescent="0.25">
      <c r="A220" s="42" t="s">
        <v>398</v>
      </c>
      <c r="B220" s="43"/>
      <c r="C220" s="66" t="s">
        <v>399</v>
      </c>
      <c r="D220" s="66"/>
      <c r="E220" s="43" t="s">
        <v>34</v>
      </c>
      <c r="F220" s="44"/>
      <c r="G220" s="43" t="s">
        <v>65</v>
      </c>
      <c r="H220" s="45">
        <v>1.02</v>
      </c>
      <c r="I220" s="46">
        <f>5724.24</f>
        <v>5724.24</v>
      </c>
      <c r="J220" s="23"/>
      <c r="K220" s="47"/>
      <c r="L220" s="48"/>
      <c r="M220" s="49"/>
      <c r="N220" s="49">
        <f t="shared" si="6"/>
        <v>0</v>
      </c>
      <c r="O220" s="49"/>
      <c r="P220" s="49"/>
      <c r="Q220" s="49"/>
      <c r="R220" s="23"/>
      <c r="XCY220"/>
      <c r="XCZ220"/>
      <c r="XDA220"/>
      <c r="XDB220"/>
      <c r="XDC220"/>
      <c r="XDD220"/>
      <c r="XDE220"/>
      <c r="XDF220"/>
      <c r="XDG220"/>
      <c r="XDH220"/>
      <c r="XDI220"/>
      <c r="XDJ220"/>
      <c r="XDK220"/>
      <c r="XDL220"/>
      <c r="XDM220"/>
      <c r="XDN220"/>
      <c r="XDO220"/>
      <c r="XDP220"/>
      <c r="XDQ220"/>
      <c r="XDR220"/>
      <c r="XDS220"/>
      <c r="XDT220"/>
      <c r="XDU220"/>
      <c r="XDV220"/>
      <c r="XDW220"/>
      <c r="XDX220"/>
      <c r="XDY220"/>
      <c r="XDZ220"/>
      <c r="XEA220"/>
      <c r="XEB220"/>
      <c r="XEC220"/>
      <c r="XED220"/>
      <c r="XEE220"/>
      <c r="XEF220"/>
      <c r="XEG220"/>
      <c r="XEH220"/>
      <c r="XEI220"/>
      <c r="XEJ220"/>
      <c r="XEK220"/>
      <c r="XEL220"/>
      <c r="XEM220"/>
      <c r="XEN220"/>
      <c r="XEO220"/>
      <c r="XEP220"/>
      <c r="XEQ220"/>
      <c r="XER220"/>
      <c r="XES220"/>
      <c r="XET220"/>
      <c r="XEU220"/>
      <c r="XEV220"/>
      <c r="XEW220"/>
      <c r="XEX220"/>
      <c r="XEY220"/>
      <c r="XEZ220"/>
      <c r="XFA220"/>
      <c r="XFB220"/>
      <c r="XFC220"/>
      <c r="XFD220"/>
    </row>
    <row r="221" spans="1:18 16327:16384" s="26" customFormat="1" ht="29.1" customHeight="1" outlineLevel="2" x14ac:dyDescent="0.25">
      <c r="A221" s="34" t="s">
        <v>400</v>
      </c>
      <c r="B221" s="35"/>
      <c r="C221" s="65" t="s">
        <v>255</v>
      </c>
      <c r="D221" s="65"/>
      <c r="E221" s="35"/>
      <c r="F221" s="36" t="s">
        <v>394</v>
      </c>
      <c r="G221" s="35" t="s">
        <v>65</v>
      </c>
      <c r="H221" s="37"/>
      <c r="I221" s="38">
        <f>261</f>
        <v>261</v>
      </c>
      <c r="J221" s="23"/>
      <c r="K221" s="39"/>
      <c r="L221" s="40"/>
      <c r="M221" s="41"/>
      <c r="N221" s="41"/>
      <c r="O221" s="41"/>
      <c r="P221" s="41"/>
      <c r="Q221" s="41"/>
      <c r="R221" s="23"/>
      <c r="XCY221"/>
      <c r="XCZ221"/>
      <c r="XDA221"/>
      <c r="XDB221"/>
      <c r="XDC221"/>
      <c r="XDD221"/>
      <c r="XDE221"/>
      <c r="XDF221"/>
      <c r="XDG221"/>
      <c r="XDH221"/>
      <c r="XDI221"/>
      <c r="XDJ221"/>
      <c r="XDK221"/>
      <c r="XDL221"/>
      <c r="XDM221"/>
      <c r="XDN221"/>
      <c r="XDO221"/>
      <c r="XDP221"/>
      <c r="XDQ221"/>
      <c r="XDR221"/>
      <c r="XDS221"/>
      <c r="XDT221"/>
      <c r="XDU221"/>
      <c r="XDV221"/>
      <c r="XDW221"/>
      <c r="XDX221"/>
      <c r="XDY221"/>
      <c r="XDZ221"/>
      <c r="XEA221"/>
      <c r="XEB221"/>
      <c r="XEC221"/>
      <c r="XED221"/>
      <c r="XEE221"/>
      <c r="XEF221"/>
      <c r="XEG221"/>
      <c r="XEH221"/>
      <c r="XEI221"/>
      <c r="XEJ221"/>
      <c r="XEK221"/>
      <c r="XEL221"/>
      <c r="XEM221"/>
      <c r="XEN221"/>
      <c r="XEO221"/>
      <c r="XEP221"/>
      <c r="XEQ221"/>
      <c r="XER221"/>
      <c r="XES221"/>
      <c r="XET221"/>
      <c r="XEU221"/>
      <c r="XEV221"/>
      <c r="XEW221"/>
      <c r="XEX221"/>
      <c r="XEY221"/>
      <c r="XEZ221"/>
      <c r="XFA221"/>
      <c r="XFB221"/>
      <c r="XFC221"/>
      <c r="XFD221"/>
    </row>
    <row r="222" spans="1:18 16327:16384" s="26" customFormat="1" ht="29.1" customHeight="1" outlineLevel="3" x14ac:dyDescent="0.25">
      <c r="A222" s="42" t="s">
        <v>401</v>
      </c>
      <c r="B222" s="43"/>
      <c r="C222" s="66" t="s">
        <v>396</v>
      </c>
      <c r="D222" s="66"/>
      <c r="E222" s="43" t="s">
        <v>34</v>
      </c>
      <c r="F222" s="44"/>
      <c r="G222" s="43" t="s">
        <v>65</v>
      </c>
      <c r="H222" s="45">
        <v>1.02</v>
      </c>
      <c r="I222" s="46">
        <f>266.22</f>
        <v>266.22000000000003</v>
      </c>
      <c r="J222" s="23"/>
      <c r="K222" s="47"/>
      <c r="L222" s="48"/>
      <c r="M222" s="49"/>
      <c r="N222" s="49">
        <f t="shared" si="6"/>
        <v>0</v>
      </c>
      <c r="O222" s="49"/>
      <c r="P222" s="49"/>
      <c r="Q222" s="49"/>
      <c r="R222" s="23"/>
      <c r="XCY222"/>
      <c r="XCZ222"/>
      <c r="XDA222"/>
      <c r="XDB222"/>
      <c r="XDC222"/>
      <c r="XDD222"/>
      <c r="XDE222"/>
      <c r="XDF222"/>
      <c r="XDG222"/>
      <c r="XDH222"/>
      <c r="XDI222"/>
      <c r="XDJ222"/>
      <c r="XDK222"/>
      <c r="XDL222"/>
      <c r="XDM222"/>
      <c r="XDN222"/>
      <c r="XDO222"/>
      <c r="XDP222"/>
      <c r="XDQ222"/>
      <c r="XDR222"/>
      <c r="XDS222"/>
      <c r="XDT222"/>
      <c r="XDU222"/>
      <c r="XDV222"/>
      <c r="XDW222"/>
      <c r="XDX222"/>
      <c r="XDY222"/>
      <c r="XDZ222"/>
      <c r="XEA222"/>
      <c r="XEB222"/>
      <c r="XEC222"/>
      <c r="XED222"/>
      <c r="XEE222"/>
      <c r="XEF222"/>
      <c r="XEG222"/>
      <c r="XEH222"/>
      <c r="XEI222"/>
      <c r="XEJ222"/>
      <c r="XEK222"/>
      <c r="XEL222"/>
      <c r="XEM222"/>
      <c r="XEN222"/>
      <c r="XEO222"/>
      <c r="XEP222"/>
      <c r="XEQ222"/>
      <c r="XER222"/>
      <c r="XES222"/>
      <c r="XET222"/>
      <c r="XEU222"/>
      <c r="XEV222"/>
      <c r="XEW222"/>
      <c r="XEX222"/>
      <c r="XEY222"/>
      <c r="XEZ222"/>
      <c r="XFA222"/>
      <c r="XFB222"/>
      <c r="XFC222"/>
      <c r="XFD222"/>
    </row>
    <row r="223" spans="1:18 16327:16384" s="26" customFormat="1" ht="29.1" customHeight="1" outlineLevel="2" x14ac:dyDescent="0.25">
      <c r="A223" s="34" t="s">
        <v>402</v>
      </c>
      <c r="B223" s="35"/>
      <c r="C223" s="65" t="s">
        <v>64</v>
      </c>
      <c r="D223" s="65"/>
      <c r="E223" s="35"/>
      <c r="F223" s="36" t="s">
        <v>394</v>
      </c>
      <c r="G223" s="35" t="s">
        <v>65</v>
      </c>
      <c r="H223" s="37"/>
      <c r="I223" s="38">
        <f>874</f>
        <v>874</v>
      </c>
      <c r="J223" s="23"/>
      <c r="K223" s="39"/>
      <c r="L223" s="40"/>
      <c r="M223" s="41"/>
      <c r="N223" s="41"/>
      <c r="O223" s="41"/>
      <c r="P223" s="41"/>
      <c r="Q223" s="41"/>
      <c r="R223" s="23"/>
      <c r="XCY223"/>
      <c r="XCZ223"/>
      <c r="XDA223"/>
      <c r="XDB223"/>
      <c r="XDC223"/>
      <c r="XDD223"/>
      <c r="XDE223"/>
      <c r="XDF223"/>
      <c r="XDG223"/>
      <c r="XDH223"/>
      <c r="XDI223"/>
      <c r="XDJ223"/>
      <c r="XDK223"/>
      <c r="XDL223"/>
      <c r="XDM223"/>
      <c r="XDN223"/>
      <c r="XDO223"/>
      <c r="XDP223"/>
      <c r="XDQ223"/>
      <c r="XDR223"/>
      <c r="XDS223"/>
      <c r="XDT223"/>
      <c r="XDU223"/>
      <c r="XDV223"/>
      <c r="XDW223"/>
      <c r="XDX223"/>
      <c r="XDY223"/>
      <c r="XDZ223"/>
      <c r="XEA223"/>
      <c r="XEB223"/>
      <c r="XEC223"/>
      <c r="XED223"/>
      <c r="XEE223"/>
      <c r="XEF223"/>
      <c r="XEG223"/>
      <c r="XEH223"/>
      <c r="XEI223"/>
      <c r="XEJ223"/>
      <c r="XEK223"/>
      <c r="XEL223"/>
      <c r="XEM223"/>
      <c r="XEN223"/>
      <c r="XEO223"/>
      <c r="XEP223"/>
      <c r="XEQ223"/>
      <c r="XER223"/>
      <c r="XES223"/>
      <c r="XET223"/>
      <c r="XEU223"/>
      <c r="XEV223"/>
      <c r="XEW223"/>
      <c r="XEX223"/>
      <c r="XEY223"/>
      <c r="XEZ223"/>
      <c r="XFA223"/>
      <c r="XFB223"/>
      <c r="XFC223"/>
      <c r="XFD223"/>
    </row>
    <row r="224" spans="1:18 16327:16384" s="26" customFormat="1" ht="29.1" customHeight="1" outlineLevel="3" x14ac:dyDescent="0.25">
      <c r="A224" s="42" t="s">
        <v>403</v>
      </c>
      <c r="B224" s="43"/>
      <c r="C224" s="66" t="s">
        <v>404</v>
      </c>
      <c r="D224" s="66"/>
      <c r="E224" s="43" t="s">
        <v>34</v>
      </c>
      <c r="F224" s="44"/>
      <c r="G224" s="43" t="s">
        <v>65</v>
      </c>
      <c r="H224" s="45">
        <v>1.02</v>
      </c>
      <c r="I224" s="46">
        <f>891.48</f>
        <v>891.48</v>
      </c>
      <c r="J224" s="23"/>
      <c r="K224" s="47"/>
      <c r="L224" s="48"/>
      <c r="M224" s="49"/>
      <c r="N224" s="49">
        <f t="shared" ref="N224:N241" si="7">ROUND((I224*K224),2)</f>
        <v>0</v>
      </c>
      <c r="O224" s="49"/>
      <c r="P224" s="49"/>
      <c r="Q224" s="49"/>
      <c r="R224" s="23"/>
      <c r="XCY224"/>
      <c r="XCZ224"/>
      <c r="XDA224"/>
      <c r="XDB224"/>
      <c r="XDC224"/>
      <c r="XDD224"/>
      <c r="XDE224"/>
      <c r="XDF224"/>
      <c r="XDG224"/>
      <c r="XDH224"/>
      <c r="XDI224"/>
      <c r="XDJ224"/>
      <c r="XDK224"/>
      <c r="XDL224"/>
      <c r="XDM224"/>
      <c r="XDN224"/>
      <c r="XDO224"/>
      <c r="XDP224"/>
      <c r="XDQ224"/>
      <c r="XDR224"/>
      <c r="XDS224"/>
      <c r="XDT224"/>
      <c r="XDU224"/>
      <c r="XDV224"/>
      <c r="XDW224"/>
      <c r="XDX224"/>
      <c r="XDY224"/>
      <c r="XDZ224"/>
      <c r="XEA224"/>
      <c r="XEB224"/>
      <c r="XEC224"/>
      <c r="XED224"/>
      <c r="XEE224"/>
      <c r="XEF224"/>
      <c r="XEG224"/>
      <c r="XEH224"/>
      <c r="XEI224"/>
      <c r="XEJ224"/>
      <c r="XEK224"/>
      <c r="XEL224"/>
      <c r="XEM224"/>
      <c r="XEN224"/>
      <c r="XEO224"/>
      <c r="XEP224"/>
      <c r="XEQ224"/>
      <c r="XER224"/>
      <c r="XES224"/>
      <c r="XET224"/>
      <c r="XEU224"/>
      <c r="XEV224"/>
      <c r="XEW224"/>
      <c r="XEX224"/>
      <c r="XEY224"/>
      <c r="XEZ224"/>
      <c r="XFA224"/>
      <c r="XFB224"/>
      <c r="XFC224"/>
      <c r="XFD224"/>
    </row>
    <row r="225" spans="1:18 16327:16384" s="26" customFormat="1" ht="29.1" customHeight="1" outlineLevel="2" x14ac:dyDescent="0.25">
      <c r="A225" s="34" t="s">
        <v>405</v>
      </c>
      <c r="B225" s="35"/>
      <c r="C225" s="65" t="s">
        <v>69</v>
      </c>
      <c r="D225" s="65"/>
      <c r="E225" s="35"/>
      <c r="F225" s="36" t="s">
        <v>394</v>
      </c>
      <c r="G225" s="35" t="s">
        <v>65</v>
      </c>
      <c r="H225" s="37"/>
      <c r="I225" s="38">
        <f>409</f>
        <v>409</v>
      </c>
      <c r="J225" s="23"/>
      <c r="K225" s="39"/>
      <c r="L225" s="40"/>
      <c r="M225" s="41"/>
      <c r="N225" s="41"/>
      <c r="O225" s="41"/>
      <c r="P225" s="41"/>
      <c r="Q225" s="41"/>
      <c r="R225" s="23"/>
      <c r="XCY225"/>
      <c r="XCZ225"/>
      <c r="XDA225"/>
      <c r="XDB225"/>
      <c r="XDC225"/>
      <c r="XDD225"/>
      <c r="XDE225"/>
      <c r="XDF225"/>
      <c r="XDG225"/>
      <c r="XDH225"/>
      <c r="XDI225"/>
      <c r="XDJ225"/>
      <c r="XDK225"/>
      <c r="XDL225"/>
      <c r="XDM225"/>
      <c r="XDN225"/>
      <c r="XDO225"/>
      <c r="XDP225"/>
      <c r="XDQ225"/>
      <c r="XDR225"/>
      <c r="XDS225"/>
      <c r="XDT225"/>
      <c r="XDU225"/>
      <c r="XDV225"/>
      <c r="XDW225"/>
      <c r="XDX225"/>
      <c r="XDY225"/>
      <c r="XDZ225"/>
      <c r="XEA225"/>
      <c r="XEB225"/>
      <c r="XEC225"/>
      <c r="XED225"/>
      <c r="XEE225"/>
      <c r="XEF225"/>
      <c r="XEG225"/>
      <c r="XEH225"/>
      <c r="XEI225"/>
      <c r="XEJ225"/>
      <c r="XEK225"/>
      <c r="XEL225"/>
      <c r="XEM225"/>
      <c r="XEN225"/>
      <c r="XEO225"/>
      <c r="XEP225"/>
      <c r="XEQ225"/>
      <c r="XER225"/>
      <c r="XES225"/>
      <c r="XET225"/>
      <c r="XEU225"/>
      <c r="XEV225"/>
      <c r="XEW225"/>
      <c r="XEX225"/>
      <c r="XEY225"/>
      <c r="XEZ225"/>
      <c r="XFA225"/>
      <c r="XFB225"/>
      <c r="XFC225"/>
      <c r="XFD225"/>
    </row>
    <row r="226" spans="1:18 16327:16384" s="26" customFormat="1" ht="29.1" customHeight="1" outlineLevel="3" x14ac:dyDescent="0.25">
      <c r="A226" s="42" t="s">
        <v>406</v>
      </c>
      <c r="B226" s="43"/>
      <c r="C226" s="66" t="s">
        <v>404</v>
      </c>
      <c r="D226" s="66"/>
      <c r="E226" s="43" t="s">
        <v>34</v>
      </c>
      <c r="F226" s="44"/>
      <c r="G226" s="43" t="s">
        <v>65</v>
      </c>
      <c r="H226" s="45">
        <v>1.02</v>
      </c>
      <c r="I226" s="46">
        <f>417.18</f>
        <v>417.18</v>
      </c>
      <c r="J226" s="23"/>
      <c r="K226" s="47"/>
      <c r="L226" s="48"/>
      <c r="M226" s="49"/>
      <c r="N226" s="49">
        <f t="shared" si="7"/>
        <v>0</v>
      </c>
      <c r="O226" s="49"/>
      <c r="P226" s="49"/>
      <c r="Q226" s="49"/>
      <c r="R226" s="23"/>
      <c r="XCY226"/>
      <c r="XCZ226"/>
      <c r="XDA226"/>
      <c r="XDB226"/>
      <c r="XDC226"/>
      <c r="XDD226"/>
      <c r="XDE226"/>
      <c r="XDF226"/>
      <c r="XDG226"/>
      <c r="XDH226"/>
      <c r="XDI226"/>
      <c r="XDJ226"/>
      <c r="XDK226"/>
      <c r="XDL226"/>
      <c r="XDM226"/>
      <c r="XDN226"/>
      <c r="XDO226"/>
      <c r="XDP226"/>
      <c r="XDQ226"/>
      <c r="XDR226"/>
      <c r="XDS226"/>
      <c r="XDT226"/>
      <c r="XDU226"/>
      <c r="XDV226"/>
      <c r="XDW226"/>
      <c r="XDX226"/>
      <c r="XDY226"/>
      <c r="XDZ226"/>
      <c r="XEA226"/>
      <c r="XEB226"/>
      <c r="XEC226"/>
      <c r="XED226"/>
      <c r="XEE226"/>
      <c r="XEF226"/>
      <c r="XEG226"/>
      <c r="XEH226"/>
      <c r="XEI226"/>
      <c r="XEJ226"/>
      <c r="XEK226"/>
      <c r="XEL226"/>
      <c r="XEM226"/>
      <c r="XEN226"/>
      <c r="XEO226"/>
      <c r="XEP226"/>
      <c r="XEQ226"/>
      <c r="XER226"/>
      <c r="XES226"/>
      <c r="XET226"/>
      <c r="XEU226"/>
      <c r="XEV226"/>
      <c r="XEW226"/>
      <c r="XEX226"/>
      <c r="XEY226"/>
      <c r="XEZ226"/>
      <c r="XFA226"/>
      <c r="XFB226"/>
      <c r="XFC226"/>
      <c r="XFD226"/>
    </row>
    <row r="227" spans="1:18 16327:16384" s="26" customFormat="1" ht="29.1" customHeight="1" outlineLevel="2" x14ac:dyDescent="0.25">
      <c r="A227" s="34" t="s">
        <v>407</v>
      </c>
      <c r="B227" s="35"/>
      <c r="C227" s="65" t="s">
        <v>255</v>
      </c>
      <c r="D227" s="65"/>
      <c r="E227" s="35"/>
      <c r="F227" s="36" t="s">
        <v>394</v>
      </c>
      <c r="G227" s="35" t="s">
        <v>65</v>
      </c>
      <c r="H227" s="37"/>
      <c r="I227" s="38">
        <f>60</f>
        <v>60</v>
      </c>
      <c r="J227" s="23"/>
      <c r="K227" s="39"/>
      <c r="L227" s="40"/>
      <c r="M227" s="41"/>
      <c r="N227" s="41"/>
      <c r="O227" s="41"/>
      <c r="P227" s="41"/>
      <c r="Q227" s="41"/>
      <c r="R227" s="23"/>
      <c r="XCY227"/>
      <c r="XCZ227"/>
      <c r="XDA227"/>
      <c r="XDB227"/>
      <c r="XDC227"/>
      <c r="XDD227"/>
      <c r="XDE227"/>
      <c r="XDF227"/>
      <c r="XDG227"/>
      <c r="XDH227"/>
      <c r="XDI227"/>
      <c r="XDJ227"/>
      <c r="XDK227"/>
      <c r="XDL227"/>
      <c r="XDM227"/>
      <c r="XDN227"/>
      <c r="XDO227"/>
      <c r="XDP227"/>
      <c r="XDQ227"/>
      <c r="XDR227"/>
      <c r="XDS227"/>
      <c r="XDT227"/>
      <c r="XDU227"/>
      <c r="XDV227"/>
      <c r="XDW227"/>
      <c r="XDX227"/>
      <c r="XDY227"/>
      <c r="XDZ227"/>
      <c r="XEA227"/>
      <c r="XEB227"/>
      <c r="XEC227"/>
      <c r="XED227"/>
      <c r="XEE227"/>
      <c r="XEF227"/>
      <c r="XEG227"/>
      <c r="XEH227"/>
      <c r="XEI227"/>
      <c r="XEJ227"/>
      <c r="XEK227"/>
      <c r="XEL227"/>
      <c r="XEM227"/>
      <c r="XEN227"/>
      <c r="XEO227"/>
      <c r="XEP227"/>
      <c r="XEQ227"/>
      <c r="XER227"/>
      <c r="XES227"/>
      <c r="XET227"/>
      <c r="XEU227"/>
      <c r="XEV227"/>
      <c r="XEW227"/>
      <c r="XEX227"/>
      <c r="XEY227"/>
      <c r="XEZ227"/>
      <c r="XFA227"/>
      <c r="XFB227"/>
      <c r="XFC227"/>
      <c r="XFD227"/>
    </row>
    <row r="228" spans="1:18 16327:16384" s="26" customFormat="1" ht="29.1" customHeight="1" outlineLevel="3" x14ac:dyDescent="0.25">
      <c r="A228" s="42" t="s">
        <v>408</v>
      </c>
      <c r="B228" s="43"/>
      <c r="C228" s="66" t="s">
        <v>404</v>
      </c>
      <c r="D228" s="66"/>
      <c r="E228" s="43" t="s">
        <v>34</v>
      </c>
      <c r="F228" s="44"/>
      <c r="G228" s="43" t="s">
        <v>65</v>
      </c>
      <c r="H228" s="45">
        <v>1.02</v>
      </c>
      <c r="I228" s="46">
        <f>61.2</f>
        <v>61.2</v>
      </c>
      <c r="J228" s="23"/>
      <c r="K228" s="47"/>
      <c r="L228" s="48"/>
      <c r="M228" s="49"/>
      <c r="N228" s="49">
        <f t="shared" si="7"/>
        <v>0</v>
      </c>
      <c r="O228" s="49"/>
      <c r="P228" s="49"/>
      <c r="Q228" s="49"/>
      <c r="R228" s="23"/>
      <c r="XCY228"/>
      <c r="XCZ228"/>
      <c r="XDA228"/>
      <c r="XDB228"/>
      <c r="XDC228"/>
      <c r="XDD228"/>
      <c r="XDE228"/>
      <c r="XDF228"/>
      <c r="XDG228"/>
      <c r="XDH228"/>
      <c r="XDI228"/>
      <c r="XDJ228"/>
      <c r="XDK228"/>
      <c r="XDL228"/>
      <c r="XDM228"/>
      <c r="XDN228"/>
      <c r="XDO228"/>
      <c r="XDP228"/>
      <c r="XDQ228"/>
      <c r="XDR228"/>
      <c r="XDS228"/>
      <c r="XDT228"/>
      <c r="XDU228"/>
      <c r="XDV228"/>
      <c r="XDW228"/>
      <c r="XDX228"/>
      <c r="XDY228"/>
      <c r="XDZ228"/>
      <c r="XEA228"/>
      <c r="XEB228"/>
      <c r="XEC228"/>
      <c r="XED228"/>
      <c r="XEE228"/>
      <c r="XEF228"/>
      <c r="XEG228"/>
      <c r="XEH228"/>
      <c r="XEI228"/>
      <c r="XEJ228"/>
      <c r="XEK228"/>
      <c r="XEL228"/>
      <c r="XEM228"/>
      <c r="XEN228"/>
      <c r="XEO228"/>
      <c r="XEP228"/>
      <c r="XEQ228"/>
      <c r="XER228"/>
      <c r="XES228"/>
      <c r="XET228"/>
      <c r="XEU228"/>
      <c r="XEV228"/>
      <c r="XEW228"/>
      <c r="XEX228"/>
      <c r="XEY228"/>
      <c r="XEZ228"/>
      <c r="XFA228"/>
      <c r="XFB228"/>
      <c r="XFC228"/>
      <c r="XFD228"/>
    </row>
    <row r="229" spans="1:18 16327:16384" s="26" customFormat="1" ht="29.1" customHeight="1" outlineLevel="2" x14ac:dyDescent="0.25">
      <c r="A229" s="34" t="s">
        <v>409</v>
      </c>
      <c r="B229" s="35"/>
      <c r="C229" s="65" t="s">
        <v>69</v>
      </c>
      <c r="D229" s="65"/>
      <c r="E229" s="35"/>
      <c r="F229" s="36" t="s">
        <v>394</v>
      </c>
      <c r="G229" s="35" t="s">
        <v>65</v>
      </c>
      <c r="H229" s="37"/>
      <c r="I229" s="38">
        <f>795</f>
        <v>795</v>
      </c>
      <c r="J229" s="23"/>
      <c r="K229" s="39"/>
      <c r="L229" s="40"/>
      <c r="M229" s="41"/>
      <c r="N229" s="41"/>
      <c r="O229" s="41"/>
      <c r="P229" s="41"/>
      <c r="Q229" s="41"/>
      <c r="R229" s="23"/>
      <c r="XCY229"/>
      <c r="XCZ229"/>
      <c r="XDA229"/>
      <c r="XDB229"/>
      <c r="XDC229"/>
      <c r="XDD229"/>
      <c r="XDE229"/>
      <c r="XDF229"/>
      <c r="XDG229"/>
      <c r="XDH229"/>
      <c r="XDI229"/>
      <c r="XDJ229"/>
      <c r="XDK229"/>
      <c r="XDL229"/>
      <c r="XDM229"/>
      <c r="XDN229"/>
      <c r="XDO229"/>
      <c r="XDP229"/>
      <c r="XDQ229"/>
      <c r="XDR229"/>
      <c r="XDS229"/>
      <c r="XDT229"/>
      <c r="XDU229"/>
      <c r="XDV229"/>
      <c r="XDW229"/>
      <c r="XDX229"/>
      <c r="XDY229"/>
      <c r="XDZ229"/>
      <c r="XEA229"/>
      <c r="XEB229"/>
      <c r="XEC229"/>
      <c r="XED229"/>
      <c r="XEE229"/>
      <c r="XEF229"/>
      <c r="XEG229"/>
      <c r="XEH229"/>
      <c r="XEI229"/>
      <c r="XEJ229"/>
      <c r="XEK229"/>
      <c r="XEL229"/>
      <c r="XEM229"/>
      <c r="XEN229"/>
      <c r="XEO229"/>
      <c r="XEP229"/>
      <c r="XEQ229"/>
      <c r="XER229"/>
      <c r="XES229"/>
      <c r="XET229"/>
      <c r="XEU229"/>
      <c r="XEV229"/>
      <c r="XEW229"/>
      <c r="XEX229"/>
      <c r="XEY229"/>
      <c r="XEZ229"/>
      <c r="XFA229"/>
      <c r="XFB229"/>
      <c r="XFC229"/>
      <c r="XFD229"/>
    </row>
    <row r="230" spans="1:18 16327:16384" s="26" customFormat="1" ht="29.1" customHeight="1" outlineLevel="3" x14ac:dyDescent="0.25">
      <c r="A230" s="42" t="s">
        <v>410</v>
      </c>
      <c r="B230" s="43"/>
      <c r="C230" s="66" t="s">
        <v>411</v>
      </c>
      <c r="D230" s="66"/>
      <c r="E230" s="43" t="s">
        <v>34</v>
      </c>
      <c r="F230" s="44"/>
      <c r="G230" s="43" t="s">
        <v>65</v>
      </c>
      <c r="H230" s="45">
        <v>1.02</v>
      </c>
      <c r="I230" s="46">
        <f>810.9</f>
        <v>810.9</v>
      </c>
      <c r="J230" s="23"/>
      <c r="K230" s="47"/>
      <c r="L230" s="48"/>
      <c r="M230" s="49"/>
      <c r="N230" s="49">
        <f t="shared" si="7"/>
        <v>0</v>
      </c>
      <c r="O230" s="49"/>
      <c r="P230" s="49"/>
      <c r="Q230" s="49"/>
      <c r="R230" s="23"/>
      <c r="XCY230"/>
      <c r="XCZ230"/>
      <c r="XDA230"/>
      <c r="XDB230"/>
      <c r="XDC230"/>
      <c r="XDD230"/>
      <c r="XDE230"/>
      <c r="XDF230"/>
      <c r="XDG230"/>
      <c r="XDH230"/>
      <c r="XDI230"/>
      <c r="XDJ230"/>
      <c r="XDK230"/>
      <c r="XDL230"/>
      <c r="XDM230"/>
      <c r="XDN230"/>
      <c r="XDO230"/>
      <c r="XDP230"/>
      <c r="XDQ230"/>
      <c r="XDR230"/>
      <c r="XDS230"/>
      <c r="XDT230"/>
      <c r="XDU230"/>
      <c r="XDV230"/>
      <c r="XDW230"/>
      <c r="XDX230"/>
      <c r="XDY230"/>
      <c r="XDZ230"/>
      <c r="XEA230"/>
      <c r="XEB230"/>
      <c r="XEC230"/>
      <c r="XED230"/>
      <c r="XEE230"/>
      <c r="XEF230"/>
      <c r="XEG230"/>
      <c r="XEH230"/>
      <c r="XEI230"/>
      <c r="XEJ230"/>
      <c r="XEK230"/>
      <c r="XEL230"/>
      <c r="XEM230"/>
      <c r="XEN230"/>
      <c r="XEO230"/>
      <c r="XEP230"/>
      <c r="XEQ230"/>
      <c r="XER230"/>
      <c r="XES230"/>
      <c r="XET230"/>
      <c r="XEU230"/>
      <c r="XEV230"/>
      <c r="XEW230"/>
      <c r="XEX230"/>
      <c r="XEY230"/>
      <c r="XEZ230"/>
      <c r="XFA230"/>
      <c r="XFB230"/>
      <c r="XFC230"/>
      <c r="XFD230"/>
    </row>
    <row r="231" spans="1:18 16327:16384" s="26" customFormat="1" ht="29.1" customHeight="1" outlineLevel="2" x14ac:dyDescent="0.25">
      <c r="A231" s="34" t="s">
        <v>412</v>
      </c>
      <c r="B231" s="35"/>
      <c r="C231" s="65" t="s">
        <v>64</v>
      </c>
      <c r="D231" s="65"/>
      <c r="E231" s="35"/>
      <c r="F231" s="36" t="s">
        <v>394</v>
      </c>
      <c r="G231" s="35" t="s">
        <v>65</v>
      </c>
      <c r="H231" s="37"/>
      <c r="I231" s="38">
        <f>244</f>
        <v>244</v>
      </c>
      <c r="J231" s="23"/>
      <c r="K231" s="39"/>
      <c r="L231" s="40"/>
      <c r="M231" s="41"/>
      <c r="N231" s="41"/>
      <c r="O231" s="41"/>
      <c r="P231" s="41"/>
      <c r="Q231" s="41"/>
      <c r="R231" s="23"/>
      <c r="XCY231"/>
      <c r="XCZ231"/>
      <c r="XDA231"/>
      <c r="XDB231"/>
      <c r="XDC231"/>
      <c r="XDD231"/>
      <c r="XDE231"/>
      <c r="XDF231"/>
      <c r="XDG231"/>
      <c r="XDH231"/>
      <c r="XDI231"/>
      <c r="XDJ231"/>
      <c r="XDK231"/>
      <c r="XDL231"/>
      <c r="XDM231"/>
      <c r="XDN231"/>
      <c r="XDO231"/>
      <c r="XDP231"/>
      <c r="XDQ231"/>
      <c r="XDR231"/>
      <c r="XDS231"/>
      <c r="XDT231"/>
      <c r="XDU231"/>
      <c r="XDV231"/>
      <c r="XDW231"/>
      <c r="XDX231"/>
      <c r="XDY231"/>
      <c r="XDZ231"/>
      <c r="XEA231"/>
      <c r="XEB231"/>
      <c r="XEC231"/>
      <c r="XED231"/>
      <c r="XEE231"/>
      <c r="XEF231"/>
      <c r="XEG231"/>
      <c r="XEH231"/>
      <c r="XEI231"/>
      <c r="XEJ231"/>
      <c r="XEK231"/>
      <c r="XEL231"/>
      <c r="XEM231"/>
      <c r="XEN231"/>
      <c r="XEO231"/>
      <c r="XEP231"/>
      <c r="XEQ231"/>
      <c r="XER231"/>
      <c r="XES231"/>
      <c r="XET231"/>
      <c r="XEU231"/>
      <c r="XEV231"/>
      <c r="XEW231"/>
      <c r="XEX231"/>
      <c r="XEY231"/>
      <c r="XEZ231"/>
      <c r="XFA231"/>
      <c r="XFB231"/>
      <c r="XFC231"/>
      <c r="XFD231"/>
    </row>
    <row r="232" spans="1:18 16327:16384" s="26" customFormat="1" ht="29.1" customHeight="1" outlineLevel="3" x14ac:dyDescent="0.25">
      <c r="A232" s="42" t="s">
        <v>413</v>
      </c>
      <c r="B232" s="43"/>
      <c r="C232" s="66" t="s">
        <v>414</v>
      </c>
      <c r="D232" s="66"/>
      <c r="E232" s="43" t="s">
        <v>34</v>
      </c>
      <c r="F232" s="44"/>
      <c r="G232" s="43" t="s">
        <v>65</v>
      </c>
      <c r="H232" s="45">
        <v>1.02</v>
      </c>
      <c r="I232" s="46">
        <f>248.88</f>
        <v>248.88</v>
      </c>
      <c r="J232" s="23"/>
      <c r="K232" s="47"/>
      <c r="L232" s="48"/>
      <c r="M232" s="49"/>
      <c r="N232" s="49">
        <f t="shared" si="7"/>
        <v>0</v>
      </c>
      <c r="O232" s="49"/>
      <c r="P232" s="49"/>
      <c r="Q232" s="49"/>
      <c r="R232" s="23"/>
      <c r="XCY232"/>
      <c r="XCZ232"/>
      <c r="XDA232"/>
      <c r="XDB232"/>
      <c r="XDC232"/>
      <c r="XDD232"/>
      <c r="XDE232"/>
      <c r="XDF232"/>
      <c r="XDG232"/>
      <c r="XDH232"/>
      <c r="XDI232"/>
      <c r="XDJ232"/>
      <c r="XDK232"/>
      <c r="XDL232"/>
      <c r="XDM232"/>
      <c r="XDN232"/>
      <c r="XDO232"/>
      <c r="XDP232"/>
      <c r="XDQ232"/>
      <c r="XDR232"/>
      <c r="XDS232"/>
      <c r="XDT232"/>
      <c r="XDU232"/>
      <c r="XDV232"/>
      <c r="XDW232"/>
      <c r="XDX232"/>
      <c r="XDY232"/>
      <c r="XDZ232"/>
      <c r="XEA232"/>
      <c r="XEB232"/>
      <c r="XEC232"/>
      <c r="XED232"/>
      <c r="XEE232"/>
      <c r="XEF232"/>
      <c r="XEG232"/>
      <c r="XEH232"/>
      <c r="XEI232"/>
      <c r="XEJ232"/>
      <c r="XEK232"/>
      <c r="XEL232"/>
      <c r="XEM232"/>
      <c r="XEN232"/>
      <c r="XEO232"/>
      <c r="XEP232"/>
      <c r="XEQ232"/>
      <c r="XER232"/>
      <c r="XES232"/>
      <c r="XET232"/>
      <c r="XEU232"/>
      <c r="XEV232"/>
      <c r="XEW232"/>
      <c r="XEX232"/>
      <c r="XEY232"/>
      <c r="XEZ232"/>
      <c r="XFA232"/>
      <c r="XFB232"/>
      <c r="XFC232"/>
      <c r="XFD232"/>
    </row>
    <row r="233" spans="1:18 16327:16384" s="26" customFormat="1" ht="29.1" customHeight="1" outlineLevel="2" x14ac:dyDescent="0.25">
      <c r="A233" s="34" t="s">
        <v>415</v>
      </c>
      <c r="B233" s="35"/>
      <c r="C233" s="65" t="s">
        <v>79</v>
      </c>
      <c r="D233" s="65"/>
      <c r="E233" s="35"/>
      <c r="F233" s="36" t="s">
        <v>416</v>
      </c>
      <c r="G233" s="35" t="s">
        <v>65</v>
      </c>
      <c r="H233" s="37"/>
      <c r="I233" s="38">
        <f>6816</f>
        <v>6816</v>
      </c>
      <c r="J233" s="23"/>
      <c r="K233" s="39"/>
      <c r="L233" s="40"/>
      <c r="M233" s="41">
        <f>K233+L233</f>
        <v>0</v>
      </c>
      <c r="N233" s="41">
        <f t="shared" si="7"/>
        <v>0</v>
      </c>
      <c r="O233" s="41">
        <f>ROUND((I233*L233),2)</f>
        <v>0</v>
      </c>
      <c r="P233" s="41">
        <f>ROUND((I233*M233),2)</f>
        <v>0</v>
      </c>
      <c r="Q233" s="41"/>
      <c r="R233" s="23"/>
      <c r="XCY233"/>
      <c r="XCZ233"/>
      <c r="XDA233"/>
      <c r="XDB233"/>
      <c r="XDC233"/>
      <c r="XDD233"/>
      <c r="XDE233"/>
      <c r="XDF233"/>
      <c r="XDG233"/>
      <c r="XDH233"/>
      <c r="XDI233"/>
      <c r="XDJ233"/>
      <c r="XDK233"/>
      <c r="XDL233"/>
      <c r="XDM233"/>
      <c r="XDN233"/>
      <c r="XDO233"/>
      <c r="XDP233"/>
      <c r="XDQ233"/>
      <c r="XDR233"/>
      <c r="XDS233"/>
      <c r="XDT233"/>
      <c r="XDU233"/>
      <c r="XDV233"/>
      <c r="XDW233"/>
      <c r="XDX233"/>
      <c r="XDY233"/>
      <c r="XDZ233"/>
      <c r="XEA233"/>
      <c r="XEB233"/>
      <c r="XEC233"/>
      <c r="XED233"/>
      <c r="XEE233"/>
      <c r="XEF233"/>
      <c r="XEG233"/>
      <c r="XEH233"/>
      <c r="XEI233"/>
      <c r="XEJ233"/>
      <c r="XEK233"/>
      <c r="XEL233"/>
      <c r="XEM233"/>
      <c r="XEN233"/>
      <c r="XEO233"/>
      <c r="XEP233"/>
      <c r="XEQ233"/>
      <c r="XER233"/>
      <c r="XES233"/>
      <c r="XET233"/>
      <c r="XEU233"/>
      <c r="XEV233"/>
      <c r="XEW233"/>
      <c r="XEX233"/>
      <c r="XEY233"/>
      <c r="XEZ233"/>
      <c r="XFA233"/>
      <c r="XFB233"/>
      <c r="XFC233"/>
      <c r="XFD233"/>
    </row>
    <row r="234" spans="1:18 16327:16384" s="26" customFormat="1" ht="29.1" customHeight="1" outlineLevel="3" x14ac:dyDescent="0.25">
      <c r="A234" s="42" t="s">
        <v>417</v>
      </c>
      <c r="B234" s="43"/>
      <c r="C234" s="66" t="s">
        <v>418</v>
      </c>
      <c r="D234" s="66"/>
      <c r="E234" s="43" t="s">
        <v>34</v>
      </c>
      <c r="F234" s="44"/>
      <c r="G234" s="43" t="s">
        <v>65</v>
      </c>
      <c r="H234" s="45">
        <v>1.012</v>
      </c>
      <c r="I234" s="46">
        <f>6897.792</f>
        <v>6897.7920000000004</v>
      </c>
      <c r="J234" s="23"/>
      <c r="K234" s="47"/>
      <c r="L234" s="48"/>
      <c r="M234" s="49"/>
      <c r="N234" s="49">
        <f t="shared" si="7"/>
        <v>0</v>
      </c>
      <c r="O234" s="49"/>
      <c r="P234" s="49"/>
      <c r="Q234" s="49"/>
      <c r="R234" s="23"/>
      <c r="XCY234"/>
      <c r="XCZ234"/>
      <c r="XDA234"/>
      <c r="XDB234"/>
      <c r="XDC234"/>
      <c r="XDD234"/>
      <c r="XDE234"/>
      <c r="XDF234"/>
      <c r="XDG234"/>
      <c r="XDH234"/>
      <c r="XDI234"/>
      <c r="XDJ234"/>
      <c r="XDK234"/>
      <c r="XDL234"/>
      <c r="XDM234"/>
      <c r="XDN234"/>
      <c r="XDO234"/>
      <c r="XDP234"/>
      <c r="XDQ234"/>
      <c r="XDR234"/>
      <c r="XDS234"/>
      <c r="XDT234"/>
      <c r="XDU234"/>
      <c r="XDV234"/>
      <c r="XDW234"/>
      <c r="XDX234"/>
      <c r="XDY234"/>
      <c r="XDZ234"/>
      <c r="XEA234"/>
      <c r="XEB234"/>
      <c r="XEC234"/>
      <c r="XED234"/>
      <c r="XEE234"/>
      <c r="XEF234"/>
      <c r="XEG234"/>
      <c r="XEH234"/>
      <c r="XEI234"/>
      <c r="XEJ234"/>
      <c r="XEK234"/>
      <c r="XEL234"/>
      <c r="XEM234"/>
      <c r="XEN234"/>
      <c r="XEO234"/>
      <c r="XEP234"/>
      <c r="XEQ234"/>
      <c r="XER234"/>
      <c r="XES234"/>
      <c r="XET234"/>
      <c r="XEU234"/>
      <c r="XEV234"/>
      <c r="XEW234"/>
      <c r="XEX234"/>
      <c r="XEY234"/>
      <c r="XEZ234"/>
      <c r="XFA234"/>
      <c r="XFB234"/>
      <c r="XFC234"/>
      <c r="XFD234"/>
    </row>
    <row r="235" spans="1:18 16327:16384" s="26" customFormat="1" ht="29.1" customHeight="1" outlineLevel="3" x14ac:dyDescent="0.25">
      <c r="A235" s="42" t="s">
        <v>419</v>
      </c>
      <c r="B235" s="43"/>
      <c r="C235" s="66" t="s">
        <v>420</v>
      </c>
      <c r="D235" s="66"/>
      <c r="E235" s="43" t="s">
        <v>34</v>
      </c>
      <c r="F235" s="44"/>
      <c r="G235" s="43" t="s">
        <v>31</v>
      </c>
      <c r="H235" s="45">
        <v>1</v>
      </c>
      <c r="I235" s="46">
        <f>6816</f>
        <v>6816</v>
      </c>
      <c r="J235" s="23"/>
      <c r="K235" s="47"/>
      <c r="L235" s="48"/>
      <c r="M235" s="49"/>
      <c r="N235" s="49">
        <f t="shared" si="7"/>
        <v>0</v>
      </c>
      <c r="O235" s="49"/>
      <c r="P235" s="49"/>
      <c r="Q235" s="49"/>
      <c r="R235" s="23"/>
      <c r="XCY235"/>
      <c r="XCZ235"/>
      <c r="XDA235"/>
      <c r="XDB235"/>
      <c r="XDC235"/>
      <c r="XDD235"/>
      <c r="XDE235"/>
      <c r="XDF235"/>
      <c r="XDG235"/>
      <c r="XDH235"/>
      <c r="XDI235"/>
      <c r="XDJ235"/>
      <c r="XDK235"/>
      <c r="XDL235"/>
      <c r="XDM235"/>
      <c r="XDN235"/>
      <c r="XDO235"/>
      <c r="XDP235"/>
      <c r="XDQ235"/>
      <c r="XDR235"/>
      <c r="XDS235"/>
      <c r="XDT235"/>
      <c r="XDU235"/>
      <c r="XDV235"/>
      <c r="XDW235"/>
      <c r="XDX235"/>
      <c r="XDY235"/>
      <c r="XDZ235"/>
      <c r="XEA235"/>
      <c r="XEB235"/>
      <c r="XEC235"/>
      <c r="XED235"/>
      <c r="XEE235"/>
      <c r="XEF235"/>
      <c r="XEG235"/>
      <c r="XEH235"/>
      <c r="XEI235"/>
      <c r="XEJ235"/>
      <c r="XEK235"/>
      <c r="XEL235"/>
      <c r="XEM235"/>
      <c r="XEN235"/>
      <c r="XEO235"/>
      <c r="XEP235"/>
      <c r="XEQ235"/>
      <c r="XER235"/>
      <c r="XES235"/>
      <c r="XET235"/>
      <c r="XEU235"/>
      <c r="XEV235"/>
      <c r="XEW235"/>
      <c r="XEX235"/>
      <c r="XEY235"/>
      <c r="XEZ235"/>
      <c r="XFA235"/>
      <c r="XFB235"/>
      <c r="XFC235"/>
      <c r="XFD235"/>
    </row>
    <row r="236" spans="1:18 16327:16384" s="26" customFormat="1" ht="29.1" customHeight="1" outlineLevel="3" x14ac:dyDescent="0.25">
      <c r="A236" s="42" t="s">
        <v>421</v>
      </c>
      <c r="B236" s="43"/>
      <c r="C236" s="66" t="s">
        <v>422</v>
      </c>
      <c r="D236" s="66"/>
      <c r="E236" s="43" t="s">
        <v>34</v>
      </c>
      <c r="F236" s="44"/>
      <c r="G236" s="43" t="s">
        <v>31</v>
      </c>
      <c r="H236" s="45">
        <v>1</v>
      </c>
      <c r="I236" s="46">
        <f>24294</f>
        <v>24294</v>
      </c>
      <c r="J236" s="23"/>
      <c r="K236" s="47"/>
      <c r="L236" s="48"/>
      <c r="M236" s="49"/>
      <c r="N236" s="49">
        <f t="shared" si="7"/>
        <v>0</v>
      </c>
      <c r="O236" s="49"/>
      <c r="P236" s="49"/>
      <c r="Q236" s="49"/>
      <c r="R236" s="23"/>
      <c r="XCY236"/>
      <c r="XCZ236"/>
      <c r="XDA236"/>
      <c r="XDB236"/>
      <c r="XDC236"/>
      <c r="XDD236"/>
      <c r="XDE236"/>
      <c r="XDF236"/>
      <c r="XDG236"/>
      <c r="XDH236"/>
      <c r="XDI236"/>
      <c r="XDJ236"/>
      <c r="XDK236"/>
      <c r="XDL236"/>
      <c r="XDM236"/>
      <c r="XDN236"/>
      <c r="XDO236"/>
      <c r="XDP236"/>
      <c r="XDQ236"/>
      <c r="XDR236"/>
      <c r="XDS236"/>
      <c r="XDT236"/>
      <c r="XDU236"/>
      <c r="XDV236"/>
      <c r="XDW236"/>
      <c r="XDX236"/>
      <c r="XDY236"/>
      <c r="XDZ236"/>
      <c r="XEA236"/>
      <c r="XEB236"/>
      <c r="XEC236"/>
      <c r="XED236"/>
      <c r="XEE236"/>
      <c r="XEF236"/>
      <c r="XEG236"/>
      <c r="XEH236"/>
      <c r="XEI236"/>
      <c r="XEJ236"/>
      <c r="XEK236"/>
      <c r="XEL236"/>
      <c r="XEM236"/>
      <c r="XEN236"/>
      <c r="XEO236"/>
      <c r="XEP236"/>
      <c r="XEQ236"/>
      <c r="XER236"/>
      <c r="XES236"/>
      <c r="XET236"/>
      <c r="XEU236"/>
      <c r="XEV236"/>
      <c r="XEW236"/>
      <c r="XEX236"/>
      <c r="XEY236"/>
      <c r="XEZ236"/>
      <c r="XFA236"/>
      <c r="XFB236"/>
      <c r="XFC236"/>
      <c r="XFD236"/>
    </row>
    <row r="237" spans="1:18 16327:16384" s="26" customFormat="1" ht="29.1" customHeight="1" outlineLevel="2" x14ac:dyDescent="0.25">
      <c r="A237" s="34" t="s">
        <v>423</v>
      </c>
      <c r="B237" s="35"/>
      <c r="C237" s="65" t="s">
        <v>278</v>
      </c>
      <c r="D237" s="65"/>
      <c r="E237" s="35"/>
      <c r="F237" s="36"/>
      <c r="G237" s="35" t="s">
        <v>31</v>
      </c>
      <c r="H237" s="37"/>
      <c r="I237" s="38">
        <f>120</f>
        <v>120</v>
      </c>
      <c r="J237" s="23"/>
      <c r="K237" s="39"/>
      <c r="L237" s="40"/>
      <c r="M237" s="41">
        <f>K237+L237</f>
        <v>0</v>
      </c>
      <c r="N237" s="41">
        <f t="shared" si="7"/>
        <v>0</v>
      </c>
      <c r="O237" s="41">
        <f>ROUND((I237*L237),2)</f>
        <v>0</v>
      </c>
      <c r="P237" s="41">
        <f>ROUND((I237*M237),2)</f>
        <v>0</v>
      </c>
      <c r="Q237" s="41"/>
      <c r="R237" s="23"/>
      <c r="XCY237"/>
      <c r="XCZ237"/>
      <c r="XDA237"/>
      <c r="XDB237"/>
      <c r="XDC237"/>
      <c r="XDD237"/>
      <c r="XDE237"/>
      <c r="XDF237"/>
      <c r="XDG237"/>
      <c r="XDH237"/>
      <c r="XDI237"/>
      <c r="XDJ237"/>
      <c r="XDK237"/>
      <c r="XDL237"/>
      <c r="XDM237"/>
      <c r="XDN237"/>
      <c r="XDO237"/>
      <c r="XDP237"/>
      <c r="XDQ237"/>
      <c r="XDR237"/>
      <c r="XDS237"/>
      <c r="XDT237"/>
      <c r="XDU237"/>
      <c r="XDV237"/>
      <c r="XDW237"/>
      <c r="XDX237"/>
      <c r="XDY237"/>
      <c r="XDZ237"/>
      <c r="XEA237"/>
      <c r="XEB237"/>
      <c r="XEC237"/>
      <c r="XED237"/>
      <c r="XEE237"/>
      <c r="XEF237"/>
      <c r="XEG237"/>
      <c r="XEH237"/>
      <c r="XEI237"/>
      <c r="XEJ237"/>
      <c r="XEK237"/>
      <c r="XEL237"/>
      <c r="XEM237"/>
      <c r="XEN237"/>
      <c r="XEO237"/>
      <c r="XEP237"/>
      <c r="XEQ237"/>
      <c r="XER237"/>
      <c r="XES237"/>
      <c r="XET237"/>
      <c r="XEU237"/>
      <c r="XEV237"/>
      <c r="XEW237"/>
      <c r="XEX237"/>
      <c r="XEY237"/>
      <c r="XEZ237"/>
      <c r="XFA237"/>
      <c r="XFB237"/>
      <c r="XFC237"/>
      <c r="XFD237"/>
    </row>
    <row r="238" spans="1:18 16327:16384" s="26" customFormat="1" ht="29.1" customHeight="1" outlineLevel="3" x14ac:dyDescent="0.25">
      <c r="A238" s="42" t="s">
        <v>424</v>
      </c>
      <c r="B238" s="43"/>
      <c r="C238" s="66" t="s">
        <v>425</v>
      </c>
      <c r="D238" s="66"/>
      <c r="E238" s="43" t="s">
        <v>34</v>
      </c>
      <c r="F238" s="44"/>
      <c r="G238" s="43" t="s">
        <v>65</v>
      </c>
      <c r="H238" s="45">
        <v>1</v>
      </c>
      <c r="I238" s="46">
        <f>30</f>
        <v>30</v>
      </c>
      <c r="J238" s="23"/>
      <c r="K238" s="47"/>
      <c r="L238" s="48"/>
      <c r="M238" s="49"/>
      <c r="N238" s="49">
        <f t="shared" si="7"/>
        <v>0</v>
      </c>
      <c r="O238" s="49"/>
      <c r="P238" s="49"/>
      <c r="Q238" s="49"/>
      <c r="R238" s="23"/>
      <c r="XCY238"/>
      <c r="XCZ238"/>
      <c r="XDA238"/>
      <c r="XDB238"/>
      <c r="XDC238"/>
      <c r="XDD238"/>
      <c r="XDE238"/>
      <c r="XDF238"/>
      <c r="XDG238"/>
      <c r="XDH238"/>
      <c r="XDI238"/>
      <c r="XDJ238"/>
      <c r="XDK238"/>
      <c r="XDL238"/>
      <c r="XDM238"/>
      <c r="XDN238"/>
      <c r="XDO238"/>
      <c r="XDP238"/>
      <c r="XDQ238"/>
      <c r="XDR238"/>
      <c r="XDS238"/>
      <c r="XDT238"/>
      <c r="XDU238"/>
      <c r="XDV238"/>
      <c r="XDW238"/>
      <c r="XDX238"/>
      <c r="XDY238"/>
      <c r="XDZ238"/>
      <c r="XEA238"/>
      <c r="XEB238"/>
      <c r="XEC238"/>
      <c r="XED238"/>
      <c r="XEE238"/>
      <c r="XEF238"/>
      <c r="XEG238"/>
      <c r="XEH238"/>
      <c r="XEI238"/>
      <c r="XEJ238"/>
      <c r="XEK238"/>
      <c r="XEL238"/>
      <c r="XEM238"/>
      <c r="XEN238"/>
      <c r="XEO238"/>
      <c r="XEP238"/>
      <c r="XEQ238"/>
      <c r="XER238"/>
      <c r="XES238"/>
      <c r="XET238"/>
      <c r="XEU238"/>
      <c r="XEV238"/>
      <c r="XEW238"/>
      <c r="XEX238"/>
      <c r="XEY238"/>
      <c r="XEZ238"/>
      <c r="XFA238"/>
      <c r="XFB238"/>
      <c r="XFC238"/>
      <c r="XFD238"/>
    </row>
    <row r="239" spans="1:18 16327:16384" s="26" customFormat="1" ht="29.1" customHeight="1" outlineLevel="3" x14ac:dyDescent="0.25">
      <c r="A239" s="42" t="s">
        <v>426</v>
      </c>
      <c r="B239" s="43"/>
      <c r="C239" s="66" t="s">
        <v>282</v>
      </c>
      <c r="D239" s="66"/>
      <c r="E239" s="43" t="s">
        <v>34</v>
      </c>
      <c r="F239" s="44"/>
      <c r="G239" s="43" t="s">
        <v>31</v>
      </c>
      <c r="H239" s="45">
        <v>1</v>
      </c>
      <c r="I239" s="46">
        <f>60</f>
        <v>60</v>
      </c>
      <c r="J239" s="23"/>
      <c r="K239" s="47"/>
      <c r="L239" s="48"/>
      <c r="M239" s="49"/>
      <c r="N239" s="49">
        <f t="shared" si="7"/>
        <v>0</v>
      </c>
      <c r="O239" s="49"/>
      <c r="P239" s="49"/>
      <c r="Q239" s="49"/>
      <c r="R239" s="23"/>
      <c r="XCY239"/>
      <c r="XCZ239"/>
      <c r="XDA239"/>
      <c r="XDB239"/>
      <c r="XDC239"/>
      <c r="XDD239"/>
      <c r="XDE239"/>
      <c r="XDF239"/>
      <c r="XDG239"/>
      <c r="XDH239"/>
      <c r="XDI239"/>
      <c r="XDJ239"/>
      <c r="XDK239"/>
      <c r="XDL239"/>
      <c r="XDM239"/>
      <c r="XDN239"/>
      <c r="XDO239"/>
      <c r="XDP239"/>
      <c r="XDQ239"/>
      <c r="XDR239"/>
      <c r="XDS239"/>
      <c r="XDT239"/>
      <c r="XDU239"/>
      <c r="XDV239"/>
      <c r="XDW239"/>
      <c r="XDX239"/>
      <c r="XDY239"/>
      <c r="XDZ239"/>
      <c r="XEA239"/>
      <c r="XEB239"/>
      <c r="XEC239"/>
      <c r="XED239"/>
      <c r="XEE239"/>
      <c r="XEF239"/>
      <c r="XEG239"/>
      <c r="XEH239"/>
      <c r="XEI239"/>
      <c r="XEJ239"/>
      <c r="XEK239"/>
      <c r="XEL239"/>
      <c r="XEM239"/>
      <c r="XEN239"/>
      <c r="XEO239"/>
      <c r="XEP239"/>
      <c r="XEQ239"/>
      <c r="XER239"/>
      <c r="XES239"/>
      <c r="XET239"/>
      <c r="XEU239"/>
      <c r="XEV239"/>
      <c r="XEW239"/>
      <c r="XEX239"/>
      <c r="XEY239"/>
      <c r="XEZ239"/>
      <c r="XFA239"/>
      <c r="XFB239"/>
      <c r="XFC239"/>
      <c r="XFD239"/>
    </row>
    <row r="240" spans="1:18 16327:16384" s="26" customFormat="1" ht="29.1" customHeight="1" outlineLevel="3" x14ac:dyDescent="0.25">
      <c r="A240" s="42" t="s">
        <v>427</v>
      </c>
      <c r="B240" s="43"/>
      <c r="C240" s="66" t="s">
        <v>284</v>
      </c>
      <c r="D240" s="66"/>
      <c r="E240" s="43" t="s">
        <v>34</v>
      </c>
      <c r="F240" s="44"/>
      <c r="G240" s="43" t="s">
        <v>285</v>
      </c>
      <c r="H240" s="45">
        <v>1</v>
      </c>
      <c r="I240" s="46">
        <f>140</f>
        <v>140</v>
      </c>
      <c r="J240" s="23"/>
      <c r="K240" s="47"/>
      <c r="L240" s="48"/>
      <c r="M240" s="49"/>
      <c r="N240" s="49">
        <f t="shared" si="7"/>
        <v>0</v>
      </c>
      <c r="O240" s="49"/>
      <c r="P240" s="49"/>
      <c r="Q240" s="49"/>
      <c r="R240" s="23"/>
      <c r="XCY240"/>
      <c r="XCZ240"/>
      <c r="XDA240"/>
      <c r="XDB240"/>
      <c r="XDC240"/>
      <c r="XDD240"/>
      <c r="XDE240"/>
      <c r="XDF240"/>
      <c r="XDG240"/>
      <c r="XDH240"/>
      <c r="XDI240"/>
      <c r="XDJ240"/>
      <c r="XDK240"/>
      <c r="XDL240"/>
      <c r="XDM240"/>
      <c r="XDN240"/>
      <c r="XDO240"/>
      <c r="XDP240"/>
      <c r="XDQ240"/>
      <c r="XDR240"/>
      <c r="XDS240"/>
      <c r="XDT240"/>
      <c r="XDU240"/>
      <c r="XDV240"/>
      <c r="XDW240"/>
      <c r="XDX240"/>
      <c r="XDY240"/>
      <c r="XDZ240"/>
      <c r="XEA240"/>
      <c r="XEB240"/>
      <c r="XEC240"/>
      <c r="XED240"/>
      <c r="XEE240"/>
      <c r="XEF240"/>
      <c r="XEG240"/>
      <c r="XEH240"/>
      <c r="XEI240"/>
      <c r="XEJ240"/>
      <c r="XEK240"/>
      <c r="XEL240"/>
      <c r="XEM240"/>
      <c r="XEN240"/>
      <c r="XEO240"/>
      <c r="XEP240"/>
      <c r="XEQ240"/>
      <c r="XER240"/>
      <c r="XES240"/>
      <c r="XET240"/>
      <c r="XEU240"/>
      <c r="XEV240"/>
      <c r="XEW240"/>
      <c r="XEX240"/>
      <c r="XEY240"/>
      <c r="XEZ240"/>
      <c r="XFA240"/>
      <c r="XFB240"/>
      <c r="XFC240"/>
      <c r="XFD240"/>
    </row>
    <row r="241" spans="1:18 16327:16384" s="26" customFormat="1" ht="29.1" customHeight="1" outlineLevel="2" x14ac:dyDescent="0.25">
      <c r="A241" s="34" t="s">
        <v>428</v>
      </c>
      <c r="B241" s="35"/>
      <c r="C241" s="65" t="s">
        <v>429</v>
      </c>
      <c r="D241" s="65"/>
      <c r="E241" s="35"/>
      <c r="F241" s="36"/>
      <c r="G241" s="35" t="s">
        <v>90</v>
      </c>
      <c r="H241" s="37">
        <v>1</v>
      </c>
      <c r="I241" s="38">
        <f>1</f>
        <v>1</v>
      </c>
      <c r="J241" s="23"/>
      <c r="K241" s="39"/>
      <c r="L241" s="40"/>
      <c r="M241" s="41">
        <f>K241+L241</f>
        <v>0</v>
      </c>
      <c r="N241" s="41">
        <f t="shared" si="7"/>
        <v>0</v>
      </c>
      <c r="O241" s="41">
        <f>ROUND((I241*L241),2)</f>
        <v>0</v>
      </c>
      <c r="P241" s="41">
        <f>ROUND((I241*M241),2)</f>
        <v>0</v>
      </c>
      <c r="Q241" s="41"/>
      <c r="R241" s="23"/>
      <c r="XCY241"/>
      <c r="XCZ241"/>
      <c r="XDA241"/>
      <c r="XDB241"/>
      <c r="XDC241"/>
      <c r="XDD241"/>
      <c r="XDE241"/>
      <c r="XDF241"/>
      <c r="XDG241"/>
      <c r="XDH241"/>
      <c r="XDI241"/>
      <c r="XDJ241"/>
      <c r="XDK241"/>
      <c r="XDL241"/>
      <c r="XDM241"/>
      <c r="XDN241"/>
      <c r="XDO241"/>
      <c r="XDP241"/>
      <c r="XDQ241"/>
      <c r="XDR241"/>
      <c r="XDS241"/>
      <c r="XDT241"/>
      <c r="XDU241"/>
      <c r="XDV241"/>
      <c r="XDW241"/>
      <c r="XDX241"/>
      <c r="XDY241"/>
      <c r="XDZ241"/>
      <c r="XEA241"/>
      <c r="XEB241"/>
      <c r="XEC241"/>
      <c r="XED241"/>
      <c r="XEE241"/>
      <c r="XEF241"/>
      <c r="XEG241"/>
      <c r="XEH241"/>
      <c r="XEI241"/>
      <c r="XEJ241"/>
      <c r="XEK241"/>
      <c r="XEL241"/>
      <c r="XEM241"/>
      <c r="XEN241"/>
      <c r="XEO241"/>
      <c r="XEP241"/>
      <c r="XEQ241"/>
      <c r="XER241"/>
      <c r="XES241"/>
      <c r="XET241"/>
      <c r="XEU241"/>
      <c r="XEV241"/>
      <c r="XEW241"/>
      <c r="XEX241"/>
      <c r="XEY241"/>
      <c r="XEZ241"/>
      <c r="XFA241"/>
      <c r="XFB241"/>
      <c r="XFC241"/>
      <c r="XFD241"/>
    </row>
    <row r="242" spans="1:18 16327:16384" s="26" customFormat="1" ht="29.1" customHeight="1" outlineLevel="1" x14ac:dyDescent="0.25">
      <c r="A242" s="27" t="s">
        <v>430</v>
      </c>
      <c r="B242" s="28" t="s">
        <v>42</v>
      </c>
      <c r="C242" s="69" t="s">
        <v>431</v>
      </c>
      <c r="D242" s="69"/>
      <c r="E242" s="28"/>
      <c r="F242" s="29"/>
      <c r="G242" s="28"/>
      <c r="H242" s="30"/>
      <c r="I242" s="31"/>
      <c r="J242" s="23"/>
      <c r="K242" s="32"/>
      <c r="L242" s="32"/>
      <c r="M242" s="32"/>
      <c r="N242" s="32">
        <f>N243+N245+N247+N249+N251+N253+N255+N258+N261</f>
        <v>0</v>
      </c>
      <c r="O242" s="32">
        <f>O243+O245+O247+O249+O251+O253+O255+O258+O261</f>
        <v>0</v>
      </c>
      <c r="P242" s="32">
        <f>P243+P245+P247+P249+P251+P253+P255+P258+P261</f>
        <v>0</v>
      </c>
      <c r="Q242" s="33"/>
      <c r="R242" s="23"/>
      <c r="XCY242"/>
      <c r="XCZ242"/>
      <c r="XDA242"/>
      <c r="XDB242"/>
      <c r="XDC242"/>
      <c r="XDD242"/>
      <c r="XDE242"/>
      <c r="XDF242"/>
      <c r="XDG242"/>
      <c r="XDH242"/>
      <c r="XDI242"/>
      <c r="XDJ242"/>
      <c r="XDK242"/>
      <c r="XDL242"/>
      <c r="XDM242"/>
      <c r="XDN242"/>
      <c r="XDO242"/>
      <c r="XDP242"/>
      <c r="XDQ242"/>
      <c r="XDR242"/>
      <c r="XDS242"/>
      <c r="XDT242"/>
      <c r="XDU242"/>
      <c r="XDV242"/>
      <c r="XDW242"/>
      <c r="XDX242"/>
      <c r="XDY242"/>
      <c r="XDZ242"/>
      <c r="XEA242"/>
      <c r="XEB242"/>
      <c r="XEC242"/>
      <c r="XED242"/>
      <c r="XEE242"/>
      <c r="XEF242"/>
      <c r="XEG242"/>
      <c r="XEH242"/>
      <c r="XEI242"/>
      <c r="XEJ242"/>
      <c r="XEK242"/>
      <c r="XEL242"/>
      <c r="XEM242"/>
      <c r="XEN242"/>
      <c r="XEO242"/>
      <c r="XEP242"/>
      <c r="XEQ242"/>
      <c r="XER242"/>
      <c r="XES242"/>
      <c r="XET242"/>
      <c r="XEU242"/>
      <c r="XEV242"/>
      <c r="XEW242"/>
      <c r="XEX242"/>
      <c r="XEY242"/>
      <c r="XEZ242"/>
      <c r="XFA242"/>
      <c r="XFB242"/>
      <c r="XFC242"/>
      <c r="XFD242"/>
    </row>
    <row r="243" spans="1:18 16327:16384" s="26" customFormat="1" ht="29.1" customHeight="1" outlineLevel="2" x14ac:dyDescent="0.25">
      <c r="A243" s="34" t="s">
        <v>432</v>
      </c>
      <c r="B243" s="35"/>
      <c r="C243" s="65" t="s">
        <v>433</v>
      </c>
      <c r="D243" s="65"/>
      <c r="E243" s="35"/>
      <c r="F243" s="36"/>
      <c r="G243" s="35" t="s">
        <v>31</v>
      </c>
      <c r="H243" s="37"/>
      <c r="I243" s="38">
        <f>6</f>
        <v>6</v>
      </c>
      <c r="J243" s="23"/>
      <c r="K243" s="39"/>
      <c r="L243" s="40"/>
      <c r="M243" s="41">
        <f>K243+L243</f>
        <v>0</v>
      </c>
      <c r="N243" s="41">
        <f t="shared" ref="N243:N261" si="8">ROUND((I243*K243),2)</f>
        <v>0</v>
      </c>
      <c r="O243" s="41">
        <f>ROUND((I243*L243),2)</f>
        <v>0</v>
      </c>
      <c r="P243" s="41">
        <f>ROUND((I243*M243),2)</f>
        <v>0</v>
      </c>
      <c r="Q243" s="41"/>
      <c r="R243" s="23"/>
      <c r="XCY243"/>
      <c r="XCZ243"/>
      <c r="XDA243"/>
      <c r="XDB243"/>
      <c r="XDC243"/>
      <c r="XDD243"/>
      <c r="XDE243"/>
      <c r="XDF243"/>
      <c r="XDG243"/>
      <c r="XDH243"/>
      <c r="XDI243"/>
      <c r="XDJ243"/>
      <c r="XDK243"/>
      <c r="XDL243"/>
      <c r="XDM243"/>
      <c r="XDN243"/>
      <c r="XDO243"/>
      <c r="XDP243"/>
      <c r="XDQ243"/>
      <c r="XDR243"/>
      <c r="XDS243"/>
      <c r="XDT243"/>
      <c r="XDU243"/>
      <c r="XDV243"/>
      <c r="XDW243"/>
      <c r="XDX243"/>
      <c r="XDY243"/>
      <c r="XDZ243"/>
      <c r="XEA243"/>
      <c r="XEB243"/>
      <c r="XEC243"/>
      <c r="XED243"/>
      <c r="XEE243"/>
      <c r="XEF243"/>
      <c r="XEG243"/>
      <c r="XEH243"/>
      <c r="XEI243"/>
      <c r="XEJ243"/>
      <c r="XEK243"/>
      <c r="XEL243"/>
      <c r="XEM243"/>
      <c r="XEN243"/>
      <c r="XEO243"/>
      <c r="XEP243"/>
      <c r="XEQ243"/>
      <c r="XER243"/>
      <c r="XES243"/>
      <c r="XET243"/>
      <c r="XEU243"/>
      <c r="XEV243"/>
      <c r="XEW243"/>
      <c r="XEX243"/>
      <c r="XEY243"/>
      <c r="XEZ243"/>
      <c r="XFA243"/>
      <c r="XFB243"/>
      <c r="XFC243"/>
      <c r="XFD243"/>
    </row>
    <row r="244" spans="1:18 16327:16384" s="26" customFormat="1" ht="29.1" customHeight="1" outlineLevel="3" x14ac:dyDescent="0.25">
      <c r="A244" s="42" t="s">
        <v>434</v>
      </c>
      <c r="B244" s="43"/>
      <c r="C244" s="66" t="s">
        <v>435</v>
      </c>
      <c r="D244" s="66"/>
      <c r="E244" s="43" t="s">
        <v>34</v>
      </c>
      <c r="F244" s="44"/>
      <c r="G244" s="43" t="s">
        <v>31</v>
      </c>
      <c r="H244" s="45">
        <v>1</v>
      </c>
      <c r="I244" s="46">
        <f>6</f>
        <v>6</v>
      </c>
      <c r="J244" s="23"/>
      <c r="K244" s="47"/>
      <c r="L244" s="48"/>
      <c r="M244" s="49"/>
      <c r="N244" s="49">
        <f t="shared" si="8"/>
        <v>0</v>
      </c>
      <c r="O244" s="49"/>
      <c r="P244" s="49"/>
      <c r="Q244" s="49"/>
      <c r="R244" s="23"/>
      <c r="XCY244"/>
      <c r="XCZ244"/>
      <c r="XDA244"/>
      <c r="XDB244"/>
      <c r="XDC244"/>
      <c r="XDD244"/>
      <c r="XDE244"/>
      <c r="XDF244"/>
      <c r="XDG244"/>
      <c r="XDH244"/>
      <c r="XDI244"/>
      <c r="XDJ244"/>
      <c r="XDK244"/>
      <c r="XDL244"/>
      <c r="XDM244"/>
      <c r="XDN244"/>
      <c r="XDO244"/>
      <c r="XDP244"/>
      <c r="XDQ244"/>
      <c r="XDR244"/>
      <c r="XDS244"/>
      <c r="XDT244"/>
      <c r="XDU244"/>
      <c r="XDV244"/>
      <c r="XDW244"/>
      <c r="XDX244"/>
      <c r="XDY244"/>
      <c r="XDZ244"/>
      <c r="XEA244"/>
      <c r="XEB244"/>
      <c r="XEC244"/>
      <c r="XED244"/>
      <c r="XEE244"/>
      <c r="XEF244"/>
      <c r="XEG244"/>
      <c r="XEH244"/>
      <c r="XEI244"/>
      <c r="XEJ244"/>
      <c r="XEK244"/>
      <c r="XEL244"/>
      <c r="XEM244"/>
      <c r="XEN244"/>
      <c r="XEO244"/>
      <c r="XEP244"/>
      <c r="XEQ244"/>
      <c r="XER244"/>
      <c r="XES244"/>
      <c r="XET244"/>
      <c r="XEU244"/>
      <c r="XEV244"/>
      <c r="XEW244"/>
      <c r="XEX244"/>
      <c r="XEY244"/>
      <c r="XEZ244"/>
      <c r="XFA244"/>
      <c r="XFB244"/>
      <c r="XFC244"/>
      <c r="XFD244"/>
    </row>
    <row r="245" spans="1:18 16327:16384" s="26" customFormat="1" ht="29.1" customHeight="1" outlineLevel="2" x14ac:dyDescent="0.25">
      <c r="A245" s="34" t="s">
        <v>436</v>
      </c>
      <c r="B245" s="35"/>
      <c r="C245" s="65" t="s">
        <v>437</v>
      </c>
      <c r="D245" s="65"/>
      <c r="E245" s="35"/>
      <c r="F245" s="36"/>
      <c r="G245" s="35" t="s">
        <v>31</v>
      </c>
      <c r="H245" s="37"/>
      <c r="I245" s="38">
        <f>91</f>
        <v>91</v>
      </c>
      <c r="J245" s="23"/>
      <c r="K245" s="39"/>
      <c r="L245" s="40"/>
      <c r="M245" s="41">
        <f>K245+L245</f>
        <v>0</v>
      </c>
      <c r="N245" s="41">
        <f t="shared" si="8"/>
        <v>0</v>
      </c>
      <c r="O245" s="41">
        <f>ROUND((I245*L245),2)</f>
        <v>0</v>
      </c>
      <c r="P245" s="41">
        <f>ROUND((I245*M245),2)</f>
        <v>0</v>
      </c>
      <c r="Q245" s="41"/>
      <c r="R245" s="23"/>
      <c r="XCY245"/>
      <c r="XCZ245"/>
      <c r="XDA245"/>
      <c r="XDB245"/>
      <c r="XDC245"/>
      <c r="XDD245"/>
      <c r="XDE245"/>
      <c r="XDF245"/>
      <c r="XDG245"/>
      <c r="XDH245"/>
      <c r="XDI245"/>
      <c r="XDJ245"/>
      <c r="XDK245"/>
      <c r="XDL245"/>
      <c r="XDM245"/>
      <c r="XDN245"/>
      <c r="XDO245"/>
      <c r="XDP245"/>
      <c r="XDQ245"/>
      <c r="XDR245"/>
      <c r="XDS245"/>
      <c r="XDT245"/>
      <c r="XDU245"/>
      <c r="XDV245"/>
      <c r="XDW245"/>
      <c r="XDX245"/>
      <c r="XDY245"/>
      <c r="XDZ245"/>
      <c r="XEA245"/>
      <c r="XEB245"/>
      <c r="XEC245"/>
      <c r="XED245"/>
      <c r="XEE245"/>
      <c r="XEF245"/>
      <c r="XEG245"/>
      <c r="XEH245"/>
      <c r="XEI245"/>
      <c r="XEJ245"/>
      <c r="XEK245"/>
      <c r="XEL245"/>
      <c r="XEM245"/>
      <c r="XEN245"/>
      <c r="XEO245"/>
      <c r="XEP245"/>
      <c r="XEQ245"/>
      <c r="XER245"/>
      <c r="XES245"/>
      <c r="XET245"/>
      <c r="XEU245"/>
      <c r="XEV245"/>
      <c r="XEW245"/>
      <c r="XEX245"/>
      <c r="XEY245"/>
      <c r="XEZ245"/>
      <c r="XFA245"/>
      <c r="XFB245"/>
      <c r="XFC245"/>
      <c r="XFD245"/>
    </row>
    <row r="246" spans="1:18 16327:16384" s="26" customFormat="1" ht="29.1" customHeight="1" outlineLevel="3" x14ac:dyDescent="0.25">
      <c r="A246" s="42" t="s">
        <v>438</v>
      </c>
      <c r="B246" s="43"/>
      <c r="C246" s="66" t="s">
        <v>439</v>
      </c>
      <c r="D246" s="66"/>
      <c r="E246" s="43" t="s">
        <v>34</v>
      </c>
      <c r="F246" s="44"/>
      <c r="G246" s="43" t="s">
        <v>31</v>
      </c>
      <c r="H246" s="45">
        <v>1</v>
      </c>
      <c r="I246" s="46">
        <f>91</f>
        <v>91</v>
      </c>
      <c r="J246" s="23"/>
      <c r="K246" s="47"/>
      <c r="L246" s="48"/>
      <c r="M246" s="49"/>
      <c r="N246" s="49">
        <f t="shared" si="8"/>
        <v>0</v>
      </c>
      <c r="O246" s="49"/>
      <c r="P246" s="49"/>
      <c r="Q246" s="49"/>
      <c r="R246" s="23"/>
      <c r="XCY246"/>
      <c r="XCZ246"/>
      <c r="XDA246"/>
      <c r="XDB246"/>
      <c r="XDC246"/>
      <c r="XDD246"/>
      <c r="XDE246"/>
      <c r="XDF246"/>
      <c r="XDG246"/>
      <c r="XDH246"/>
      <c r="XDI246"/>
      <c r="XDJ246"/>
      <c r="XDK246"/>
      <c r="XDL246"/>
      <c r="XDM246"/>
      <c r="XDN246"/>
      <c r="XDO246"/>
      <c r="XDP246"/>
      <c r="XDQ246"/>
      <c r="XDR246"/>
      <c r="XDS246"/>
      <c r="XDT246"/>
      <c r="XDU246"/>
      <c r="XDV246"/>
      <c r="XDW246"/>
      <c r="XDX246"/>
      <c r="XDY246"/>
      <c r="XDZ246"/>
      <c r="XEA246"/>
      <c r="XEB246"/>
      <c r="XEC246"/>
      <c r="XED246"/>
      <c r="XEE246"/>
      <c r="XEF246"/>
      <c r="XEG246"/>
      <c r="XEH246"/>
      <c r="XEI246"/>
      <c r="XEJ246"/>
      <c r="XEK246"/>
      <c r="XEL246"/>
      <c r="XEM246"/>
      <c r="XEN246"/>
      <c r="XEO246"/>
      <c r="XEP246"/>
      <c r="XEQ246"/>
      <c r="XER246"/>
      <c r="XES246"/>
      <c r="XET246"/>
      <c r="XEU246"/>
      <c r="XEV246"/>
      <c r="XEW246"/>
      <c r="XEX246"/>
      <c r="XEY246"/>
      <c r="XEZ246"/>
      <c r="XFA246"/>
      <c r="XFB246"/>
      <c r="XFC246"/>
      <c r="XFD246"/>
    </row>
    <row r="247" spans="1:18 16327:16384" s="26" customFormat="1" ht="29.1" customHeight="1" outlineLevel="2" x14ac:dyDescent="0.25">
      <c r="A247" s="34" t="s">
        <v>440</v>
      </c>
      <c r="B247" s="35"/>
      <c r="C247" s="65" t="s">
        <v>441</v>
      </c>
      <c r="D247" s="65"/>
      <c r="E247" s="35"/>
      <c r="F247" s="36"/>
      <c r="G247" s="35" t="s">
        <v>65</v>
      </c>
      <c r="H247" s="37"/>
      <c r="I247" s="38">
        <f>20</f>
        <v>20</v>
      </c>
      <c r="J247" s="23"/>
      <c r="K247" s="39"/>
      <c r="L247" s="40"/>
      <c r="M247" s="41"/>
      <c r="N247" s="41"/>
      <c r="O247" s="41"/>
      <c r="P247" s="41"/>
      <c r="Q247" s="41"/>
      <c r="R247" s="23"/>
      <c r="XCY247"/>
      <c r="XCZ247"/>
      <c r="XDA247"/>
      <c r="XDB247"/>
      <c r="XDC247"/>
      <c r="XDD247"/>
      <c r="XDE247"/>
      <c r="XDF247"/>
      <c r="XDG247"/>
      <c r="XDH247"/>
      <c r="XDI247"/>
      <c r="XDJ247"/>
      <c r="XDK247"/>
      <c r="XDL247"/>
      <c r="XDM247"/>
      <c r="XDN247"/>
      <c r="XDO247"/>
      <c r="XDP247"/>
      <c r="XDQ247"/>
      <c r="XDR247"/>
      <c r="XDS247"/>
      <c r="XDT247"/>
      <c r="XDU247"/>
      <c r="XDV247"/>
      <c r="XDW247"/>
      <c r="XDX247"/>
      <c r="XDY247"/>
      <c r="XDZ247"/>
      <c r="XEA247"/>
      <c r="XEB247"/>
      <c r="XEC247"/>
      <c r="XED247"/>
      <c r="XEE247"/>
      <c r="XEF247"/>
      <c r="XEG247"/>
      <c r="XEH247"/>
      <c r="XEI247"/>
      <c r="XEJ247"/>
      <c r="XEK247"/>
      <c r="XEL247"/>
      <c r="XEM247"/>
      <c r="XEN247"/>
      <c r="XEO247"/>
      <c r="XEP247"/>
      <c r="XEQ247"/>
      <c r="XER247"/>
      <c r="XES247"/>
      <c r="XET247"/>
      <c r="XEU247"/>
      <c r="XEV247"/>
      <c r="XEW247"/>
      <c r="XEX247"/>
      <c r="XEY247"/>
      <c r="XEZ247"/>
      <c r="XFA247"/>
      <c r="XFB247"/>
      <c r="XFC247"/>
      <c r="XFD247"/>
    </row>
    <row r="248" spans="1:18 16327:16384" s="26" customFormat="1" ht="29.1" customHeight="1" outlineLevel="3" x14ac:dyDescent="0.25">
      <c r="A248" s="42" t="s">
        <v>442</v>
      </c>
      <c r="B248" s="43"/>
      <c r="C248" s="66" t="s">
        <v>443</v>
      </c>
      <c r="D248" s="66"/>
      <c r="E248" s="43" t="s">
        <v>34</v>
      </c>
      <c r="F248" s="44"/>
      <c r="G248" s="43" t="s">
        <v>65</v>
      </c>
      <c r="H248" s="45">
        <v>1.02</v>
      </c>
      <c r="I248" s="46">
        <f>20.4</f>
        <v>20.399999999999999</v>
      </c>
      <c r="J248" s="23"/>
      <c r="K248" s="47"/>
      <c r="L248" s="48"/>
      <c r="M248" s="49"/>
      <c r="N248" s="49">
        <f t="shared" si="8"/>
        <v>0</v>
      </c>
      <c r="O248" s="49"/>
      <c r="P248" s="49"/>
      <c r="Q248" s="49"/>
      <c r="R248" s="23"/>
      <c r="XCY248"/>
      <c r="XCZ248"/>
      <c r="XDA248"/>
      <c r="XDB248"/>
      <c r="XDC248"/>
      <c r="XDD248"/>
      <c r="XDE248"/>
      <c r="XDF248"/>
      <c r="XDG248"/>
      <c r="XDH248"/>
      <c r="XDI248"/>
      <c r="XDJ248"/>
      <c r="XDK248"/>
      <c r="XDL248"/>
      <c r="XDM248"/>
      <c r="XDN248"/>
      <c r="XDO248"/>
      <c r="XDP248"/>
      <c r="XDQ248"/>
      <c r="XDR248"/>
      <c r="XDS248"/>
      <c r="XDT248"/>
      <c r="XDU248"/>
      <c r="XDV248"/>
      <c r="XDW248"/>
      <c r="XDX248"/>
      <c r="XDY248"/>
      <c r="XDZ248"/>
      <c r="XEA248"/>
      <c r="XEB248"/>
      <c r="XEC248"/>
      <c r="XED248"/>
      <c r="XEE248"/>
      <c r="XEF248"/>
      <c r="XEG248"/>
      <c r="XEH248"/>
      <c r="XEI248"/>
      <c r="XEJ248"/>
      <c r="XEK248"/>
      <c r="XEL248"/>
      <c r="XEM248"/>
      <c r="XEN248"/>
      <c r="XEO248"/>
      <c r="XEP248"/>
      <c r="XEQ248"/>
      <c r="XER248"/>
      <c r="XES248"/>
      <c r="XET248"/>
      <c r="XEU248"/>
      <c r="XEV248"/>
      <c r="XEW248"/>
      <c r="XEX248"/>
      <c r="XEY248"/>
      <c r="XEZ248"/>
      <c r="XFA248"/>
      <c r="XFB248"/>
      <c r="XFC248"/>
      <c r="XFD248"/>
    </row>
    <row r="249" spans="1:18 16327:16384" s="26" customFormat="1" ht="29.1" customHeight="1" outlineLevel="2" x14ac:dyDescent="0.25">
      <c r="A249" s="34" t="s">
        <v>444</v>
      </c>
      <c r="B249" s="35"/>
      <c r="C249" s="65" t="s">
        <v>64</v>
      </c>
      <c r="D249" s="65"/>
      <c r="E249" s="35"/>
      <c r="F249" s="36"/>
      <c r="G249" s="35" t="s">
        <v>65</v>
      </c>
      <c r="H249" s="37"/>
      <c r="I249" s="38">
        <f>452</f>
        <v>452</v>
      </c>
      <c r="J249" s="23"/>
      <c r="K249" s="39"/>
      <c r="L249" s="40"/>
      <c r="M249" s="41"/>
      <c r="N249" s="41"/>
      <c r="O249" s="41"/>
      <c r="P249" s="41"/>
      <c r="Q249" s="41"/>
      <c r="R249" s="23"/>
      <c r="XCY249"/>
      <c r="XCZ249"/>
      <c r="XDA249"/>
      <c r="XDB249"/>
      <c r="XDC249"/>
      <c r="XDD249"/>
      <c r="XDE249"/>
      <c r="XDF249"/>
      <c r="XDG249"/>
      <c r="XDH249"/>
      <c r="XDI249"/>
      <c r="XDJ249"/>
      <c r="XDK249"/>
      <c r="XDL249"/>
      <c r="XDM249"/>
      <c r="XDN249"/>
      <c r="XDO249"/>
      <c r="XDP249"/>
      <c r="XDQ249"/>
      <c r="XDR249"/>
      <c r="XDS249"/>
      <c r="XDT249"/>
      <c r="XDU249"/>
      <c r="XDV249"/>
      <c r="XDW249"/>
      <c r="XDX249"/>
      <c r="XDY249"/>
      <c r="XDZ249"/>
      <c r="XEA249"/>
      <c r="XEB249"/>
      <c r="XEC249"/>
      <c r="XED249"/>
      <c r="XEE249"/>
      <c r="XEF249"/>
      <c r="XEG249"/>
      <c r="XEH249"/>
      <c r="XEI249"/>
      <c r="XEJ249"/>
      <c r="XEK249"/>
      <c r="XEL249"/>
      <c r="XEM249"/>
      <c r="XEN249"/>
      <c r="XEO249"/>
      <c r="XEP249"/>
      <c r="XEQ249"/>
      <c r="XER249"/>
      <c r="XES249"/>
      <c r="XET249"/>
      <c r="XEU249"/>
      <c r="XEV249"/>
      <c r="XEW249"/>
      <c r="XEX249"/>
      <c r="XEY249"/>
      <c r="XEZ249"/>
      <c r="XFA249"/>
      <c r="XFB249"/>
      <c r="XFC249"/>
      <c r="XFD249"/>
    </row>
    <row r="250" spans="1:18 16327:16384" s="26" customFormat="1" ht="29.1" customHeight="1" outlineLevel="3" x14ac:dyDescent="0.25">
      <c r="A250" s="42" t="s">
        <v>445</v>
      </c>
      <c r="B250" s="43"/>
      <c r="C250" s="66" t="s">
        <v>446</v>
      </c>
      <c r="D250" s="66"/>
      <c r="E250" s="43" t="s">
        <v>34</v>
      </c>
      <c r="F250" s="44"/>
      <c r="G250" s="43" t="s">
        <v>65</v>
      </c>
      <c r="H250" s="45">
        <v>1.02</v>
      </c>
      <c r="I250" s="46">
        <f>461.04</f>
        <v>461.04</v>
      </c>
      <c r="J250" s="23"/>
      <c r="K250" s="47"/>
      <c r="L250" s="48"/>
      <c r="M250" s="49"/>
      <c r="N250" s="49">
        <f t="shared" si="8"/>
        <v>0</v>
      </c>
      <c r="O250" s="49"/>
      <c r="P250" s="49"/>
      <c r="Q250" s="49"/>
      <c r="R250" s="23"/>
      <c r="XCY250"/>
      <c r="XCZ250"/>
      <c r="XDA250"/>
      <c r="XDB250"/>
      <c r="XDC250"/>
      <c r="XDD250"/>
      <c r="XDE250"/>
      <c r="XDF250"/>
      <c r="XDG250"/>
      <c r="XDH250"/>
      <c r="XDI250"/>
      <c r="XDJ250"/>
      <c r="XDK250"/>
      <c r="XDL250"/>
      <c r="XDM250"/>
      <c r="XDN250"/>
      <c r="XDO250"/>
      <c r="XDP250"/>
      <c r="XDQ250"/>
      <c r="XDR250"/>
      <c r="XDS250"/>
      <c r="XDT250"/>
      <c r="XDU250"/>
      <c r="XDV250"/>
      <c r="XDW250"/>
      <c r="XDX250"/>
      <c r="XDY250"/>
      <c r="XDZ250"/>
      <c r="XEA250"/>
      <c r="XEB250"/>
      <c r="XEC250"/>
      <c r="XED250"/>
      <c r="XEE250"/>
      <c r="XEF250"/>
      <c r="XEG250"/>
      <c r="XEH250"/>
      <c r="XEI250"/>
      <c r="XEJ250"/>
      <c r="XEK250"/>
      <c r="XEL250"/>
      <c r="XEM250"/>
      <c r="XEN250"/>
      <c r="XEO250"/>
      <c r="XEP250"/>
      <c r="XEQ250"/>
      <c r="XER250"/>
      <c r="XES250"/>
      <c r="XET250"/>
      <c r="XEU250"/>
      <c r="XEV250"/>
      <c r="XEW250"/>
      <c r="XEX250"/>
      <c r="XEY250"/>
      <c r="XEZ250"/>
      <c r="XFA250"/>
      <c r="XFB250"/>
      <c r="XFC250"/>
      <c r="XFD250"/>
    </row>
    <row r="251" spans="1:18 16327:16384" s="26" customFormat="1" ht="29.1" customHeight="1" outlineLevel="2" x14ac:dyDescent="0.25">
      <c r="A251" s="34" t="s">
        <v>447</v>
      </c>
      <c r="B251" s="35"/>
      <c r="C251" s="65" t="s">
        <v>69</v>
      </c>
      <c r="D251" s="65"/>
      <c r="E251" s="35"/>
      <c r="F251" s="36"/>
      <c r="G251" s="35" t="s">
        <v>65</v>
      </c>
      <c r="H251" s="37"/>
      <c r="I251" s="38">
        <f>782</f>
        <v>782</v>
      </c>
      <c r="J251" s="23"/>
      <c r="K251" s="39"/>
      <c r="L251" s="40"/>
      <c r="M251" s="41"/>
      <c r="N251" s="41"/>
      <c r="O251" s="41"/>
      <c r="P251" s="41"/>
      <c r="Q251" s="41"/>
      <c r="R251" s="23"/>
      <c r="XCY251"/>
      <c r="XCZ251"/>
      <c r="XDA251"/>
      <c r="XDB251"/>
      <c r="XDC251"/>
      <c r="XDD251"/>
      <c r="XDE251"/>
      <c r="XDF251"/>
      <c r="XDG251"/>
      <c r="XDH251"/>
      <c r="XDI251"/>
      <c r="XDJ251"/>
      <c r="XDK251"/>
      <c r="XDL251"/>
      <c r="XDM251"/>
      <c r="XDN251"/>
      <c r="XDO251"/>
      <c r="XDP251"/>
      <c r="XDQ251"/>
      <c r="XDR251"/>
      <c r="XDS251"/>
      <c r="XDT251"/>
      <c r="XDU251"/>
      <c r="XDV251"/>
      <c r="XDW251"/>
      <c r="XDX251"/>
      <c r="XDY251"/>
      <c r="XDZ251"/>
      <c r="XEA251"/>
      <c r="XEB251"/>
      <c r="XEC251"/>
      <c r="XED251"/>
      <c r="XEE251"/>
      <c r="XEF251"/>
      <c r="XEG251"/>
      <c r="XEH251"/>
      <c r="XEI251"/>
      <c r="XEJ251"/>
      <c r="XEK251"/>
      <c r="XEL251"/>
      <c r="XEM251"/>
      <c r="XEN251"/>
      <c r="XEO251"/>
      <c r="XEP251"/>
      <c r="XEQ251"/>
      <c r="XER251"/>
      <c r="XES251"/>
      <c r="XET251"/>
      <c r="XEU251"/>
      <c r="XEV251"/>
      <c r="XEW251"/>
      <c r="XEX251"/>
      <c r="XEY251"/>
      <c r="XEZ251"/>
      <c r="XFA251"/>
      <c r="XFB251"/>
      <c r="XFC251"/>
      <c r="XFD251"/>
    </row>
    <row r="252" spans="1:18 16327:16384" s="26" customFormat="1" ht="29.1" customHeight="1" outlineLevel="3" x14ac:dyDescent="0.25">
      <c r="A252" s="42" t="s">
        <v>448</v>
      </c>
      <c r="B252" s="43"/>
      <c r="C252" s="66" t="s">
        <v>449</v>
      </c>
      <c r="D252" s="66"/>
      <c r="E252" s="43" t="s">
        <v>34</v>
      </c>
      <c r="F252" s="44"/>
      <c r="G252" s="43" t="s">
        <v>65</v>
      </c>
      <c r="H252" s="45">
        <v>1.02</v>
      </c>
      <c r="I252" s="46">
        <f>797.64</f>
        <v>797.64</v>
      </c>
      <c r="J252" s="23"/>
      <c r="K252" s="47"/>
      <c r="L252" s="48"/>
      <c r="M252" s="49"/>
      <c r="N252" s="49">
        <f t="shared" si="8"/>
        <v>0</v>
      </c>
      <c r="O252" s="49"/>
      <c r="P252" s="49"/>
      <c r="Q252" s="49"/>
      <c r="R252" s="23"/>
      <c r="XCY252"/>
      <c r="XCZ252"/>
      <c r="XDA252"/>
      <c r="XDB252"/>
      <c r="XDC252"/>
      <c r="XDD252"/>
      <c r="XDE252"/>
      <c r="XDF252"/>
      <c r="XDG252"/>
      <c r="XDH252"/>
      <c r="XDI252"/>
      <c r="XDJ252"/>
      <c r="XDK252"/>
      <c r="XDL252"/>
      <c r="XDM252"/>
      <c r="XDN252"/>
      <c r="XDO252"/>
      <c r="XDP252"/>
      <c r="XDQ252"/>
      <c r="XDR252"/>
      <c r="XDS252"/>
      <c r="XDT252"/>
      <c r="XDU252"/>
      <c r="XDV252"/>
      <c r="XDW252"/>
      <c r="XDX252"/>
      <c r="XDY252"/>
      <c r="XDZ252"/>
      <c r="XEA252"/>
      <c r="XEB252"/>
      <c r="XEC252"/>
      <c r="XED252"/>
      <c r="XEE252"/>
      <c r="XEF252"/>
      <c r="XEG252"/>
      <c r="XEH252"/>
      <c r="XEI252"/>
      <c r="XEJ252"/>
      <c r="XEK252"/>
      <c r="XEL252"/>
      <c r="XEM252"/>
      <c r="XEN252"/>
      <c r="XEO252"/>
      <c r="XEP252"/>
      <c r="XEQ252"/>
      <c r="XER252"/>
      <c r="XES252"/>
      <c r="XET252"/>
      <c r="XEU252"/>
      <c r="XEV252"/>
      <c r="XEW252"/>
      <c r="XEX252"/>
      <c r="XEY252"/>
      <c r="XEZ252"/>
      <c r="XFA252"/>
      <c r="XFB252"/>
      <c r="XFC252"/>
      <c r="XFD252"/>
    </row>
    <row r="253" spans="1:18 16327:16384" s="26" customFormat="1" ht="29.1" customHeight="1" outlineLevel="2" x14ac:dyDescent="0.25">
      <c r="A253" s="34" t="s">
        <v>450</v>
      </c>
      <c r="B253" s="35"/>
      <c r="C253" s="65" t="s">
        <v>64</v>
      </c>
      <c r="D253" s="65"/>
      <c r="E253" s="35"/>
      <c r="F253" s="36"/>
      <c r="G253" s="35" t="s">
        <v>65</v>
      </c>
      <c r="H253" s="37"/>
      <c r="I253" s="38">
        <f>30</f>
        <v>30</v>
      </c>
      <c r="J253" s="23"/>
      <c r="K253" s="39"/>
      <c r="L253" s="40"/>
      <c r="M253" s="41"/>
      <c r="N253" s="41"/>
      <c r="O253" s="41"/>
      <c r="P253" s="41"/>
      <c r="Q253" s="41"/>
      <c r="R253" s="23"/>
      <c r="XCY253"/>
      <c r="XCZ253"/>
      <c r="XDA253"/>
      <c r="XDB253"/>
      <c r="XDC253"/>
      <c r="XDD253"/>
      <c r="XDE253"/>
      <c r="XDF253"/>
      <c r="XDG253"/>
      <c r="XDH253"/>
      <c r="XDI253"/>
      <c r="XDJ253"/>
      <c r="XDK253"/>
      <c r="XDL253"/>
      <c r="XDM253"/>
      <c r="XDN253"/>
      <c r="XDO253"/>
      <c r="XDP253"/>
      <c r="XDQ253"/>
      <c r="XDR253"/>
      <c r="XDS253"/>
      <c r="XDT253"/>
      <c r="XDU253"/>
      <c r="XDV253"/>
      <c r="XDW253"/>
      <c r="XDX253"/>
      <c r="XDY253"/>
      <c r="XDZ253"/>
      <c r="XEA253"/>
      <c r="XEB253"/>
      <c r="XEC253"/>
      <c r="XED253"/>
      <c r="XEE253"/>
      <c r="XEF253"/>
      <c r="XEG253"/>
      <c r="XEH253"/>
      <c r="XEI253"/>
      <c r="XEJ253"/>
      <c r="XEK253"/>
      <c r="XEL253"/>
      <c r="XEM253"/>
      <c r="XEN253"/>
      <c r="XEO253"/>
      <c r="XEP253"/>
      <c r="XEQ253"/>
      <c r="XER253"/>
      <c r="XES253"/>
      <c r="XET253"/>
      <c r="XEU253"/>
      <c r="XEV253"/>
      <c r="XEW253"/>
      <c r="XEX253"/>
      <c r="XEY253"/>
      <c r="XEZ253"/>
      <c r="XFA253"/>
      <c r="XFB253"/>
      <c r="XFC253"/>
      <c r="XFD253"/>
    </row>
    <row r="254" spans="1:18 16327:16384" s="26" customFormat="1" ht="29.1" customHeight="1" outlineLevel="3" x14ac:dyDescent="0.25">
      <c r="A254" s="42" t="s">
        <v>451</v>
      </c>
      <c r="B254" s="43"/>
      <c r="C254" s="66" t="s">
        <v>452</v>
      </c>
      <c r="D254" s="66"/>
      <c r="E254" s="43" t="s">
        <v>34</v>
      </c>
      <c r="F254" s="44"/>
      <c r="G254" s="43" t="s">
        <v>65</v>
      </c>
      <c r="H254" s="45">
        <v>1.02</v>
      </c>
      <c r="I254" s="46">
        <f>30.6</f>
        <v>30.6</v>
      </c>
      <c r="J254" s="23"/>
      <c r="K254" s="47"/>
      <c r="L254" s="48"/>
      <c r="M254" s="49"/>
      <c r="N254" s="49">
        <f t="shared" si="8"/>
        <v>0</v>
      </c>
      <c r="O254" s="49"/>
      <c r="P254" s="49"/>
      <c r="Q254" s="49"/>
      <c r="R254" s="23"/>
      <c r="XCY254"/>
      <c r="XCZ254"/>
      <c r="XDA254"/>
      <c r="XDB254"/>
      <c r="XDC254"/>
      <c r="XDD254"/>
      <c r="XDE254"/>
      <c r="XDF254"/>
      <c r="XDG254"/>
      <c r="XDH254"/>
      <c r="XDI254"/>
      <c r="XDJ254"/>
      <c r="XDK254"/>
      <c r="XDL254"/>
      <c r="XDM254"/>
      <c r="XDN254"/>
      <c r="XDO254"/>
      <c r="XDP254"/>
      <c r="XDQ254"/>
      <c r="XDR254"/>
      <c r="XDS254"/>
      <c r="XDT254"/>
      <c r="XDU254"/>
      <c r="XDV254"/>
      <c r="XDW254"/>
      <c r="XDX254"/>
      <c r="XDY254"/>
      <c r="XDZ254"/>
      <c r="XEA254"/>
      <c r="XEB254"/>
      <c r="XEC254"/>
      <c r="XED254"/>
      <c r="XEE254"/>
      <c r="XEF254"/>
      <c r="XEG254"/>
      <c r="XEH254"/>
      <c r="XEI254"/>
      <c r="XEJ254"/>
      <c r="XEK254"/>
      <c r="XEL254"/>
      <c r="XEM254"/>
      <c r="XEN254"/>
      <c r="XEO254"/>
      <c r="XEP254"/>
      <c r="XEQ254"/>
      <c r="XER254"/>
      <c r="XES254"/>
      <c r="XET254"/>
      <c r="XEU254"/>
      <c r="XEV254"/>
      <c r="XEW254"/>
      <c r="XEX254"/>
      <c r="XEY254"/>
      <c r="XEZ254"/>
      <c r="XFA254"/>
      <c r="XFB254"/>
      <c r="XFC254"/>
      <c r="XFD254"/>
    </row>
    <row r="255" spans="1:18 16327:16384" s="26" customFormat="1" ht="29.1" customHeight="1" outlineLevel="2" x14ac:dyDescent="0.25">
      <c r="A255" s="34" t="s">
        <v>453</v>
      </c>
      <c r="B255" s="35"/>
      <c r="C255" s="65" t="s">
        <v>454</v>
      </c>
      <c r="D255" s="65"/>
      <c r="E255" s="35"/>
      <c r="F255" s="36"/>
      <c r="G255" s="35" t="s">
        <v>65</v>
      </c>
      <c r="H255" s="37"/>
      <c r="I255" s="38">
        <f>782</f>
        <v>782</v>
      </c>
      <c r="J255" s="23"/>
      <c r="K255" s="39"/>
      <c r="L255" s="40"/>
      <c r="M255" s="41">
        <f>K255+L255</f>
        <v>0</v>
      </c>
      <c r="N255" s="41">
        <f t="shared" si="8"/>
        <v>0</v>
      </c>
      <c r="O255" s="41">
        <f>ROUND((I255*L255),2)</f>
        <v>0</v>
      </c>
      <c r="P255" s="41">
        <f>ROUND((I255*M255),2)</f>
        <v>0</v>
      </c>
      <c r="Q255" s="41"/>
      <c r="R255" s="23"/>
      <c r="XCY255"/>
      <c r="XCZ255"/>
      <c r="XDA255"/>
      <c r="XDB255"/>
      <c r="XDC255"/>
      <c r="XDD255"/>
      <c r="XDE255"/>
      <c r="XDF255"/>
      <c r="XDG255"/>
      <c r="XDH255"/>
      <c r="XDI255"/>
      <c r="XDJ255"/>
      <c r="XDK255"/>
      <c r="XDL255"/>
      <c r="XDM255"/>
      <c r="XDN255"/>
      <c r="XDO255"/>
      <c r="XDP255"/>
      <c r="XDQ255"/>
      <c r="XDR255"/>
      <c r="XDS255"/>
      <c r="XDT255"/>
      <c r="XDU255"/>
      <c r="XDV255"/>
      <c r="XDW255"/>
      <c r="XDX255"/>
      <c r="XDY255"/>
      <c r="XDZ255"/>
      <c r="XEA255"/>
      <c r="XEB255"/>
      <c r="XEC255"/>
      <c r="XED255"/>
      <c r="XEE255"/>
      <c r="XEF255"/>
      <c r="XEG255"/>
      <c r="XEH255"/>
      <c r="XEI255"/>
      <c r="XEJ255"/>
      <c r="XEK255"/>
      <c r="XEL255"/>
      <c r="XEM255"/>
      <c r="XEN255"/>
      <c r="XEO255"/>
      <c r="XEP255"/>
      <c r="XEQ255"/>
      <c r="XER255"/>
      <c r="XES255"/>
      <c r="XET255"/>
      <c r="XEU255"/>
      <c r="XEV255"/>
      <c r="XEW255"/>
      <c r="XEX255"/>
      <c r="XEY255"/>
      <c r="XEZ255"/>
      <c r="XFA255"/>
      <c r="XFB255"/>
      <c r="XFC255"/>
      <c r="XFD255"/>
    </row>
    <row r="256" spans="1:18 16327:16384" s="26" customFormat="1" ht="29.1" customHeight="1" outlineLevel="3" x14ac:dyDescent="0.25">
      <c r="A256" s="42" t="s">
        <v>455</v>
      </c>
      <c r="B256" s="43"/>
      <c r="C256" s="66" t="s">
        <v>456</v>
      </c>
      <c r="D256" s="66"/>
      <c r="E256" s="43" t="s">
        <v>34</v>
      </c>
      <c r="F256" s="44"/>
      <c r="G256" s="43" t="s">
        <v>65</v>
      </c>
      <c r="H256" s="45">
        <v>1.012</v>
      </c>
      <c r="I256" s="46">
        <f>791.384</f>
        <v>791.38400000000001</v>
      </c>
      <c r="J256" s="23"/>
      <c r="K256" s="47"/>
      <c r="L256" s="48"/>
      <c r="M256" s="49"/>
      <c r="N256" s="49">
        <f t="shared" si="8"/>
        <v>0</v>
      </c>
      <c r="O256" s="49"/>
      <c r="P256" s="49"/>
      <c r="Q256" s="49"/>
      <c r="R256" s="23"/>
      <c r="XCY256"/>
      <c r="XCZ256"/>
      <c r="XDA256"/>
      <c r="XDB256"/>
      <c r="XDC256"/>
      <c r="XDD256"/>
      <c r="XDE256"/>
      <c r="XDF256"/>
      <c r="XDG256"/>
      <c r="XDH256"/>
      <c r="XDI256"/>
      <c r="XDJ256"/>
      <c r="XDK256"/>
      <c r="XDL256"/>
      <c r="XDM256"/>
      <c r="XDN256"/>
      <c r="XDO256"/>
      <c r="XDP256"/>
      <c r="XDQ256"/>
      <c r="XDR256"/>
      <c r="XDS256"/>
      <c r="XDT256"/>
      <c r="XDU256"/>
      <c r="XDV256"/>
      <c r="XDW256"/>
      <c r="XDX256"/>
      <c r="XDY256"/>
      <c r="XDZ256"/>
      <c r="XEA256"/>
      <c r="XEB256"/>
      <c r="XEC256"/>
      <c r="XED256"/>
      <c r="XEE256"/>
      <c r="XEF256"/>
      <c r="XEG256"/>
      <c r="XEH256"/>
      <c r="XEI256"/>
      <c r="XEJ256"/>
      <c r="XEK256"/>
      <c r="XEL256"/>
      <c r="XEM256"/>
      <c r="XEN256"/>
      <c r="XEO256"/>
      <c r="XEP256"/>
      <c r="XEQ256"/>
      <c r="XER256"/>
      <c r="XES256"/>
      <c r="XET256"/>
      <c r="XEU256"/>
      <c r="XEV256"/>
      <c r="XEW256"/>
      <c r="XEX256"/>
      <c r="XEY256"/>
      <c r="XEZ256"/>
      <c r="XFA256"/>
      <c r="XFB256"/>
      <c r="XFC256"/>
      <c r="XFD256"/>
    </row>
    <row r="257" spans="1:18 16327:16384" s="26" customFormat="1" ht="29.1" customHeight="1" outlineLevel="3" x14ac:dyDescent="0.25">
      <c r="A257" s="42" t="s">
        <v>457</v>
      </c>
      <c r="B257" s="43"/>
      <c r="C257" s="66" t="s">
        <v>458</v>
      </c>
      <c r="D257" s="66"/>
      <c r="E257" s="43" t="s">
        <v>34</v>
      </c>
      <c r="F257" s="44"/>
      <c r="G257" s="43" t="s">
        <v>31</v>
      </c>
      <c r="H257" s="45">
        <v>1</v>
      </c>
      <c r="I257" s="46">
        <f>1564</f>
        <v>1564</v>
      </c>
      <c r="J257" s="23"/>
      <c r="K257" s="47"/>
      <c r="L257" s="48"/>
      <c r="M257" s="49"/>
      <c r="N257" s="49">
        <f t="shared" si="8"/>
        <v>0</v>
      </c>
      <c r="O257" s="49"/>
      <c r="P257" s="49"/>
      <c r="Q257" s="49"/>
      <c r="R257" s="23"/>
      <c r="XCY257"/>
      <c r="XCZ257"/>
      <c r="XDA257"/>
      <c r="XDB257"/>
      <c r="XDC257"/>
      <c r="XDD257"/>
      <c r="XDE257"/>
      <c r="XDF257"/>
      <c r="XDG257"/>
      <c r="XDH257"/>
      <c r="XDI257"/>
      <c r="XDJ257"/>
      <c r="XDK257"/>
      <c r="XDL257"/>
      <c r="XDM257"/>
      <c r="XDN257"/>
      <c r="XDO257"/>
      <c r="XDP257"/>
      <c r="XDQ257"/>
      <c r="XDR257"/>
      <c r="XDS257"/>
      <c r="XDT257"/>
      <c r="XDU257"/>
      <c r="XDV257"/>
      <c r="XDW257"/>
      <c r="XDX257"/>
      <c r="XDY257"/>
      <c r="XDZ257"/>
      <c r="XEA257"/>
      <c r="XEB257"/>
      <c r="XEC257"/>
      <c r="XED257"/>
      <c r="XEE257"/>
      <c r="XEF257"/>
      <c r="XEG257"/>
      <c r="XEH257"/>
      <c r="XEI257"/>
      <c r="XEJ257"/>
      <c r="XEK257"/>
      <c r="XEL257"/>
      <c r="XEM257"/>
      <c r="XEN257"/>
      <c r="XEO257"/>
      <c r="XEP257"/>
      <c r="XEQ257"/>
      <c r="XER257"/>
      <c r="XES257"/>
      <c r="XET257"/>
      <c r="XEU257"/>
      <c r="XEV257"/>
      <c r="XEW257"/>
      <c r="XEX257"/>
      <c r="XEY257"/>
      <c r="XEZ257"/>
      <c r="XFA257"/>
      <c r="XFB257"/>
      <c r="XFC257"/>
      <c r="XFD257"/>
    </row>
    <row r="258" spans="1:18 16327:16384" s="26" customFormat="1" ht="29.1" customHeight="1" outlineLevel="2" x14ac:dyDescent="0.25">
      <c r="A258" s="34" t="s">
        <v>459</v>
      </c>
      <c r="B258" s="35"/>
      <c r="C258" s="65" t="s">
        <v>278</v>
      </c>
      <c r="D258" s="65"/>
      <c r="E258" s="35"/>
      <c r="F258" s="36"/>
      <c r="G258" s="35" t="s">
        <v>31</v>
      </c>
      <c r="H258" s="37"/>
      <c r="I258" s="38">
        <f>20</f>
        <v>20</v>
      </c>
      <c r="J258" s="23"/>
      <c r="K258" s="39"/>
      <c r="L258" s="40"/>
      <c r="M258" s="41">
        <f>K258+L258</f>
        <v>0</v>
      </c>
      <c r="N258" s="41">
        <f t="shared" si="8"/>
        <v>0</v>
      </c>
      <c r="O258" s="41">
        <f>ROUND((I258*L258),2)</f>
        <v>0</v>
      </c>
      <c r="P258" s="41">
        <f>ROUND((I258*M258),2)</f>
        <v>0</v>
      </c>
      <c r="Q258" s="41"/>
      <c r="R258" s="23"/>
      <c r="XCY258"/>
      <c r="XCZ258"/>
      <c r="XDA258"/>
      <c r="XDB258"/>
      <c r="XDC258"/>
      <c r="XDD258"/>
      <c r="XDE258"/>
      <c r="XDF258"/>
      <c r="XDG258"/>
      <c r="XDH258"/>
      <c r="XDI258"/>
      <c r="XDJ258"/>
      <c r="XDK258"/>
      <c r="XDL258"/>
      <c r="XDM258"/>
      <c r="XDN258"/>
      <c r="XDO258"/>
      <c r="XDP258"/>
      <c r="XDQ258"/>
      <c r="XDR258"/>
      <c r="XDS258"/>
      <c r="XDT258"/>
      <c r="XDU258"/>
      <c r="XDV258"/>
      <c r="XDW258"/>
      <c r="XDX258"/>
      <c r="XDY258"/>
      <c r="XDZ258"/>
      <c r="XEA258"/>
      <c r="XEB258"/>
      <c r="XEC258"/>
      <c r="XED258"/>
      <c r="XEE258"/>
      <c r="XEF258"/>
      <c r="XEG258"/>
      <c r="XEH258"/>
      <c r="XEI258"/>
      <c r="XEJ258"/>
      <c r="XEK258"/>
      <c r="XEL258"/>
      <c r="XEM258"/>
      <c r="XEN258"/>
      <c r="XEO258"/>
      <c r="XEP258"/>
      <c r="XEQ258"/>
      <c r="XER258"/>
      <c r="XES258"/>
      <c r="XET258"/>
      <c r="XEU258"/>
      <c r="XEV258"/>
      <c r="XEW258"/>
      <c r="XEX258"/>
      <c r="XEY258"/>
      <c r="XEZ258"/>
      <c r="XFA258"/>
      <c r="XFB258"/>
      <c r="XFC258"/>
      <c r="XFD258"/>
    </row>
    <row r="259" spans="1:18 16327:16384" s="26" customFormat="1" ht="29.1" customHeight="1" outlineLevel="3" x14ac:dyDescent="0.25">
      <c r="A259" s="42" t="s">
        <v>460</v>
      </c>
      <c r="B259" s="43"/>
      <c r="C259" s="66" t="s">
        <v>461</v>
      </c>
      <c r="D259" s="66"/>
      <c r="E259" s="43" t="s">
        <v>34</v>
      </c>
      <c r="F259" s="44"/>
      <c r="G259" s="43" t="s">
        <v>65</v>
      </c>
      <c r="H259" s="45">
        <v>1</v>
      </c>
      <c r="I259" s="46">
        <f>5</f>
        <v>5</v>
      </c>
      <c r="J259" s="23"/>
      <c r="K259" s="47"/>
      <c r="L259" s="48"/>
      <c r="M259" s="49"/>
      <c r="N259" s="49">
        <f t="shared" si="8"/>
        <v>0</v>
      </c>
      <c r="O259" s="49"/>
      <c r="P259" s="49"/>
      <c r="Q259" s="49"/>
      <c r="R259" s="23"/>
      <c r="XCY259"/>
      <c r="XCZ259"/>
      <c r="XDA259"/>
      <c r="XDB259"/>
      <c r="XDC259"/>
      <c r="XDD259"/>
      <c r="XDE259"/>
      <c r="XDF259"/>
      <c r="XDG259"/>
      <c r="XDH259"/>
      <c r="XDI259"/>
      <c r="XDJ259"/>
      <c r="XDK259"/>
      <c r="XDL259"/>
      <c r="XDM259"/>
      <c r="XDN259"/>
      <c r="XDO259"/>
      <c r="XDP259"/>
      <c r="XDQ259"/>
      <c r="XDR259"/>
      <c r="XDS259"/>
      <c r="XDT259"/>
      <c r="XDU259"/>
      <c r="XDV259"/>
      <c r="XDW259"/>
      <c r="XDX259"/>
      <c r="XDY259"/>
      <c r="XDZ259"/>
      <c r="XEA259"/>
      <c r="XEB259"/>
      <c r="XEC259"/>
      <c r="XED259"/>
      <c r="XEE259"/>
      <c r="XEF259"/>
      <c r="XEG259"/>
      <c r="XEH259"/>
      <c r="XEI259"/>
      <c r="XEJ259"/>
      <c r="XEK259"/>
      <c r="XEL259"/>
      <c r="XEM259"/>
      <c r="XEN259"/>
      <c r="XEO259"/>
      <c r="XEP259"/>
      <c r="XEQ259"/>
      <c r="XER259"/>
      <c r="XES259"/>
      <c r="XET259"/>
      <c r="XEU259"/>
      <c r="XEV259"/>
      <c r="XEW259"/>
      <c r="XEX259"/>
      <c r="XEY259"/>
      <c r="XEZ259"/>
      <c r="XFA259"/>
      <c r="XFB259"/>
      <c r="XFC259"/>
      <c r="XFD259"/>
    </row>
    <row r="260" spans="1:18 16327:16384" s="26" customFormat="1" ht="29.1" customHeight="1" outlineLevel="3" x14ac:dyDescent="0.25">
      <c r="A260" s="42" t="s">
        <v>462</v>
      </c>
      <c r="B260" s="43"/>
      <c r="C260" s="66" t="s">
        <v>463</v>
      </c>
      <c r="D260" s="66"/>
      <c r="E260" s="43" t="s">
        <v>34</v>
      </c>
      <c r="F260" s="44"/>
      <c r="G260" s="43" t="s">
        <v>31</v>
      </c>
      <c r="H260" s="45">
        <v>1</v>
      </c>
      <c r="I260" s="46">
        <f>2</f>
        <v>2</v>
      </c>
      <c r="J260" s="23"/>
      <c r="K260" s="47"/>
      <c r="L260" s="48"/>
      <c r="M260" s="49"/>
      <c r="N260" s="49">
        <f t="shared" si="8"/>
        <v>0</v>
      </c>
      <c r="O260" s="49"/>
      <c r="P260" s="49"/>
      <c r="Q260" s="49"/>
      <c r="R260" s="23"/>
      <c r="XCY260"/>
      <c r="XCZ260"/>
      <c r="XDA260"/>
      <c r="XDB260"/>
      <c r="XDC260"/>
      <c r="XDD260"/>
      <c r="XDE260"/>
      <c r="XDF260"/>
      <c r="XDG260"/>
      <c r="XDH260"/>
      <c r="XDI260"/>
      <c r="XDJ260"/>
      <c r="XDK260"/>
      <c r="XDL260"/>
      <c r="XDM260"/>
      <c r="XDN260"/>
      <c r="XDO260"/>
      <c r="XDP260"/>
      <c r="XDQ260"/>
      <c r="XDR260"/>
      <c r="XDS260"/>
      <c r="XDT260"/>
      <c r="XDU260"/>
      <c r="XDV260"/>
      <c r="XDW260"/>
      <c r="XDX260"/>
      <c r="XDY260"/>
      <c r="XDZ260"/>
      <c r="XEA260"/>
      <c r="XEB260"/>
      <c r="XEC260"/>
      <c r="XED260"/>
      <c r="XEE260"/>
      <c r="XEF260"/>
      <c r="XEG260"/>
      <c r="XEH260"/>
      <c r="XEI260"/>
      <c r="XEJ260"/>
      <c r="XEK260"/>
      <c r="XEL260"/>
      <c r="XEM260"/>
      <c r="XEN260"/>
      <c r="XEO260"/>
      <c r="XEP260"/>
      <c r="XEQ260"/>
      <c r="XER260"/>
      <c r="XES260"/>
      <c r="XET260"/>
      <c r="XEU260"/>
      <c r="XEV260"/>
      <c r="XEW260"/>
      <c r="XEX260"/>
      <c r="XEY260"/>
      <c r="XEZ260"/>
      <c r="XFA260"/>
      <c r="XFB260"/>
      <c r="XFC260"/>
      <c r="XFD260"/>
    </row>
    <row r="261" spans="1:18 16327:16384" s="26" customFormat="1" ht="29.1" customHeight="1" outlineLevel="2" x14ac:dyDescent="0.25">
      <c r="A261" s="34" t="s">
        <v>464</v>
      </c>
      <c r="B261" s="35"/>
      <c r="C261" s="65" t="s">
        <v>465</v>
      </c>
      <c r="D261" s="65"/>
      <c r="E261" s="35"/>
      <c r="F261" s="36"/>
      <c r="G261" s="35" t="s">
        <v>90</v>
      </c>
      <c r="H261" s="37">
        <v>1</v>
      </c>
      <c r="I261" s="38">
        <f>1</f>
        <v>1</v>
      </c>
      <c r="J261" s="23"/>
      <c r="K261" s="39"/>
      <c r="L261" s="40"/>
      <c r="M261" s="41">
        <f>K261+L261</f>
        <v>0</v>
      </c>
      <c r="N261" s="41">
        <f t="shared" si="8"/>
        <v>0</v>
      </c>
      <c r="O261" s="41">
        <f>ROUND((I261*L261),2)</f>
        <v>0</v>
      </c>
      <c r="P261" s="41">
        <f>ROUND((I261*M261),2)</f>
        <v>0</v>
      </c>
      <c r="Q261" s="41"/>
      <c r="R261" s="23"/>
      <c r="XCY261"/>
      <c r="XCZ261"/>
      <c r="XDA261"/>
      <c r="XDB261"/>
      <c r="XDC261"/>
      <c r="XDD261"/>
      <c r="XDE261"/>
      <c r="XDF261"/>
      <c r="XDG261"/>
      <c r="XDH261"/>
      <c r="XDI261"/>
      <c r="XDJ261"/>
      <c r="XDK261"/>
      <c r="XDL261"/>
      <c r="XDM261"/>
      <c r="XDN261"/>
      <c r="XDO261"/>
      <c r="XDP261"/>
      <c r="XDQ261"/>
      <c r="XDR261"/>
      <c r="XDS261"/>
      <c r="XDT261"/>
      <c r="XDU261"/>
      <c r="XDV261"/>
      <c r="XDW261"/>
      <c r="XDX261"/>
      <c r="XDY261"/>
      <c r="XDZ261"/>
      <c r="XEA261"/>
      <c r="XEB261"/>
      <c r="XEC261"/>
      <c r="XED261"/>
      <c r="XEE261"/>
      <c r="XEF261"/>
      <c r="XEG261"/>
      <c r="XEH261"/>
      <c r="XEI261"/>
      <c r="XEJ261"/>
      <c r="XEK261"/>
      <c r="XEL261"/>
      <c r="XEM261"/>
      <c r="XEN261"/>
      <c r="XEO261"/>
      <c r="XEP261"/>
      <c r="XEQ261"/>
      <c r="XER261"/>
      <c r="XES261"/>
      <c r="XET261"/>
      <c r="XEU261"/>
      <c r="XEV261"/>
      <c r="XEW261"/>
      <c r="XEX261"/>
      <c r="XEY261"/>
      <c r="XEZ261"/>
      <c r="XFA261"/>
      <c r="XFB261"/>
      <c r="XFC261"/>
      <c r="XFD261"/>
    </row>
    <row r="262" spans="1:18 16327:16384" s="26" customFormat="1" ht="29.1" customHeight="1" outlineLevel="1" x14ac:dyDescent="0.25">
      <c r="A262" s="27" t="s">
        <v>466</v>
      </c>
      <c r="B262" s="28" t="s">
        <v>43</v>
      </c>
      <c r="C262" s="69" t="s">
        <v>467</v>
      </c>
      <c r="D262" s="69"/>
      <c r="E262" s="28"/>
      <c r="F262" s="29"/>
      <c r="G262" s="28"/>
      <c r="H262" s="30"/>
      <c r="I262" s="31"/>
      <c r="J262" s="23"/>
      <c r="K262" s="32"/>
      <c r="L262" s="32"/>
      <c r="M262" s="32"/>
      <c r="N262" s="32">
        <f>N263+N265+N267+N269+N271+N273+N275+N277+N280+N282+N284+N286+N288+N292+N294+N296+N298+N300+N302+N304+N306+N308+N310+N312+N314+N316+N318+N320+N322+N324+N326+N328+N330+N332+N334+N336+N338+N340+N343+N346+N349</f>
        <v>0</v>
      </c>
      <c r="O262" s="32">
        <f>O263+O265+O267+O269+O271+O273+O275+O277+O280+O282+O284+O286+O288+O292+O294+O296+O298+O300+O302+O304+O306+O308+O310+O312+O314+O316+O318+O320+O322+O324+O326+O328+O330+O332+O334+O336+O338+O340+O343+O346+O349</f>
        <v>0</v>
      </c>
      <c r="P262" s="32">
        <f>P263+P265+P267+P269+P271+P273+P275+P277+P280+P282+P284+P286+P288+P292+P294+P296+P298+P300+P302+P304+P306+P308+P310+P312+P314+P316+P318+P320+P322+P324+P326+P328+P330+P332+P334+P336+P338+P340+P343+P346+P349</f>
        <v>0</v>
      </c>
      <c r="Q262" s="33"/>
      <c r="R262" s="23"/>
      <c r="XCY262"/>
      <c r="XCZ262"/>
      <c r="XDA262"/>
      <c r="XDB262"/>
      <c r="XDC262"/>
      <c r="XDD262"/>
      <c r="XDE262"/>
      <c r="XDF262"/>
      <c r="XDG262"/>
      <c r="XDH262"/>
      <c r="XDI262"/>
      <c r="XDJ262"/>
      <c r="XDK262"/>
      <c r="XDL262"/>
      <c r="XDM262"/>
      <c r="XDN262"/>
      <c r="XDO262"/>
      <c r="XDP262"/>
      <c r="XDQ262"/>
      <c r="XDR262"/>
      <c r="XDS262"/>
      <c r="XDT262"/>
      <c r="XDU262"/>
      <c r="XDV262"/>
      <c r="XDW262"/>
      <c r="XDX262"/>
      <c r="XDY262"/>
      <c r="XDZ262"/>
      <c r="XEA262"/>
      <c r="XEB262"/>
      <c r="XEC262"/>
      <c r="XED262"/>
      <c r="XEE262"/>
      <c r="XEF262"/>
      <c r="XEG262"/>
      <c r="XEH262"/>
      <c r="XEI262"/>
      <c r="XEJ262"/>
      <c r="XEK262"/>
      <c r="XEL262"/>
      <c r="XEM262"/>
      <c r="XEN262"/>
      <c r="XEO262"/>
      <c r="XEP262"/>
      <c r="XEQ262"/>
      <c r="XER262"/>
      <c r="XES262"/>
      <c r="XET262"/>
      <c r="XEU262"/>
      <c r="XEV262"/>
      <c r="XEW262"/>
      <c r="XEX262"/>
      <c r="XEY262"/>
      <c r="XEZ262"/>
      <c r="XFA262"/>
      <c r="XFB262"/>
      <c r="XFC262"/>
      <c r="XFD262"/>
    </row>
    <row r="263" spans="1:18 16327:16384" s="26" customFormat="1" ht="29.1" customHeight="1" outlineLevel="2" x14ac:dyDescent="0.25">
      <c r="A263" s="34" t="s">
        <v>468</v>
      </c>
      <c r="B263" s="35"/>
      <c r="C263" s="65" t="s">
        <v>469</v>
      </c>
      <c r="D263" s="65"/>
      <c r="E263" s="35"/>
      <c r="F263" s="36" t="s">
        <v>470</v>
      </c>
      <c r="G263" s="35" t="s">
        <v>31</v>
      </c>
      <c r="H263" s="37"/>
      <c r="I263" s="38">
        <f>9</f>
        <v>9</v>
      </c>
      <c r="J263" s="23"/>
      <c r="K263" s="39"/>
      <c r="L263" s="40"/>
      <c r="M263" s="41">
        <f>K263+L263</f>
        <v>0</v>
      </c>
      <c r="N263" s="41">
        <f t="shared" ref="N263:N294" si="9">ROUND((I263*K263),2)</f>
        <v>0</v>
      </c>
      <c r="O263" s="41">
        <f>ROUND((I263*L263),2)</f>
        <v>0</v>
      </c>
      <c r="P263" s="41">
        <f>ROUND((I263*M263),2)</f>
        <v>0</v>
      </c>
      <c r="Q263" s="41"/>
      <c r="R263" s="23"/>
      <c r="XCY263"/>
      <c r="XCZ263"/>
      <c r="XDA263"/>
      <c r="XDB263"/>
      <c r="XDC263"/>
      <c r="XDD263"/>
      <c r="XDE263"/>
      <c r="XDF263"/>
      <c r="XDG263"/>
      <c r="XDH263"/>
      <c r="XDI263"/>
      <c r="XDJ263"/>
      <c r="XDK263"/>
      <c r="XDL263"/>
      <c r="XDM263"/>
      <c r="XDN263"/>
      <c r="XDO263"/>
      <c r="XDP263"/>
      <c r="XDQ263"/>
      <c r="XDR263"/>
      <c r="XDS263"/>
      <c r="XDT263"/>
      <c r="XDU263"/>
      <c r="XDV263"/>
      <c r="XDW263"/>
      <c r="XDX263"/>
      <c r="XDY263"/>
      <c r="XDZ263"/>
      <c r="XEA263"/>
      <c r="XEB263"/>
      <c r="XEC263"/>
      <c r="XED263"/>
      <c r="XEE263"/>
      <c r="XEF263"/>
      <c r="XEG263"/>
      <c r="XEH263"/>
      <c r="XEI263"/>
      <c r="XEJ263"/>
      <c r="XEK263"/>
      <c r="XEL263"/>
      <c r="XEM263"/>
      <c r="XEN263"/>
      <c r="XEO263"/>
      <c r="XEP263"/>
      <c r="XEQ263"/>
      <c r="XER263"/>
      <c r="XES263"/>
      <c r="XET263"/>
      <c r="XEU263"/>
      <c r="XEV263"/>
      <c r="XEW263"/>
      <c r="XEX263"/>
      <c r="XEY263"/>
      <c r="XEZ263"/>
      <c r="XFA263"/>
      <c r="XFB263"/>
      <c r="XFC263"/>
      <c r="XFD263"/>
    </row>
    <row r="264" spans="1:18 16327:16384" s="26" customFormat="1" ht="29.1" customHeight="1" outlineLevel="3" x14ac:dyDescent="0.25">
      <c r="A264" s="42" t="s">
        <v>471</v>
      </c>
      <c r="B264" s="43"/>
      <c r="C264" s="66" t="s">
        <v>472</v>
      </c>
      <c r="D264" s="66"/>
      <c r="E264" s="43" t="s">
        <v>34</v>
      </c>
      <c r="F264" s="44"/>
      <c r="G264" s="43" t="s">
        <v>31</v>
      </c>
      <c r="H264" s="45">
        <v>1</v>
      </c>
      <c r="I264" s="46">
        <f>9</f>
        <v>9</v>
      </c>
      <c r="J264" s="23"/>
      <c r="K264" s="47"/>
      <c r="L264" s="48"/>
      <c r="M264" s="49"/>
      <c r="N264" s="49">
        <f t="shared" si="9"/>
        <v>0</v>
      </c>
      <c r="O264" s="49"/>
      <c r="P264" s="49"/>
      <c r="Q264" s="49"/>
      <c r="R264" s="23"/>
      <c r="XCY264"/>
      <c r="XCZ264"/>
      <c r="XDA264"/>
      <c r="XDB264"/>
      <c r="XDC264"/>
      <c r="XDD264"/>
      <c r="XDE264"/>
      <c r="XDF264"/>
      <c r="XDG264"/>
      <c r="XDH264"/>
      <c r="XDI264"/>
      <c r="XDJ264"/>
      <c r="XDK264"/>
      <c r="XDL264"/>
      <c r="XDM264"/>
      <c r="XDN264"/>
      <c r="XDO264"/>
      <c r="XDP264"/>
      <c r="XDQ264"/>
      <c r="XDR264"/>
      <c r="XDS264"/>
      <c r="XDT264"/>
      <c r="XDU264"/>
      <c r="XDV264"/>
      <c r="XDW264"/>
      <c r="XDX264"/>
      <c r="XDY264"/>
      <c r="XDZ264"/>
      <c r="XEA264"/>
      <c r="XEB264"/>
      <c r="XEC264"/>
      <c r="XED264"/>
      <c r="XEE264"/>
      <c r="XEF264"/>
      <c r="XEG264"/>
      <c r="XEH264"/>
      <c r="XEI264"/>
      <c r="XEJ264"/>
      <c r="XEK264"/>
      <c r="XEL264"/>
      <c r="XEM264"/>
      <c r="XEN264"/>
      <c r="XEO264"/>
      <c r="XEP264"/>
      <c r="XEQ264"/>
      <c r="XER264"/>
      <c r="XES264"/>
      <c r="XET264"/>
      <c r="XEU264"/>
      <c r="XEV264"/>
      <c r="XEW264"/>
      <c r="XEX264"/>
      <c r="XEY264"/>
      <c r="XEZ264"/>
      <c r="XFA264"/>
      <c r="XFB264"/>
      <c r="XFC264"/>
      <c r="XFD264"/>
    </row>
    <row r="265" spans="1:18 16327:16384" s="26" customFormat="1" ht="29.1" customHeight="1" outlineLevel="2" x14ac:dyDescent="0.25">
      <c r="A265" s="34" t="s">
        <v>473</v>
      </c>
      <c r="B265" s="35"/>
      <c r="C265" s="65" t="s">
        <v>469</v>
      </c>
      <c r="D265" s="65"/>
      <c r="E265" s="35"/>
      <c r="F265" s="36" t="s">
        <v>474</v>
      </c>
      <c r="G265" s="35" t="s">
        <v>31</v>
      </c>
      <c r="H265" s="37"/>
      <c r="I265" s="38">
        <f>6</f>
        <v>6</v>
      </c>
      <c r="J265" s="23"/>
      <c r="K265" s="39"/>
      <c r="L265" s="40"/>
      <c r="M265" s="41">
        <f>K265+L265</f>
        <v>0</v>
      </c>
      <c r="N265" s="41">
        <f t="shared" si="9"/>
        <v>0</v>
      </c>
      <c r="O265" s="41">
        <f>ROUND((I265*L265),2)</f>
        <v>0</v>
      </c>
      <c r="P265" s="41">
        <f>ROUND((I265*M265),2)</f>
        <v>0</v>
      </c>
      <c r="Q265" s="41"/>
      <c r="R265" s="23"/>
      <c r="XCY265"/>
      <c r="XCZ265"/>
      <c r="XDA265"/>
      <c r="XDB265"/>
      <c r="XDC265"/>
      <c r="XDD265"/>
      <c r="XDE265"/>
      <c r="XDF265"/>
      <c r="XDG265"/>
      <c r="XDH265"/>
      <c r="XDI265"/>
      <c r="XDJ265"/>
      <c r="XDK265"/>
      <c r="XDL265"/>
      <c r="XDM265"/>
      <c r="XDN265"/>
      <c r="XDO265"/>
      <c r="XDP265"/>
      <c r="XDQ265"/>
      <c r="XDR265"/>
      <c r="XDS265"/>
      <c r="XDT265"/>
      <c r="XDU265"/>
      <c r="XDV265"/>
      <c r="XDW265"/>
      <c r="XDX265"/>
      <c r="XDY265"/>
      <c r="XDZ265"/>
      <c r="XEA265"/>
      <c r="XEB265"/>
      <c r="XEC265"/>
      <c r="XED265"/>
      <c r="XEE265"/>
      <c r="XEF265"/>
      <c r="XEG265"/>
      <c r="XEH265"/>
      <c r="XEI265"/>
      <c r="XEJ265"/>
      <c r="XEK265"/>
      <c r="XEL265"/>
      <c r="XEM265"/>
      <c r="XEN265"/>
      <c r="XEO265"/>
      <c r="XEP265"/>
      <c r="XEQ265"/>
      <c r="XER265"/>
      <c r="XES265"/>
      <c r="XET265"/>
      <c r="XEU265"/>
      <c r="XEV265"/>
      <c r="XEW265"/>
      <c r="XEX265"/>
      <c r="XEY265"/>
      <c r="XEZ265"/>
      <c r="XFA265"/>
      <c r="XFB265"/>
      <c r="XFC265"/>
      <c r="XFD265"/>
    </row>
    <row r="266" spans="1:18 16327:16384" s="26" customFormat="1" ht="29.1" customHeight="1" outlineLevel="3" x14ac:dyDescent="0.25">
      <c r="A266" s="42" t="s">
        <v>475</v>
      </c>
      <c r="B266" s="43"/>
      <c r="C266" s="66" t="s">
        <v>476</v>
      </c>
      <c r="D266" s="66"/>
      <c r="E266" s="43" t="s">
        <v>34</v>
      </c>
      <c r="F266" s="44"/>
      <c r="G266" s="43" t="s">
        <v>31</v>
      </c>
      <c r="H266" s="45">
        <v>1</v>
      </c>
      <c r="I266" s="46">
        <f>6</f>
        <v>6</v>
      </c>
      <c r="J266" s="23"/>
      <c r="K266" s="47"/>
      <c r="L266" s="48"/>
      <c r="M266" s="49"/>
      <c r="N266" s="49">
        <f t="shared" si="9"/>
        <v>0</v>
      </c>
      <c r="O266" s="49"/>
      <c r="P266" s="49"/>
      <c r="Q266" s="49"/>
      <c r="R266" s="23"/>
      <c r="XCY266"/>
      <c r="XCZ266"/>
      <c r="XDA266"/>
      <c r="XDB266"/>
      <c r="XDC266"/>
      <c r="XDD266"/>
      <c r="XDE266"/>
      <c r="XDF266"/>
      <c r="XDG266"/>
      <c r="XDH266"/>
      <c r="XDI266"/>
      <c r="XDJ266"/>
      <c r="XDK266"/>
      <c r="XDL266"/>
      <c r="XDM266"/>
      <c r="XDN266"/>
      <c r="XDO266"/>
      <c r="XDP266"/>
      <c r="XDQ266"/>
      <c r="XDR266"/>
      <c r="XDS266"/>
      <c r="XDT266"/>
      <c r="XDU266"/>
      <c r="XDV266"/>
      <c r="XDW266"/>
      <c r="XDX266"/>
      <c r="XDY266"/>
      <c r="XDZ266"/>
      <c r="XEA266"/>
      <c r="XEB266"/>
      <c r="XEC266"/>
      <c r="XED266"/>
      <c r="XEE266"/>
      <c r="XEF266"/>
      <c r="XEG266"/>
      <c r="XEH266"/>
      <c r="XEI266"/>
      <c r="XEJ266"/>
      <c r="XEK266"/>
      <c r="XEL266"/>
      <c r="XEM266"/>
      <c r="XEN266"/>
      <c r="XEO266"/>
      <c r="XEP266"/>
      <c r="XEQ266"/>
      <c r="XER266"/>
      <c r="XES266"/>
      <c r="XET266"/>
      <c r="XEU266"/>
      <c r="XEV266"/>
      <c r="XEW266"/>
      <c r="XEX266"/>
      <c r="XEY266"/>
      <c r="XEZ266"/>
      <c r="XFA266"/>
      <c r="XFB266"/>
      <c r="XFC266"/>
      <c r="XFD266"/>
    </row>
    <row r="267" spans="1:18 16327:16384" s="26" customFormat="1" ht="29.1" customHeight="1" outlineLevel="2" x14ac:dyDescent="0.25">
      <c r="A267" s="34" t="s">
        <v>477</v>
      </c>
      <c r="B267" s="35"/>
      <c r="C267" s="65" t="s">
        <v>437</v>
      </c>
      <c r="D267" s="65"/>
      <c r="E267" s="35"/>
      <c r="F267" s="36"/>
      <c r="G267" s="35" t="s">
        <v>31</v>
      </c>
      <c r="H267" s="37"/>
      <c r="I267" s="38">
        <f>6</f>
        <v>6</v>
      </c>
      <c r="J267" s="23"/>
      <c r="K267" s="39"/>
      <c r="L267" s="40"/>
      <c r="M267" s="41">
        <f>K267+L267</f>
        <v>0</v>
      </c>
      <c r="N267" s="41">
        <f t="shared" si="9"/>
        <v>0</v>
      </c>
      <c r="O267" s="41">
        <f>ROUND((I267*L267),2)</f>
        <v>0</v>
      </c>
      <c r="P267" s="41">
        <f>ROUND((I267*M267),2)</f>
        <v>0</v>
      </c>
      <c r="Q267" s="41"/>
      <c r="R267" s="23"/>
      <c r="XCY267"/>
      <c r="XCZ267"/>
      <c r="XDA267"/>
      <c r="XDB267"/>
      <c r="XDC267"/>
      <c r="XDD267"/>
      <c r="XDE267"/>
      <c r="XDF267"/>
      <c r="XDG267"/>
      <c r="XDH267"/>
      <c r="XDI267"/>
      <c r="XDJ267"/>
      <c r="XDK267"/>
      <c r="XDL267"/>
      <c r="XDM267"/>
      <c r="XDN267"/>
      <c r="XDO267"/>
      <c r="XDP267"/>
      <c r="XDQ267"/>
      <c r="XDR267"/>
      <c r="XDS267"/>
      <c r="XDT267"/>
      <c r="XDU267"/>
      <c r="XDV267"/>
      <c r="XDW267"/>
      <c r="XDX267"/>
      <c r="XDY267"/>
      <c r="XDZ267"/>
      <c r="XEA267"/>
      <c r="XEB267"/>
      <c r="XEC267"/>
      <c r="XED267"/>
      <c r="XEE267"/>
      <c r="XEF267"/>
      <c r="XEG267"/>
      <c r="XEH267"/>
      <c r="XEI267"/>
      <c r="XEJ267"/>
      <c r="XEK267"/>
      <c r="XEL267"/>
      <c r="XEM267"/>
      <c r="XEN267"/>
      <c r="XEO267"/>
      <c r="XEP267"/>
      <c r="XEQ267"/>
      <c r="XER267"/>
      <c r="XES267"/>
      <c r="XET267"/>
      <c r="XEU267"/>
      <c r="XEV267"/>
      <c r="XEW267"/>
      <c r="XEX267"/>
      <c r="XEY267"/>
      <c r="XEZ267"/>
      <c r="XFA267"/>
      <c r="XFB267"/>
      <c r="XFC267"/>
      <c r="XFD267"/>
    </row>
    <row r="268" spans="1:18 16327:16384" s="26" customFormat="1" ht="29.1" customHeight="1" outlineLevel="3" x14ac:dyDescent="0.25">
      <c r="A268" s="42" t="s">
        <v>478</v>
      </c>
      <c r="B268" s="43"/>
      <c r="C268" s="66" t="s">
        <v>479</v>
      </c>
      <c r="D268" s="66"/>
      <c r="E268" s="43" t="s">
        <v>34</v>
      </c>
      <c r="F268" s="44"/>
      <c r="G268" s="43" t="s">
        <v>31</v>
      </c>
      <c r="H268" s="45">
        <v>1</v>
      </c>
      <c r="I268" s="46">
        <f>6</f>
        <v>6</v>
      </c>
      <c r="J268" s="23"/>
      <c r="K268" s="47"/>
      <c r="L268" s="48"/>
      <c r="M268" s="49"/>
      <c r="N268" s="49">
        <f t="shared" si="9"/>
        <v>0</v>
      </c>
      <c r="O268" s="49"/>
      <c r="P268" s="49"/>
      <c r="Q268" s="49"/>
      <c r="R268" s="23"/>
      <c r="XCY268"/>
      <c r="XCZ268"/>
      <c r="XDA268"/>
      <c r="XDB268"/>
      <c r="XDC268"/>
      <c r="XDD268"/>
      <c r="XDE268"/>
      <c r="XDF268"/>
      <c r="XDG268"/>
      <c r="XDH268"/>
      <c r="XDI268"/>
      <c r="XDJ268"/>
      <c r="XDK268"/>
      <c r="XDL268"/>
      <c r="XDM268"/>
      <c r="XDN268"/>
      <c r="XDO268"/>
      <c r="XDP268"/>
      <c r="XDQ268"/>
      <c r="XDR268"/>
      <c r="XDS268"/>
      <c r="XDT268"/>
      <c r="XDU268"/>
      <c r="XDV268"/>
      <c r="XDW268"/>
      <c r="XDX268"/>
      <c r="XDY268"/>
      <c r="XDZ268"/>
      <c r="XEA268"/>
      <c r="XEB268"/>
      <c r="XEC268"/>
      <c r="XED268"/>
      <c r="XEE268"/>
      <c r="XEF268"/>
      <c r="XEG268"/>
      <c r="XEH268"/>
      <c r="XEI268"/>
      <c r="XEJ268"/>
      <c r="XEK268"/>
      <c r="XEL268"/>
      <c r="XEM268"/>
      <c r="XEN268"/>
      <c r="XEO268"/>
      <c r="XEP268"/>
      <c r="XEQ268"/>
      <c r="XER268"/>
      <c r="XES268"/>
      <c r="XET268"/>
      <c r="XEU268"/>
      <c r="XEV268"/>
      <c r="XEW268"/>
      <c r="XEX268"/>
      <c r="XEY268"/>
      <c r="XEZ268"/>
      <c r="XFA268"/>
      <c r="XFB268"/>
      <c r="XFC268"/>
      <c r="XFD268"/>
    </row>
    <row r="269" spans="1:18 16327:16384" s="26" customFormat="1" ht="29.1" customHeight="1" outlineLevel="2" x14ac:dyDescent="0.25">
      <c r="A269" s="34" t="s">
        <v>480</v>
      </c>
      <c r="B269" s="35"/>
      <c r="C269" s="65" t="s">
        <v>437</v>
      </c>
      <c r="D269" s="65"/>
      <c r="E269" s="35"/>
      <c r="F269" s="36"/>
      <c r="G269" s="35" t="s">
        <v>31</v>
      </c>
      <c r="H269" s="37"/>
      <c r="I269" s="38">
        <f>6</f>
        <v>6</v>
      </c>
      <c r="J269" s="23"/>
      <c r="K269" s="39"/>
      <c r="L269" s="40"/>
      <c r="M269" s="41">
        <f>K269+L269</f>
        <v>0</v>
      </c>
      <c r="N269" s="41">
        <f t="shared" si="9"/>
        <v>0</v>
      </c>
      <c r="O269" s="41">
        <f>ROUND((I269*L269),2)</f>
        <v>0</v>
      </c>
      <c r="P269" s="41">
        <f>ROUND((I269*M269),2)</f>
        <v>0</v>
      </c>
      <c r="Q269" s="41"/>
      <c r="R269" s="23"/>
      <c r="XCY269"/>
      <c r="XCZ269"/>
      <c r="XDA269"/>
      <c r="XDB269"/>
      <c r="XDC269"/>
      <c r="XDD269"/>
      <c r="XDE269"/>
      <c r="XDF269"/>
      <c r="XDG269"/>
      <c r="XDH269"/>
      <c r="XDI269"/>
      <c r="XDJ269"/>
      <c r="XDK269"/>
      <c r="XDL269"/>
      <c r="XDM269"/>
      <c r="XDN269"/>
      <c r="XDO269"/>
      <c r="XDP269"/>
      <c r="XDQ269"/>
      <c r="XDR269"/>
      <c r="XDS269"/>
      <c r="XDT269"/>
      <c r="XDU269"/>
      <c r="XDV269"/>
      <c r="XDW269"/>
      <c r="XDX269"/>
      <c r="XDY269"/>
      <c r="XDZ269"/>
      <c r="XEA269"/>
      <c r="XEB269"/>
      <c r="XEC269"/>
      <c r="XED269"/>
      <c r="XEE269"/>
      <c r="XEF269"/>
      <c r="XEG269"/>
      <c r="XEH269"/>
      <c r="XEI269"/>
      <c r="XEJ269"/>
      <c r="XEK269"/>
      <c r="XEL269"/>
      <c r="XEM269"/>
      <c r="XEN269"/>
      <c r="XEO269"/>
      <c r="XEP269"/>
      <c r="XEQ269"/>
      <c r="XER269"/>
      <c r="XES269"/>
      <c r="XET269"/>
      <c r="XEU269"/>
      <c r="XEV269"/>
      <c r="XEW269"/>
      <c r="XEX269"/>
      <c r="XEY269"/>
      <c r="XEZ269"/>
      <c r="XFA269"/>
      <c r="XFB269"/>
      <c r="XFC269"/>
      <c r="XFD269"/>
    </row>
    <row r="270" spans="1:18 16327:16384" s="26" customFormat="1" ht="29.1" customHeight="1" outlineLevel="3" x14ac:dyDescent="0.25">
      <c r="A270" s="42" t="s">
        <v>481</v>
      </c>
      <c r="B270" s="43"/>
      <c r="C270" s="66" t="s">
        <v>482</v>
      </c>
      <c r="D270" s="66"/>
      <c r="E270" s="43" t="s">
        <v>34</v>
      </c>
      <c r="F270" s="44"/>
      <c r="G270" s="43" t="s">
        <v>31</v>
      </c>
      <c r="H270" s="45">
        <v>1</v>
      </c>
      <c r="I270" s="46">
        <f>6</f>
        <v>6</v>
      </c>
      <c r="J270" s="23"/>
      <c r="K270" s="47"/>
      <c r="L270" s="48"/>
      <c r="M270" s="49"/>
      <c r="N270" s="49">
        <f t="shared" si="9"/>
        <v>0</v>
      </c>
      <c r="O270" s="49"/>
      <c r="P270" s="49"/>
      <c r="Q270" s="49"/>
      <c r="R270" s="23"/>
      <c r="XCY270"/>
      <c r="XCZ270"/>
      <c r="XDA270"/>
      <c r="XDB270"/>
      <c r="XDC270"/>
      <c r="XDD270"/>
      <c r="XDE270"/>
      <c r="XDF270"/>
      <c r="XDG270"/>
      <c r="XDH270"/>
      <c r="XDI270"/>
      <c r="XDJ270"/>
      <c r="XDK270"/>
      <c r="XDL270"/>
      <c r="XDM270"/>
      <c r="XDN270"/>
      <c r="XDO270"/>
      <c r="XDP270"/>
      <c r="XDQ270"/>
      <c r="XDR270"/>
      <c r="XDS270"/>
      <c r="XDT270"/>
      <c r="XDU270"/>
      <c r="XDV270"/>
      <c r="XDW270"/>
      <c r="XDX270"/>
      <c r="XDY270"/>
      <c r="XDZ270"/>
      <c r="XEA270"/>
      <c r="XEB270"/>
      <c r="XEC270"/>
      <c r="XED270"/>
      <c r="XEE270"/>
      <c r="XEF270"/>
      <c r="XEG270"/>
      <c r="XEH270"/>
      <c r="XEI270"/>
      <c r="XEJ270"/>
      <c r="XEK270"/>
      <c r="XEL270"/>
      <c r="XEM270"/>
      <c r="XEN270"/>
      <c r="XEO270"/>
      <c r="XEP270"/>
      <c r="XEQ270"/>
      <c r="XER270"/>
      <c r="XES270"/>
      <c r="XET270"/>
      <c r="XEU270"/>
      <c r="XEV270"/>
      <c r="XEW270"/>
      <c r="XEX270"/>
      <c r="XEY270"/>
      <c r="XEZ270"/>
      <c r="XFA270"/>
      <c r="XFB270"/>
      <c r="XFC270"/>
      <c r="XFD270"/>
    </row>
    <row r="271" spans="1:18 16327:16384" s="26" customFormat="1" ht="29.1" customHeight="1" outlineLevel="2" x14ac:dyDescent="0.25">
      <c r="A271" s="34" t="s">
        <v>483</v>
      </c>
      <c r="B271" s="35"/>
      <c r="C271" s="65" t="s">
        <v>484</v>
      </c>
      <c r="D271" s="65"/>
      <c r="E271" s="35"/>
      <c r="F271" s="36"/>
      <c r="G271" s="35" t="s">
        <v>31</v>
      </c>
      <c r="H271" s="37"/>
      <c r="I271" s="38">
        <f>12</f>
        <v>12</v>
      </c>
      <c r="J271" s="23"/>
      <c r="K271" s="39"/>
      <c r="L271" s="40"/>
      <c r="M271" s="41">
        <f>K271+L271</f>
        <v>0</v>
      </c>
      <c r="N271" s="41">
        <f t="shared" si="9"/>
        <v>0</v>
      </c>
      <c r="O271" s="41">
        <f>ROUND((I271*L271),2)</f>
        <v>0</v>
      </c>
      <c r="P271" s="41">
        <f>ROUND((I271*M271),2)</f>
        <v>0</v>
      </c>
      <c r="Q271" s="41"/>
      <c r="R271" s="23"/>
      <c r="XCY271"/>
      <c r="XCZ271"/>
      <c r="XDA271"/>
      <c r="XDB271"/>
      <c r="XDC271"/>
      <c r="XDD271"/>
      <c r="XDE271"/>
      <c r="XDF271"/>
      <c r="XDG271"/>
      <c r="XDH271"/>
      <c r="XDI271"/>
      <c r="XDJ271"/>
      <c r="XDK271"/>
      <c r="XDL271"/>
      <c r="XDM271"/>
      <c r="XDN271"/>
      <c r="XDO271"/>
      <c r="XDP271"/>
      <c r="XDQ271"/>
      <c r="XDR271"/>
      <c r="XDS271"/>
      <c r="XDT271"/>
      <c r="XDU271"/>
      <c r="XDV271"/>
      <c r="XDW271"/>
      <c r="XDX271"/>
      <c r="XDY271"/>
      <c r="XDZ271"/>
      <c r="XEA271"/>
      <c r="XEB271"/>
      <c r="XEC271"/>
      <c r="XED271"/>
      <c r="XEE271"/>
      <c r="XEF271"/>
      <c r="XEG271"/>
      <c r="XEH271"/>
      <c r="XEI271"/>
      <c r="XEJ271"/>
      <c r="XEK271"/>
      <c r="XEL271"/>
      <c r="XEM271"/>
      <c r="XEN271"/>
      <c r="XEO271"/>
      <c r="XEP271"/>
      <c r="XEQ271"/>
      <c r="XER271"/>
      <c r="XES271"/>
      <c r="XET271"/>
      <c r="XEU271"/>
      <c r="XEV271"/>
      <c r="XEW271"/>
      <c r="XEX271"/>
      <c r="XEY271"/>
      <c r="XEZ271"/>
      <c r="XFA271"/>
      <c r="XFB271"/>
      <c r="XFC271"/>
      <c r="XFD271"/>
    </row>
    <row r="272" spans="1:18 16327:16384" s="26" customFormat="1" ht="29.1" customHeight="1" outlineLevel="3" x14ac:dyDescent="0.25">
      <c r="A272" s="42" t="s">
        <v>485</v>
      </c>
      <c r="B272" s="43"/>
      <c r="C272" s="66" t="s">
        <v>486</v>
      </c>
      <c r="D272" s="66"/>
      <c r="E272" s="43" t="s">
        <v>34</v>
      </c>
      <c r="F272" s="44"/>
      <c r="G272" s="43" t="s">
        <v>31</v>
      </c>
      <c r="H272" s="45">
        <v>1</v>
      </c>
      <c r="I272" s="46">
        <f>12</f>
        <v>12</v>
      </c>
      <c r="J272" s="23"/>
      <c r="K272" s="47"/>
      <c r="L272" s="48"/>
      <c r="M272" s="49"/>
      <c r="N272" s="49">
        <f t="shared" si="9"/>
        <v>0</v>
      </c>
      <c r="O272" s="49"/>
      <c r="P272" s="49"/>
      <c r="Q272" s="49"/>
      <c r="R272" s="23"/>
      <c r="XCY272"/>
      <c r="XCZ272"/>
      <c r="XDA272"/>
      <c r="XDB272"/>
      <c r="XDC272"/>
      <c r="XDD272"/>
      <c r="XDE272"/>
      <c r="XDF272"/>
      <c r="XDG272"/>
      <c r="XDH272"/>
      <c r="XDI272"/>
      <c r="XDJ272"/>
      <c r="XDK272"/>
      <c r="XDL272"/>
      <c r="XDM272"/>
      <c r="XDN272"/>
      <c r="XDO272"/>
      <c r="XDP272"/>
      <c r="XDQ272"/>
      <c r="XDR272"/>
      <c r="XDS272"/>
      <c r="XDT272"/>
      <c r="XDU272"/>
      <c r="XDV272"/>
      <c r="XDW272"/>
      <c r="XDX272"/>
      <c r="XDY272"/>
      <c r="XDZ272"/>
      <c r="XEA272"/>
      <c r="XEB272"/>
      <c r="XEC272"/>
      <c r="XED272"/>
      <c r="XEE272"/>
      <c r="XEF272"/>
      <c r="XEG272"/>
      <c r="XEH272"/>
      <c r="XEI272"/>
      <c r="XEJ272"/>
      <c r="XEK272"/>
      <c r="XEL272"/>
      <c r="XEM272"/>
      <c r="XEN272"/>
      <c r="XEO272"/>
      <c r="XEP272"/>
      <c r="XEQ272"/>
      <c r="XER272"/>
      <c r="XES272"/>
      <c r="XET272"/>
      <c r="XEU272"/>
      <c r="XEV272"/>
      <c r="XEW272"/>
      <c r="XEX272"/>
      <c r="XEY272"/>
      <c r="XEZ272"/>
      <c r="XFA272"/>
      <c r="XFB272"/>
      <c r="XFC272"/>
      <c r="XFD272"/>
    </row>
    <row r="273" spans="1:18 16327:16384" s="26" customFormat="1" ht="29.1" customHeight="1" outlineLevel="2" x14ac:dyDescent="0.25">
      <c r="A273" s="34" t="s">
        <v>487</v>
      </c>
      <c r="B273" s="35"/>
      <c r="C273" s="65" t="s">
        <v>437</v>
      </c>
      <c r="D273" s="65"/>
      <c r="E273" s="35"/>
      <c r="F273" s="36"/>
      <c r="G273" s="35" t="s">
        <v>31</v>
      </c>
      <c r="H273" s="37"/>
      <c r="I273" s="38">
        <f>12</f>
        <v>12</v>
      </c>
      <c r="J273" s="23"/>
      <c r="K273" s="39"/>
      <c r="L273" s="40"/>
      <c r="M273" s="41">
        <f>K273+L273</f>
        <v>0</v>
      </c>
      <c r="N273" s="41">
        <f t="shared" si="9"/>
        <v>0</v>
      </c>
      <c r="O273" s="41">
        <f>ROUND((I273*L273),2)</f>
        <v>0</v>
      </c>
      <c r="P273" s="41">
        <f>ROUND((I273*M273),2)</f>
        <v>0</v>
      </c>
      <c r="Q273" s="41"/>
      <c r="R273" s="23"/>
      <c r="XCY273"/>
      <c r="XCZ273"/>
      <c r="XDA273"/>
      <c r="XDB273"/>
      <c r="XDC273"/>
      <c r="XDD273"/>
      <c r="XDE273"/>
      <c r="XDF273"/>
      <c r="XDG273"/>
      <c r="XDH273"/>
      <c r="XDI273"/>
      <c r="XDJ273"/>
      <c r="XDK273"/>
      <c r="XDL273"/>
      <c r="XDM273"/>
      <c r="XDN273"/>
      <c r="XDO273"/>
      <c r="XDP273"/>
      <c r="XDQ273"/>
      <c r="XDR273"/>
      <c r="XDS273"/>
      <c r="XDT273"/>
      <c r="XDU273"/>
      <c r="XDV273"/>
      <c r="XDW273"/>
      <c r="XDX273"/>
      <c r="XDY273"/>
      <c r="XDZ273"/>
      <c r="XEA273"/>
      <c r="XEB273"/>
      <c r="XEC273"/>
      <c r="XED273"/>
      <c r="XEE273"/>
      <c r="XEF273"/>
      <c r="XEG273"/>
      <c r="XEH273"/>
      <c r="XEI273"/>
      <c r="XEJ273"/>
      <c r="XEK273"/>
      <c r="XEL273"/>
      <c r="XEM273"/>
      <c r="XEN273"/>
      <c r="XEO273"/>
      <c r="XEP273"/>
      <c r="XEQ273"/>
      <c r="XER273"/>
      <c r="XES273"/>
      <c r="XET273"/>
      <c r="XEU273"/>
      <c r="XEV273"/>
      <c r="XEW273"/>
      <c r="XEX273"/>
      <c r="XEY273"/>
      <c r="XEZ273"/>
      <c r="XFA273"/>
      <c r="XFB273"/>
      <c r="XFC273"/>
      <c r="XFD273"/>
    </row>
    <row r="274" spans="1:18 16327:16384" s="26" customFormat="1" ht="29.1" customHeight="1" outlineLevel="3" x14ac:dyDescent="0.25">
      <c r="A274" s="42" t="s">
        <v>488</v>
      </c>
      <c r="B274" s="43"/>
      <c r="C274" s="66" t="s">
        <v>489</v>
      </c>
      <c r="D274" s="66"/>
      <c r="E274" s="43" t="s">
        <v>34</v>
      </c>
      <c r="F274" s="44"/>
      <c r="G274" s="43" t="s">
        <v>31</v>
      </c>
      <c r="H274" s="45">
        <v>1</v>
      </c>
      <c r="I274" s="46">
        <f>12</f>
        <v>12</v>
      </c>
      <c r="J274" s="23"/>
      <c r="K274" s="47"/>
      <c r="L274" s="48"/>
      <c r="M274" s="49"/>
      <c r="N274" s="49">
        <f t="shared" si="9"/>
        <v>0</v>
      </c>
      <c r="O274" s="49"/>
      <c r="P274" s="49"/>
      <c r="Q274" s="49"/>
      <c r="R274" s="23"/>
      <c r="XCY274"/>
      <c r="XCZ274"/>
      <c r="XDA274"/>
      <c r="XDB274"/>
      <c r="XDC274"/>
      <c r="XDD274"/>
      <c r="XDE274"/>
      <c r="XDF274"/>
      <c r="XDG274"/>
      <c r="XDH274"/>
      <c r="XDI274"/>
      <c r="XDJ274"/>
      <c r="XDK274"/>
      <c r="XDL274"/>
      <c r="XDM274"/>
      <c r="XDN274"/>
      <c r="XDO274"/>
      <c r="XDP274"/>
      <c r="XDQ274"/>
      <c r="XDR274"/>
      <c r="XDS274"/>
      <c r="XDT274"/>
      <c r="XDU274"/>
      <c r="XDV274"/>
      <c r="XDW274"/>
      <c r="XDX274"/>
      <c r="XDY274"/>
      <c r="XDZ274"/>
      <c r="XEA274"/>
      <c r="XEB274"/>
      <c r="XEC274"/>
      <c r="XED274"/>
      <c r="XEE274"/>
      <c r="XEF274"/>
      <c r="XEG274"/>
      <c r="XEH274"/>
      <c r="XEI274"/>
      <c r="XEJ274"/>
      <c r="XEK274"/>
      <c r="XEL274"/>
      <c r="XEM274"/>
      <c r="XEN274"/>
      <c r="XEO274"/>
      <c r="XEP274"/>
      <c r="XEQ274"/>
      <c r="XER274"/>
      <c r="XES274"/>
      <c r="XET274"/>
      <c r="XEU274"/>
      <c r="XEV274"/>
      <c r="XEW274"/>
      <c r="XEX274"/>
      <c r="XEY274"/>
      <c r="XEZ274"/>
      <c r="XFA274"/>
      <c r="XFB274"/>
      <c r="XFC274"/>
      <c r="XFD274"/>
    </row>
    <row r="275" spans="1:18 16327:16384" s="26" customFormat="1" ht="29.1" customHeight="1" outlineLevel="2" x14ac:dyDescent="0.25">
      <c r="A275" s="34" t="s">
        <v>490</v>
      </c>
      <c r="B275" s="35"/>
      <c r="C275" s="65" t="s">
        <v>491</v>
      </c>
      <c r="D275" s="65"/>
      <c r="E275" s="35"/>
      <c r="F275" s="36"/>
      <c r="G275" s="35" t="s">
        <v>31</v>
      </c>
      <c r="H275" s="37"/>
      <c r="I275" s="38">
        <f>30</f>
        <v>30</v>
      </c>
      <c r="J275" s="23"/>
      <c r="K275" s="39"/>
      <c r="L275" s="40"/>
      <c r="M275" s="41">
        <f>K275+L275</f>
        <v>0</v>
      </c>
      <c r="N275" s="41">
        <f t="shared" si="9"/>
        <v>0</v>
      </c>
      <c r="O275" s="41">
        <f>ROUND((I275*L275),2)</f>
        <v>0</v>
      </c>
      <c r="P275" s="41">
        <f>ROUND((I275*M275),2)</f>
        <v>0</v>
      </c>
      <c r="Q275" s="41"/>
      <c r="R275" s="23"/>
      <c r="XCY275"/>
      <c r="XCZ275"/>
      <c r="XDA275"/>
      <c r="XDB275"/>
      <c r="XDC275"/>
      <c r="XDD275"/>
      <c r="XDE275"/>
      <c r="XDF275"/>
      <c r="XDG275"/>
      <c r="XDH275"/>
      <c r="XDI275"/>
      <c r="XDJ275"/>
      <c r="XDK275"/>
      <c r="XDL275"/>
      <c r="XDM275"/>
      <c r="XDN275"/>
      <c r="XDO275"/>
      <c r="XDP275"/>
      <c r="XDQ275"/>
      <c r="XDR275"/>
      <c r="XDS275"/>
      <c r="XDT275"/>
      <c r="XDU275"/>
      <c r="XDV275"/>
      <c r="XDW275"/>
      <c r="XDX275"/>
      <c r="XDY275"/>
      <c r="XDZ275"/>
      <c r="XEA275"/>
      <c r="XEB275"/>
      <c r="XEC275"/>
      <c r="XED275"/>
      <c r="XEE275"/>
      <c r="XEF275"/>
      <c r="XEG275"/>
      <c r="XEH275"/>
      <c r="XEI275"/>
      <c r="XEJ275"/>
      <c r="XEK275"/>
      <c r="XEL275"/>
      <c r="XEM275"/>
      <c r="XEN275"/>
      <c r="XEO275"/>
      <c r="XEP275"/>
      <c r="XEQ275"/>
      <c r="XER275"/>
      <c r="XES275"/>
      <c r="XET275"/>
      <c r="XEU275"/>
      <c r="XEV275"/>
      <c r="XEW275"/>
      <c r="XEX275"/>
      <c r="XEY275"/>
      <c r="XEZ275"/>
      <c r="XFA275"/>
      <c r="XFB275"/>
      <c r="XFC275"/>
      <c r="XFD275"/>
    </row>
    <row r="276" spans="1:18 16327:16384" s="26" customFormat="1" ht="29.1" customHeight="1" outlineLevel="3" x14ac:dyDescent="0.25">
      <c r="A276" s="42" t="s">
        <v>492</v>
      </c>
      <c r="B276" s="43"/>
      <c r="C276" s="66" t="s">
        <v>493</v>
      </c>
      <c r="D276" s="66"/>
      <c r="E276" s="43" t="s">
        <v>34</v>
      </c>
      <c r="F276" s="44"/>
      <c r="G276" s="43" t="s">
        <v>31</v>
      </c>
      <c r="H276" s="45">
        <v>1</v>
      </c>
      <c r="I276" s="46">
        <f>30</f>
        <v>30</v>
      </c>
      <c r="J276" s="23"/>
      <c r="K276" s="47"/>
      <c r="L276" s="48"/>
      <c r="M276" s="49"/>
      <c r="N276" s="49">
        <f t="shared" si="9"/>
        <v>0</v>
      </c>
      <c r="O276" s="49"/>
      <c r="P276" s="49"/>
      <c r="Q276" s="49"/>
      <c r="R276" s="23"/>
      <c r="XCY276"/>
      <c r="XCZ276"/>
      <c r="XDA276"/>
      <c r="XDB276"/>
      <c r="XDC276"/>
      <c r="XDD276"/>
      <c r="XDE276"/>
      <c r="XDF276"/>
      <c r="XDG276"/>
      <c r="XDH276"/>
      <c r="XDI276"/>
      <c r="XDJ276"/>
      <c r="XDK276"/>
      <c r="XDL276"/>
      <c r="XDM276"/>
      <c r="XDN276"/>
      <c r="XDO276"/>
      <c r="XDP276"/>
      <c r="XDQ276"/>
      <c r="XDR276"/>
      <c r="XDS276"/>
      <c r="XDT276"/>
      <c r="XDU276"/>
      <c r="XDV276"/>
      <c r="XDW276"/>
      <c r="XDX276"/>
      <c r="XDY276"/>
      <c r="XDZ276"/>
      <c r="XEA276"/>
      <c r="XEB276"/>
      <c r="XEC276"/>
      <c r="XED276"/>
      <c r="XEE276"/>
      <c r="XEF276"/>
      <c r="XEG276"/>
      <c r="XEH276"/>
      <c r="XEI276"/>
      <c r="XEJ276"/>
      <c r="XEK276"/>
      <c r="XEL276"/>
      <c r="XEM276"/>
      <c r="XEN276"/>
      <c r="XEO276"/>
      <c r="XEP276"/>
      <c r="XEQ276"/>
      <c r="XER276"/>
      <c r="XES276"/>
      <c r="XET276"/>
      <c r="XEU276"/>
      <c r="XEV276"/>
      <c r="XEW276"/>
      <c r="XEX276"/>
      <c r="XEY276"/>
      <c r="XEZ276"/>
      <c r="XFA276"/>
      <c r="XFB276"/>
      <c r="XFC276"/>
      <c r="XFD276"/>
    </row>
    <row r="277" spans="1:18 16327:16384" s="26" customFormat="1" ht="29.1" customHeight="1" outlineLevel="2" x14ac:dyDescent="0.25">
      <c r="A277" s="34" t="s">
        <v>494</v>
      </c>
      <c r="B277" s="35"/>
      <c r="C277" s="65" t="s">
        <v>491</v>
      </c>
      <c r="D277" s="65"/>
      <c r="E277" s="35"/>
      <c r="F277" s="36"/>
      <c r="G277" s="35" t="s">
        <v>31</v>
      </c>
      <c r="H277" s="37"/>
      <c r="I277" s="38">
        <f>38</f>
        <v>38</v>
      </c>
      <c r="J277" s="23"/>
      <c r="K277" s="39"/>
      <c r="L277" s="40"/>
      <c r="M277" s="41">
        <f>K277+L277</f>
        <v>0</v>
      </c>
      <c r="N277" s="41">
        <f t="shared" si="9"/>
        <v>0</v>
      </c>
      <c r="O277" s="41">
        <f>ROUND((I277*L277),2)</f>
        <v>0</v>
      </c>
      <c r="P277" s="41">
        <f>ROUND((I277*M277),2)</f>
        <v>0</v>
      </c>
      <c r="Q277" s="41"/>
      <c r="R277" s="23"/>
      <c r="XCY277"/>
      <c r="XCZ277"/>
      <c r="XDA277"/>
      <c r="XDB277"/>
      <c r="XDC277"/>
      <c r="XDD277"/>
      <c r="XDE277"/>
      <c r="XDF277"/>
      <c r="XDG277"/>
      <c r="XDH277"/>
      <c r="XDI277"/>
      <c r="XDJ277"/>
      <c r="XDK277"/>
      <c r="XDL277"/>
      <c r="XDM277"/>
      <c r="XDN277"/>
      <c r="XDO277"/>
      <c r="XDP277"/>
      <c r="XDQ277"/>
      <c r="XDR277"/>
      <c r="XDS277"/>
      <c r="XDT277"/>
      <c r="XDU277"/>
      <c r="XDV277"/>
      <c r="XDW277"/>
      <c r="XDX277"/>
      <c r="XDY277"/>
      <c r="XDZ277"/>
      <c r="XEA277"/>
      <c r="XEB277"/>
      <c r="XEC277"/>
      <c r="XED277"/>
      <c r="XEE277"/>
      <c r="XEF277"/>
      <c r="XEG277"/>
      <c r="XEH277"/>
      <c r="XEI277"/>
      <c r="XEJ277"/>
      <c r="XEK277"/>
      <c r="XEL277"/>
      <c r="XEM277"/>
      <c r="XEN277"/>
      <c r="XEO277"/>
      <c r="XEP277"/>
      <c r="XEQ277"/>
      <c r="XER277"/>
      <c r="XES277"/>
      <c r="XET277"/>
      <c r="XEU277"/>
      <c r="XEV277"/>
      <c r="XEW277"/>
      <c r="XEX277"/>
      <c r="XEY277"/>
      <c r="XEZ277"/>
      <c r="XFA277"/>
      <c r="XFB277"/>
      <c r="XFC277"/>
      <c r="XFD277"/>
    </row>
    <row r="278" spans="1:18 16327:16384" s="26" customFormat="1" ht="29.1" customHeight="1" outlineLevel="3" x14ac:dyDescent="0.25">
      <c r="A278" s="42" t="s">
        <v>495</v>
      </c>
      <c r="B278" s="43"/>
      <c r="C278" s="66" t="s">
        <v>496</v>
      </c>
      <c r="D278" s="66"/>
      <c r="E278" s="43" t="s">
        <v>34</v>
      </c>
      <c r="F278" s="44"/>
      <c r="G278" s="43" t="s">
        <v>31</v>
      </c>
      <c r="H278" s="45">
        <v>1</v>
      </c>
      <c r="I278" s="46">
        <f>38</f>
        <v>38</v>
      </c>
      <c r="J278" s="23"/>
      <c r="K278" s="47"/>
      <c r="L278" s="48"/>
      <c r="M278" s="49"/>
      <c r="N278" s="49">
        <f t="shared" si="9"/>
        <v>0</v>
      </c>
      <c r="O278" s="49"/>
      <c r="P278" s="49"/>
      <c r="Q278" s="49"/>
      <c r="R278" s="23"/>
      <c r="XCY278"/>
      <c r="XCZ278"/>
      <c r="XDA278"/>
      <c r="XDB278"/>
      <c r="XDC278"/>
      <c r="XDD278"/>
      <c r="XDE278"/>
      <c r="XDF278"/>
      <c r="XDG278"/>
      <c r="XDH278"/>
      <c r="XDI278"/>
      <c r="XDJ278"/>
      <c r="XDK278"/>
      <c r="XDL278"/>
      <c r="XDM278"/>
      <c r="XDN278"/>
      <c r="XDO278"/>
      <c r="XDP278"/>
      <c r="XDQ278"/>
      <c r="XDR278"/>
      <c r="XDS278"/>
      <c r="XDT278"/>
      <c r="XDU278"/>
      <c r="XDV278"/>
      <c r="XDW278"/>
      <c r="XDX278"/>
      <c r="XDY278"/>
      <c r="XDZ278"/>
      <c r="XEA278"/>
      <c r="XEB278"/>
      <c r="XEC278"/>
      <c r="XED278"/>
      <c r="XEE278"/>
      <c r="XEF278"/>
      <c r="XEG278"/>
      <c r="XEH278"/>
      <c r="XEI278"/>
      <c r="XEJ278"/>
      <c r="XEK278"/>
      <c r="XEL278"/>
      <c r="XEM278"/>
      <c r="XEN278"/>
      <c r="XEO278"/>
      <c r="XEP278"/>
      <c r="XEQ278"/>
      <c r="XER278"/>
      <c r="XES278"/>
      <c r="XET278"/>
      <c r="XEU278"/>
      <c r="XEV278"/>
      <c r="XEW278"/>
      <c r="XEX278"/>
      <c r="XEY278"/>
      <c r="XEZ278"/>
      <c r="XFA278"/>
      <c r="XFB278"/>
      <c r="XFC278"/>
      <c r="XFD278"/>
    </row>
    <row r="279" spans="1:18 16327:16384" s="26" customFormat="1" ht="29.1" customHeight="1" outlineLevel="3" x14ac:dyDescent="0.25">
      <c r="A279" s="42" t="s">
        <v>497</v>
      </c>
      <c r="B279" s="43"/>
      <c r="C279" s="66" t="s">
        <v>498</v>
      </c>
      <c r="D279" s="66"/>
      <c r="E279" s="43" t="s">
        <v>34</v>
      </c>
      <c r="F279" s="44"/>
      <c r="G279" s="43" t="s">
        <v>31</v>
      </c>
      <c r="H279" s="45">
        <v>1</v>
      </c>
      <c r="I279" s="46">
        <f>38</f>
        <v>38</v>
      </c>
      <c r="J279" s="23"/>
      <c r="K279" s="47"/>
      <c r="L279" s="48"/>
      <c r="M279" s="49"/>
      <c r="N279" s="49">
        <f t="shared" si="9"/>
        <v>0</v>
      </c>
      <c r="O279" s="49"/>
      <c r="P279" s="49"/>
      <c r="Q279" s="49"/>
      <c r="R279" s="23"/>
      <c r="XCY279"/>
      <c r="XCZ279"/>
      <c r="XDA279"/>
      <c r="XDB279"/>
      <c r="XDC279"/>
      <c r="XDD279"/>
      <c r="XDE279"/>
      <c r="XDF279"/>
      <c r="XDG279"/>
      <c r="XDH279"/>
      <c r="XDI279"/>
      <c r="XDJ279"/>
      <c r="XDK279"/>
      <c r="XDL279"/>
      <c r="XDM279"/>
      <c r="XDN279"/>
      <c r="XDO279"/>
      <c r="XDP279"/>
      <c r="XDQ279"/>
      <c r="XDR279"/>
      <c r="XDS279"/>
      <c r="XDT279"/>
      <c r="XDU279"/>
      <c r="XDV279"/>
      <c r="XDW279"/>
      <c r="XDX279"/>
      <c r="XDY279"/>
      <c r="XDZ279"/>
      <c r="XEA279"/>
      <c r="XEB279"/>
      <c r="XEC279"/>
      <c r="XED279"/>
      <c r="XEE279"/>
      <c r="XEF279"/>
      <c r="XEG279"/>
      <c r="XEH279"/>
      <c r="XEI279"/>
      <c r="XEJ279"/>
      <c r="XEK279"/>
      <c r="XEL279"/>
      <c r="XEM279"/>
      <c r="XEN279"/>
      <c r="XEO279"/>
      <c r="XEP279"/>
      <c r="XEQ279"/>
      <c r="XER279"/>
      <c r="XES279"/>
      <c r="XET279"/>
      <c r="XEU279"/>
      <c r="XEV279"/>
      <c r="XEW279"/>
      <c r="XEX279"/>
      <c r="XEY279"/>
      <c r="XEZ279"/>
      <c r="XFA279"/>
      <c r="XFB279"/>
      <c r="XFC279"/>
      <c r="XFD279"/>
    </row>
    <row r="280" spans="1:18 16327:16384" s="26" customFormat="1" ht="29.1" customHeight="1" outlineLevel="2" x14ac:dyDescent="0.25">
      <c r="A280" s="34" t="s">
        <v>499</v>
      </c>
      <c r="B280" s="35"/>
      <c r="C280" s="65" t="s">
        <v>36</v>
      </c>
      <c r="D280" s="65"/>
      <c r="E280" s="35"/>
      <c r="F280" s="36"/>
      <c r="G280" s="35" t="s">
        <v>31</v>
      </c>
      <c r="H280" s="37"/>
      <c r="I280" s="38">
        <f>4</f>
        <v>4</v>
      </c>
      <c r="J280" s="23"/>
      <c r="K280" s="39"/>
      <c r="L280" s="40"/>
      <c r="M280" s="41">
        <f>K280+L280</f>
        <v>0</v>
      </c>
      <c r="N280" s="41">
        <f t="shared" si="9"/>
        <v>0</v>
      </c>
      <c r="O280" s="41">
        <f>ROUND((I280*L280),2)</f>
        <v>0</v>
      </c>
      <c r="P280" s="41">
        <f>ROUND((I280*M280),2)</f>
        <v>0</v>
      </c>
      <c r="Q280" s="41"/>
      <c r="R280" s="23"/>
      <c r="XCY280"/>
      <c r="XCZ280"/>
      <c r="XDA280"/>
      <c r="XDB280"/>
      <c r="XDC280"/>
      <c r="XDD280"/>
      <c r="XDE280"/>
      <c r="XDF280"/>
      <c r="XDG280"/>
      <c r="XDH280"/>
      <c r="XDI280"/>
      <c r="XDJ280"/>
      <c r="XDK280"/>
      <c r="XDL280"/>
      <c r="XDM280"/>
      <c r="XDN280"/>
      <c r="XDO280"/>
      <c r="XDP280"/>
      <c r="XDQ280"/>
      <c r="XDR280"/>
      <c r="XDS280"/>
      <c r="XDT280"/>
      <c r="XDU280"/>
      <c r="XDV280"/>
      <c r="XDW280"/>
      <c r="XDX280"/>
      <c r="XDY280"/>
      <c r="XDZ280"/>
      <c r="XEA280"/>
      <c r="XEB280"/>
      <c r="XEC280"/>
      <c r="XED280"/>
      <c r="XEE280"/>
      <c r="XEF280"/>
      <c r="XEG280"/>
      <c r="XEH280"/>
      <c r="XEI280"/>
      <c r="XEJ280"/>
      <c r="XEK280"/>
      <c r="XEL280"/>
      <c r="XEM280"/>
      <c r="XEN280"/>
      <c r="XEO280"/>
      <c r="XEP280"/>
      <c r="XEQ280"/>
      <c r="XER280"/>
      <c r="XES280"/>
      <c r="XET280"/>
      <c r="XEU280"/>
      <c r="XEV280"/>
      <c r="XEW280"/>
      <c r="XEX280"/>
      <c r="XEY280"/>
      <c r="XEZ280"/>
      <c r="XFA280"/>
      <c r="XFB280"/>
      <c r="XFC280"/>
      <c r="XFD280"/>
    </row>
    <row r="281" spans="1:18 16327:16384" s="26" customFormat="1" ht="29.1" customHeight="1" outlineLevel="3" x14ac:dyDescent="0.25">
      <c r="A281" s="42" t="s">
        <v>500</v>
      </c>
      <c r="B281" s="43"/>
      <c r="C281" s="66" t="s">
        <v>501</v>
      </c>
      <c r="D281" s="66"/>
      <c r="E281" s="43" t="s">
        <v>34</v>
      </c>
      <c r="F281" s="44"/>
      <c r="G281" s="43" t="s">
        <v>31</v>
      </c>
      <c r="H281" s="45">
        <v>1</v>
      </c>
      <c r="I281" s="46">
        <f>4</f>
        <v>4</v>
      </c>
      <c r="J281" s="23"/>
      <c r="K281" s="47"/>
      <c r="L281" s="48"/>
      <c r="M281" s="49"/>
      <c r="N281" s="49">
        <f t="shared" si="9"/>
        <v>0</v>
      </c>
      <c r="O281" s="49"/>
      <c r="P281" s="49"/>
      <c r="Q281" s="49"/>
      <c r="R281" s="23"/>
      <c r="XCY281"/>
      <c r="XCZ281"/>
      <c r="XDA281"/>
      <c r="XDB281"/>
      <c r="XDC281"/>
      <c r="XDD281"/>
      <c r="XDE281"/>
      <c r="XDF281"/>
      <c r="XDG281"/>
      <c r="XDH281"/>
      <c r="XDI281"/>
      <c r="XDJ281"/>
      <c r="XDK281"/>
      <c r="XDL281"/>
      <c r="XDM281"/>
      <c r="XDN281"/>
      <c r="XDO281"/>
      <c r="XDP281"/>
      <c r="XDQ281"/>
      <c r="XDR281"/>
      <c r="XDS281"/>
      <c r="XDT281"/>
      <c r="XDU281"/>
      <c r="XDV281"/>
      <c r="XDW281"/>
      <c r="XDX281"/>
      <c r="XDY281"/>
      <c r="XDZ281"/>
      <c r="XEA281"/>
      <c r="XEB281"/>
      <c r="XEC281"/>
      <c r="XED281"/>
      <c r="XEE281"/>
      <c r="XEF281"/>
      <c r="XEG281"/>
      <c r="XEH281"/>
      <c r="XEI281"/>
      <c r="XEJ281"/>
      <c r="XEK281"/>
      <c r="XEL281"/>
      <c r="XEM281"/>
      <c r="XEN281"/>
      <c r="XEO281"/>
      <c r="XEP281"/>
      <c r="XEQ281"/>
      <c r="XER281"/>
      <c r="XES281"/>
      <c r="XET281"/>
      <c r="XEU281"/>
      <c r="XEV281"/>
      <c r="XEW281"/>
      <c r="XEX281"/>
      <c r="XEY281"/>
      <c r="XEZ281"/>
      <c r="XFA281"/>
      <c r="XFB281"/>
      <c r="XFC281"/>
      <c r="XFD281"/>
    </row>
    <row r="282" spans="1:18 16327:16384" s="26" customFormat="1" ht="29.1" customHeight="1" outlineLevel="2" x14ac:dyDescent="0.25">
      <c r="A282" s="34" t="s">
        <v>502</v>
      </c>
      <c r="B282" s="35"/>
      <c r="C282" s="65" t="s">
        <v>36</v>
      </c>
      <c r="D282" s="65"/>
      <c r="E282" s="35"/>
      <c r="F282" s="36"/>
      <c r="G282" s="35" t="s">
        <v>31</v>
      </c>
      <c r="H282" s="37"/>
      <c r="I282" s="38">
        <f>1</f>
        <v>1</v>
      </c>
      <c r="J282" s="23"/>
      <c r="K282" s="39"/>
      <c r="L282" s="40"/>
      <c r="M282" s="41">
        <f>K282+L282</f>
        <v>0</v>
      </c>
      <c r="N282" s="41">
        <f t="shared" si="9"/>
        <v>0</v>
      </c>
      <c r="O282" s="41">
        <f>ROUND((I282*L282),2)</f>
        <v>0</v>
      </c>
      <c r="P282" s="41">
        <f>ROUND((I282*M282),2)</f>
        <v>0</v>
      </c>
      <c r="Q282" s="41"/>
      <c r="R282" s="23"/>
      <c r="XCY282"/>
      <c r="XCZ282"/>
      <c r="XDA282"/>
      <c r="XDB282"/>
      <c r="XDC282"/>
      <c r="XDD282"/>
      <c r="XDE282"/>
      <c r="XDF282"/>
      <c r="XDG282"/>
      <c r="XDH282"/>
      <c r="XDI282"/>
      <c r="XDJ282"/>
      <c r="XDK282"/>
      <c r="XDL282"/>
      <c r="XDM282"/>
      <c r="XDN282"/>
      <c r="XDO282"/>
      <c r="XDP282"/>
      <c r="XDQ282"/>
      <c r="XDR282"/>
      <c r="XDS282"/>
      <c r="XDT282"/>
      <c r="XDU282"/>
      <c r="XDV282"/>
      <c r="XDW282"/>
      <c r="XDX282"/>
      <c r="XDY282"/>
      <c r="XDZ282"/>
      <c r="XEA282"/>
      <c r="XEB282"/>
      <c r="XEC282"/>
      <c r="XED282"/>
      <c r="XEE282"/>
      <c r="XEF282"/>
      <c r="XEG282"/>
      <c r="XEH282"/>
      <c r="XEI282"/>
      <c r="XEJ282"/>
      <c r="XEK282"/>
      <c r="XEL282"/>
      <c r="XEM282"/>
      <c r="XEN282"/>
      <c r="XEO282"/>
      <c r="XEP282"/>
      <c r="XEQ282"/>
      <c r="XER282"/>
      <c r="XES282"/>
      <c r="XET282"/>
      <c r="XEU282"/>
      <c r="XEV282"/>
      <c r="XEW282"/>
      <c r="XEX282"/>
      <c r="XEY282"/>
      <c r="XEZ282"/>
      <c r="XFA282"/>
      <c r="XFB282"/>
      <c r="XFC282"/>
      <c r="XFD282"/>
    </row>
    <row r="283" spans="1:18 16327:16384" s="26" customFormat="1" ht="29.1" customHeight="1" outlineLevel="3" x14ac:dyDescent="0.25">
      <c r="A283" s="42" t="s">
        <v>503</v>
      </c>
      <c r="B283" s="43"/>
      <c r="C283" s="66" t="s">
        <v>504</v>
      </c>
      <c r="D283" s="66"/>
      <c r="E283" s="43" t="s">
        <v>34</v>
      </c>
      <c r="F283" s="44"/>
      <c r="G283" s="43" t="s">
        <v>31</v>
      </c>
      <c r="H283" s="45">
        <v>1</v>
      </c>
      <c r="I283" s="46">
        <f>1</f>
        <v>1</v>
      </c>
      <c r="J283" s="23"/>
      <c r="K283" s="47"/>
      <c r="L283" s="48"/>
      <c r="M283" s="49"/>
      <c r="N283" s="49">
        <f t="shared" si="9"/>
        <v>0</v>
      </c>
      <c r="O283" s="49"/>
      <c r="P283" s="49"/>
      <c r="Q283" s="49"/>
      <c r="R283" s="23"/>
      <c r="XCY283"/>
      <c r="XCZ283"/>
      <c r="XDA283"/>
      <c r="XDB283"/>
      <c r="XDC283"/>
      <c r="XDD283"/>
      <c r="XDE283"/>
      <c r="XDF283"/>
      <c r="XDG283"/>
      <c r="XDH283"/>
      <c r="XDI283"/>
      <c r="XDJ283"/>
      <c r="XDK283"/>
      <c r="XDL283"/>
      <c r="XDM283"/>
      <c r="XDN283"/>
      <c r="XDO283"/>
      <c r="XDP283"/>
      <c r="XDQ283"/>
      <c r="XDR283"/>
      <c r="XDS283"/>
      <c r="XDT283"/>
      <c r="XDU283"/>
      <c r="XDV283"/>
      <c r="XDW283"/>
      <c r="XDX283"/>
      <c r="XDY283"/>
      <c r="XDZ283"/>
      <c r="XEA283"/>
      <c r="XEB283"/>
      <c r="XEC283"/>
      <c r="XED283"/>
      <c r="XEE283"/>
      <c r="XEF283"/>
      <c r="XEG283"/>
      <c r="XEH283"/>
      <c r="XEI283"/>
      <c r="XEJ283"/>
      <c r="XEK283"/>
      <c r="XEL283"/>
      <c r="XEM283"/>
      <c r="XEN283"/>
      <c r="XEO283"/>
      <c r="XEP283"/>
      <c r="XEQ283"/>
      <c r="XER283"/>
      <c r="XES283"/>
      <c r="XET283"/>
      <c r="XEU283"/>
      <c r="XEV283"/>
      <c r="XEW283"/>
      <c r="XEX283"/>
      <c r="XEY283"/>
      <c r="XEZ283"/>
      <c r="XFA283"/>
      <c r="XFB283"/>
      <c r="XFC283"/>
      <c r="XFD283"/>
    </row>
    <row r="284" spans="1:18 16327:16384" s="26" customFormat="1" ht="29.1" customHeight="1" outlineLevel="2" x14ac:dyDescent="0.25">
      <c r="A284" s="34" t="s">
        <v>505</v>
      </c>
      <c r="B284" s="35"/>
      <c r="C284" s="65" t="s">
        <v>36</v>
      </c>
      <c r="D284" s="65"/>
      <c r="E284" s="35"/>
      <c r="F284" s="36"/>
      <c r="G284" s="35" t="s">
        <v>31</v>
      </c>
      <c r="H284" s="37"/>
      <c r="I284" s="38">
        <f>4</f>
        <v>4</v>
      </c>
      <c r="J284" s="23"/>
      <c r="K284" s="39"/>
      <c r="L284" s="40"/>
      <c r="M284" s="41">
        <f>K284+L284</f>
        <v>0</v>
      </c>
      <c r="N284" s="41">
        <f t="shared" si="9"/>
        <v>0</v>
      </c>
      <c r="O284" s="41">
        <f>ROUND((I284*L284),2)</f>
        <v>0</v>
      </c>
      <c r="P284" s="41">
        <f>ROUND((I284*M284),2)</f>
        <v>0</v>
      </c>
      <c r="Q284" s="41"/>
      <c r="R284" s="23"/>
      <c r="XCY284"/>
      <c r="XCZ284"/>
      <c r="XDA284"/>
      <c r="XDB284"/>
      <c r="XDC284"/>
      <c r="XDD284"/>
      <c r="XDE284"/>
      <c r="XDF284"/>
      <c r="XDG284"/>
      <c r="XDH284"/>
      <c r="XDI284"/>
      <c r="XDJ284"/>
      <c r="XDK284"/>
      <c r="XDL284"/>
      <c r="XDM284"/>
      <c r="XDN284"/>
      <c r="XDO284"/>
      <c r="XDP284"/>
      <c r="XDQ284"/>
      <c r="XDR284"/>
      <c r="XDS284"/>
      <c r="XDT284"/>
      <c r="XDU284"/>
      <c r="XDV284"/>
      <c r="XDW284"/>
      <c r="XDX284"/>
      <c r="XDY284"/>
      <c r="XDZ284"/>
      <c r="XEA284"/>
      <c r="XEB284"/>
      <c r="XEC284"/>
      <c r="XED284"/>
      <c r="XEE284"/>
      <c r="XEF284"/>
      <c r="XEG284"/>
      <c r="XEH284"/>
      <c r="XEI284"/>
      <c r="XEJ284"/>
      <c r="XEK284"/>
      <c r="XEL284"/>
      <c r="XEM284"/>
      <c r="XEN284"/>
      <c r="XEO284"/>
      <c r="XEP284"/>
      <c r="XEQ284"/>
      <c r="XER284"/>
      <c r="XES284"/>
      <c r="XET284"/>
      <c r="XEU284"/>
      <c r="XEV284"/>
      <c r="XEW284"/>
      <c r="XEX284"/>
      <c r="XEY284"/>
      <c r="XEZ284"/>
      <c r="XFA284"/>
      <c r="XFB284"/>
      <c r="XFC284"/>
      <c r="XFD284"/>
    </row>
    <row r="285" spans="1:18 16327:16384" s="26" customFormat="1" ht="29.1" customHeight="1" outlineLevel="3" x14ac:dyDescent="0.25">
      <c r="A285" s="42" t="s">
        <v>506</v>
      </c>
      <c r="B285" s="43"/>
      <c r="C285" s="66" t="s">
        <v>507</v>
      </c>
      <c r="D285" s="66"/>
      <c r="E285" s="43" t="s">
        <v>34</v>
      </c>
      <c r="F285" s="44"/>
      <c r="G285" s="43" t="s">
        <v>31</v>
      </c>
      <c r="H285" s="45">
        <v>1</v>
      </c>
      <c r="I285" s="46">
        <f>4</f>
        <v>4</v>
      </c>
      <c r="J285" s="23"/>
      <c r="K285" s="47"/>
      <c r="L285" s="48"/>
      <c r="M285" s="49"/>
      <c r="N285" s="49">
        <f t="shared" si="9"/>
        <v>0</v>
      </c>
      <c r="O285" s="49"/>
      <c r="P285" s="49"/>
      <c r="Q285" s="49"/>
      <c r="R285" s="23"/>
      <c r="XCY285"/>
      <c r="XCZ285"/>
      <c r="XDA285"/>
      <c r="XDB285"/>
      <c r="XDC285"/>
      <c r="XDD285"/>
      <c r="XDE285"/>
      <c r="XDF285"/>
      <c r="XDG285"/>
      <c r="XDH285"/>
      <c r="XDI285"/>
      <c r="XDJ285"/>
      <c r="XDK285"/>
      <c r="XDL285"/>
      <c r="XDM285"/>
      <c r="XDN285"/>
      <c r="XDO285"/>
      <c r="XDP285"/>
      <c r="XDQ285"/>
      <c r="XDR285"/>
      <c r="XDS285"/>
      <c r="XDT285"/>
      <c r="XDU285"/>
      <c r="XDV285"/>
      <c r="XDW285"/>
      <c r="XDX285"/>
      <c r="XDY285"/>
      <c r="XDZ285"/>
      <c r="XEA285"/>
      <c r="XEB285"/>
      <c r="XEC285"/>
      <c r="XED285"/>
      <c r="XEE285"/>
      <c r="XEF285"/>
      <c r="XEG285"/>
      <c r="XEH285"/>
      <c r="XEI285"/>
      <c r="XEJ285"/>
      <c r="XEK285"/>
      <c r="XEL285"/>
      <c r="XEM285"/>
      <c r="XEN285"/>
      <c r="XEO285"/>
      <c r="XEP285"/>
      <c r="XEQ285"/>
      <c r="XER285"/>
      <c r="XES285"/>
      <c r="XET285"/>
      <c r="XEU285"/>
      <c r="XEV285"/>
      <c r="XEW285"/>
      <c r="XEX285"/>
      <c r="XEY285"/>
      <c r="XEZ285"/>
      <c r="XFA285"/>
      <c r="XFB285"/>
      <c r="XFC285"/>
      <c r="XFD285"/>
    </row>
    <row r="286" spans="1:18 16327:16384" s="26" customFormat="1" ht="29.1" customHeight="1" outlineLevel="2" x14ac:dyDescent="0.25">
      <c r="A286" s="34" t="s">
        <v>508</v>
      </c>
      <c r="B286" s="35"/>
      <c r="C286" s="65" t="s">
        <v>36</v>
      </c>
      <c r="D286" s="65"/>
      <c r="E286" s="35"/>
      <c r="F286" s="36"/>
      <c r="G286" s="35" t="s">
        <v>31</v>
      </c>
      <c r="H286" s="37"/>
      <c r="I286" s="38">
        <f>10</f>
        <v>10</v>
      </c>
      <c r="J286" s="23"/>
      <c r="K286" s="39"/>
      <c r="L286" s="40"/>
      <c r="M286" s="41">
        <f>K286+L286</f>
        <v>0</v>
      </c>
      <c r="N286" s="41">
        <f t="shared" si="9"/>
        <v>0</v>
      </c>
      <c r="O286" s="41">
        <f>ROUND((I286*L286),2)</f>
        <v>0</v>
      </c>
      <c r="P286" s="41">
        <f>ROUND((I286*M286),2)</f>
        <v>0</v>
      </c>
      <c r="Q286" s="41"/>
      <c r="R286" s="23"/>
      <c r="XCY286"/>
      <c r="XCZ286"/>
      <c r="XDA286"/>
      <c r="XDB286"/>
      <c r="XDC286"/>
      <c r="XDD286"/>
      <c r="XDE286"/>
      <c r="XDF286"/>
      <c r="XDG286"/>
      <c r="XDH286"/>
      <c r="XDI286"/>
      <c r="XDJ286"/>
      <c r="XDK286"/>
      <c r="XDL286"/>
      <c r="XDM286"/>
      <c r="XDN286"/>
      <c r="XDO286"/>
      <c r="XDP286"/>
      <c r="XDQ286"/>
      <c r="XDR286"/>
      <c r="XDS286"/>
      <c r="XDT286"/>
      <c r="XDU286"/>
      <c r="XDV286"/>
      <c r="XDW286"/>
      <c r="XDX286"/>
      <c r="XDY286"/>
      <c r="XDZ286"/>
      <c r="XEA286"/>
      <c r="XEB286"/>
      <c r="XEC286"/>
      <c r="XED286"/>
      <c r="XEE286"/>
      <c r="XEF286"/>
      <c r="XEG286"/>
      <c r="XEH286"/>
      <c r="XEI286"/>
      <c r="XEJ286"/>
      <c r="XEK286"/>
      <c r="XEL286"/>
      <c r="XEM286"/>
      <c r="XEN286"/>
      <c r="XEO286"/>
      <c r="XEP286"/>
      <c r="XEQ286"/>
      <c r="XER286"/>
      <c r="XES286"/>
      <c r="XET286"/>
      <c r="XEU286"/>
      <c r="XEV286"/>
      <c r="XEW286"/>
      <c r="XEX286"/>
      <c r="XEY286"/>
      <c r="XEZ286"/>
      <c r="XFA286"/>
      <c r="XFB286"/>
      <c r="XFC286"/>
      <c r="XFD286"/>
    </row>
    <row r="287" spans="1:18 16327:16384" s="26" customFormat="1" ht="29.1" customHeight="1" outlineLevel="3" x14ac:dyDescent="0.25">
      <c r="A287" s="42" t="s">
        <v>509</v>
      </c>
      <c r="B287" s="43"/>
      <c r="C287" s="66" t="s">
        <v>510</v>
      </c>
      <c r="D287" s="66"/>
      <c r="E287" s="43" t="s">
        <v>34</v>
      </c>
      <c r="F287" s="44"/>
      <c r="G287" s="43" t="s">
        <v>31</v>
      </c>
      <c r="H287" s="45">
        <v>1</v>
      </c>
      <c r="I287" s="46">
        <f>10</f>
        <v>10</v>
      </c>
      <c r="J287" s="23"/>
      <c r="K287" s="47"/>
      <c r="L287" s="48"/>
      <c r="M287" s="49"/>
      <c r="N287" s="49">
        <f t="shared" si="9"/>
        <v>0</v>
      </c>
      <c r="O287" s="49"/>
      <c r="P287" s="49"/>
      <c r="Q287" s="49"/>
      <c r="R287" s="23"/>
      <c r="XCY287"/>
      <c r="XCZ287"/>
      <c r="XDA287"/>
      <c r="XDB287"/>
      <c r="XDC287"/>
      <c r="XDD287"/>
      <c r="XDE287"/>
      <c r="XDF287"/>
      <c r="XDG287"/>
      <c r="XDH287"/>
      <c r="XDI287"/>
      <c r="XDJ287"/>
      <c r="XDK287"/>
      <c r="XDL287"/>
      <c r="XDM287"/>
      <c r="XDN287"/>
      <c r="XDO287"/>
      <c r="XDP287"/>
      <c r="XDQ287"/>
      <c r="XDR287"/>
      <c r="XDS287"/>
      <c r="XDT287"/>
      <c r="XDU287"/>
      <c r="XDV287"/>
      <c r="XDW287"/>
      <c r="XDX287"/>
      <c r="XDY287"/>
      <c r="XDZ287"/>
      <c r="XEA287"/>
      <c r="XEB287"/>
      <c r="XEC287"/>
      <c r="XED287"/>
      <c r="XEE287"/>
      <c r="XEF287"/>
      <c r="XEG287"/>
      <c r="XEH287"/>
      <c r="XEI287"/>
      <c r="XEJ287"/>
      <c r="XEK287"/>
      <c r="XEL287"/>
      <c r="XEM287"/>
      <c r="XEN287"/>
      <c r="XEO287"/>
      <c r="XEP287"/>
      <c r="XEQ287"/>
      <c r="XER287"/>
      <c r="XES287"/>
      <c r="XET287"/>
      <c r="XEU287"/>
      <c r="XEV287"/>
      <c r="XEW287"/>
      <c r="XEX287"/>
      <c r="XEY287"/>
      <c r="XEZ287"/>
      <c r="XFA287"/>
      <c r="XFB287"/>
      <c r="XFC287"/>
      <c r="XFD287"/>
    </row>
    <row r="288" spans="1:18 16327:16384" s="26" customFormat="1" ht="29.1" customHeight="1" outlineLevel="2" x14ac:dyDescent="0.25">
      <c r="A288" s="34" t="s">
        <v>511</v>
      </c>
      <c r="B288" s="35"/>
      <c r="C288" s="65" t="s">
        <v>36</v>
      </c>
      <c r="D288" s="65"/>
      <c r="E288" s="35"/>
      <c r="F288" s="36"/>
      <c r="G288" s="35" t="s">
        <v>31</v>
      </c>
      <c r="H288" s="37"/>
      <c r="I288" s="38">
        <f>5</f>
        <v>5</v>
      </c>
      <c r="J288" s="23"/>
      <c r="K288" s="39"/>
      <c r="L288" s="40"/>
      <c r="M288" s="41">
        <f>K288+L288</f>
        <v>0</v>
      </c>
      <c r="N288" s="41">
        <f t="shared" si="9"/>
        <v>0</v>
      </c>
      <c r="O288" s="41">
        <f>ROUND((I288*L288),2)</f>
        <v>0</v>
      </c>
      <c r="P288" s="41">
        <f>ROUND((I288*M288),2)</f>
        <v>0</v>
      </c>
      <c r="Q288" s="41"/>
      <c r="R288" s="23"/>
      <c r="XCY288"/>
      <c r="XCZ288"/>
      <c r="XDA288"/>
      <c r="XDB288"/>
      <c r="XDC288"/>
      <c r="XDD288"/>
      <c r="XDE288"/>
      <c r="XDF288"/>
      <c r="XDG288"/>
      <c r="XDH288"/>
      <c r="XDI288"/>
      <c r="XDJ288"/>
      <c r="XDK288"/>
      <c r="XDL288"/>
      <c r="XDM288"/>
      <c r="XDN288"/>
      <c r="XDO288"/>
      <c r="XDP288"/>
      <c r="XDQ288"/>
      <c r="XDR288"/>
      <c r="XDS288"/>
      <c r="XDT288"/>
      <c r="XDU288"/>
      <c r="XDV288"/>
      <c r="XDW288"/>
      <c r="XDX288"/>
      <c r="XDY288"/>
      <c r="XDZ288"/>
      <c r="XEA288"/>
      <c r="XEB288"/>
      <c r="XEC288"/>
      <c r="XED288"/>
      <c r="XEE288"/>
      <c r="XEF288"/>
      <c r="XEG288"/>
      <c r="XEH288"/>
      <c r="XEI288"/>
      <c r="XEJ288"/>
      <c r="XEK288"/>
      <c r="XEL288"/>
      <c r="XEM288"/>
      <c r="XEN288"/>
      <c r="XEO288"/>
      <c r="XEP288"/>
      <c r="XEQ288"/>
      <c r="XER288"/>
      <c r="XES288"/>
      <c r="XET288"/>
      <c r="XEU288"/>
      <c r="XEV288"/>
      <c r="XEW288"/>
      <c r="XEX288"/>
      <c r="XEY288"/>
      <c r="XEZ288"/>
      <c r="XFA288"/>
      <c r="XFB288"/>
      <c r="XFC288"/>
      <c r="XFD288"/>
    </row>
    <row r="289" spans="1:18 16327:16384" s="26" customFormat="1" ht="29.1" customHeight="1" outlineLevel="3" x14ac:dyDescent="0.25">
      <c r="A289" s="42" t="s">
        <v>512</v>
      </c>
      <c r="B289" s="43"/>
      <c r="C289" s="66" t="s">
        <v>513</v>
      </c>
      <c r="D289" s="66"/>
      <c r="E289" s="43" t="s">
        <v>34</v>
      </c>
      <c r="F289" s="44"/>
      <c r="G289" s="43" t="s">
        <v>31</v>
      </c>
      <c r="H289" s="45">
        <v>1</v>
      </c>
      <c r="I289" s="46">
        <f>5</f>
        <v>5</v>
      </c>
      <c r="J289" s="23"/>
      <c r="K289" s="47"/>
      <c r="L289" s="48"/>
      <c r="M289" s="49"/>
      <c r="N289" s="49">
        <f t="shared" si="9"/>
        <v>0</v>
      </c>
      <c r="O289" s="49"/>
      <c r="P289" s="49"/>
      <c r="Q289" s="49"/>
      <c r="R289" s="23"/>
      <c r="XCY289"/>
      <c r="XCZ289"/>
      <c r="XDA289"/>
      <c r="XDB289"/>
      <c r="XDC289"/>
      <c r="XDD289"/>
      <c r="XDE289"/>
      <c r="XDF289"/>
      <c r="XDG289"/>
      <c r="XDH289"/>
      <c r="XDI289"/>
      <c r="XDJ289"/>
      <c r="XDK289"/>
      <c r="XDL289"/>
      <c r="XDM289"/>
      <c r="XDN289"/>
      <c r="XDO289"/>
      <c r="XDP289"/>
      <c r="XDQ289"/>
      <c r="XDR289"/>
      <c r="XDS289"/>
      <c r="XDT289"/>
      <c r="XDU289"/>
      <c r="XDV289"/>
      <c r="XDW289"/>
      <c r="XDX289"/>
      <c r="XDY289"/>
      <c r="XDZ289"/>
      <c r="XEA289"/>
      <c r="XEB289"/>
      <c r="XEC289"/>
      <c r="XED289"/>
      <c r="XEE289"/>
      <c r="XEF289"/>
      <c r="XEG289"/>
      <c r="XEH289"/>
      <c r="XEI289"/>
      <c r="XEJ289"/>
      <c r="XEK289"/>
      <c r="XEL289"/>
      <c r="XEM289"/>
      <c r="XEN289"/>
      <c r="XEO289"/>
      <c r="XEP289"/>
      <c r="XEQ289"/>
      <c r="XER289"/>
      <c r="XES289"/>
      <c r="XET289"/>
      <c r="XEU289"/>
      <c r="XEV289"/>
      <c r="XEW289"/>
      <c r="XEX289"/>
      <c r="XEY289"/>
      <c r="XEZ289"/>
      <c r="XFA289"/>
      <c r="XFB289"/>
      <c r="XFC289"/>
      <c r="XFD289"/>
    </row>
    <row r="290" spans="1:18 16327:16384" s="26" customFormat="1" ht="29.1" customHeight="1" outlineLevel="3" x14ac:dyDescent="0.25">
      <c r="A290" s="42" t="s">
        <v>514</v>
      </c>
      <c r="B290" s="43"/>
      <c r="C290" s="66" t="s">
        <v>515</v>
      </c>
      <c r="D290" s="66"/>
      <c r="E290" s="43" t="s">
        <v>34</v>
      </c>
      <c r="F290" s="44"/>
      <c r="G290" s="43" t="s">
        <v>31</v>
      </c>
      <c r="H290" s="45">
        <v>1</v>
      </c>
      <c r="I290" s="46">
        <f>5</f>
        <v>5</v>
      </c>
      <c r="J290" s="23"/>
      <c r="K290" s="47"/>
      <c r="L290" s="48"/>
      <c r="M290" s="49"/>
      <c r="N290" s="49">
        <f t="shared" si="9"/>
        <v>0</v>
      </c>
      <c r="O290" s="49"/>
      <c r="P290" s="49"/>
      <c r="Q290" s="49"/>
      <c r="R290" s="23"/>
      <c r="XCY290"/>
      <c r="XCZ290"/>
      <c r="XDA290"/>
      <c r="XDB290"/>
      <c r="XDC290"/>
      <c r="XDD290"/>
      <c r="XDE290"/>
      <c r="XDF290"/>
      <c r="XDG290"/>
      <c r="XDH290"/>
      <c r="XDI290"/>
      <c r="XDJ290"/>
      <c r="XDK290"/>
      <c r="XDL290"/>
      <c r="XDM290"/>
      <c r="XDN290"/>
      <c r="XDO290"/>
      <c r="XDP290"/>
      <c r="XDQ290"/>
      <c r="XDR290"/>
      <c r="XDS290"/>
      <c r="XDT290"/>
      <c r="XDU290"/>
      <c r="XDV290"/>
      <c r="XDW290"/>
      <c r="XDX290"/>
      <c r="XDY290"/>
      <c r="XDZ290"/>
      <c r="XEA290"/>
      <c r="XEB290"/>
      <c r="XEC290"/>
      <c r="XED290"/>
      <c r="XEE290"/>
      <c r="XEF290"/>
      <c r="XEG290"/>
      <c r="XEH290"/>
      <c r="XEI290"/>
      <c r="XEJ290"/>
      <c r="XEK290"/>
      <c r="XEL290"/>
      <c r="XEM290"/>
      <c r="XEN290"/>
      <c r="XEO290"/>
      <c r="XEP290"/>
      <c r="XEQ290"/>
      <c r="XER290"/>
      <c r="XES290"/>
      <c r="XET290"/>
      <c r="XEU290"/>
      <c r="XEV290"/>
      <c r="XEW290"/>
      <c r="XEX290"/>
      <c r="XEY290"/>
      <c r="XEZ290"/>
      <c r="XFA290"/>
      <c r="XFB290"/>
      <c r="XFC290"/>
      <c r="XFD290"/>
    </row>
    <row r="291" spans="1:18 16327:16384" s="26" customFormat="1" ht="29.1" customHeight="1" outlineLevel="3" x14ac:dyDescent="0.25">
      <c r="A291" s="42" t="s">
        <v>516</v>
      </c>
      <c r="B291" s="43"/>
      <c r="C291" s="66" t="s">
        <v>517</v>
      </c>
      <c r="D291" s="66"/>
      <c r="E291" s="43" t="s">
        <v>34</v>
      </c>
      <c r="F291" s="44"/>
      <c r="G291" s="43" t="s">
        <v>31</v>
      </c>
      <c r="H291" s="45">
        <v>1</v>
      </c>
      <c r="I291" s="46">
        <f>5</f>
        <v>5</v>
      </c>
      <c r="J291" s="23"/>
      <c r="K291" s="47"/>
      <c r="L291" s="48"/>
      <c r="M291" s="49"/>
      <c r="N291" s="49">
        <f t="shared" si="9"/>
        <v>0</v>
      </c>
      <c r="O291" s="49"/>
      <c r="P291" s="49"/>
      <c r="Q291" s="49"/>
      <c r="R291" s="23"/>
      <c r="XCY291"/>
      <c r="XCZ291"/>
      <c r="XDA291"/>
      <c r="XDB291"/>
      <c r="XDC291"/>
      <c r="XDD291"/>
      <c r="XDE291"/>
      <c r="XDF291"/>
      <c r="XDG291"/>
      <c r="XDH291"/>
      <c r="XDI291"/>
      <c r="XDJ291"/>
      <c r="XDK291"/>
      <c r="XDL291"/>
      <c r="XDM291"/>
      <c r="XDN291"/>
      <c r="XDO291"/>
      <c r="XDP291"/>
      <c r="XDQ291"/>
      <c r="XDR291"/>
      <c r="XDS291"/>
      <c r="XDT291"/>
      <c r="XDU291"/>
      <c r="XDV291"/>
      <c r="XDW291"/>
      <c r="XDX291"/>
      <c r="XDY291"/>
      <c r="XDZ291"/>
      <c r="XEA291"/>
      <c r="XEB291"/>
      <c r="XEC291"/>
      <c r="XED291"/>
      <c r="XEE291"/>
      <c r="XEF291"/>
      <c r="XEG291"/>
      <c r="XEH291"/>
      <c r="XEI291"/>
      <c r="XEJ291"/>
      <c r="XEK291"/>
      <c r="XEL291"/>
      <c r="XEM291"/>
      <c r="XEN291"/>
      <c r="XEO291"/>
      <c r="XEP291"/>
      <c r="XEQ291"/>
      <c r="XER291"/>
      <c r="XES291"/>
      <c r="XET291"/>
      <c r="XEU291"/>
      <c r="XEV291"/>
      <c r="XEW291"/>
      <c r="XEX291"/>
      <c r="XEY291"/>
      <c r="XEZ291"/>
      <c r="XFA291"/>
      <c r="XFB291"/>
      <c r="XFC291"/>
      <c r="XFD291"/>
    </row>
    <row r="292" spans="1:18 16327:16384" s="26" customFormat="1" ht="29.1" customHeight="1" outlineLevel="2" x14ac:dyDescent="0.25">
      <c r="A292" s="34" t="s">
        <v>518</v>
      </c>
      <c r="B292" s="35"/>
      <c r="C292" s="65" t="s">
        <v>36</v>
      </c>
      <c r="D292" s="65"/>
      <c r="E292" s="35"/>
      <c r="F292" s="36"/>
      <c r="G292" s="35" t="s">
        <v>31</v>
      </c>
      <c r="H292" s="37"/>
      <c r="I292" s="38">
        <f>5</f>
        <v>5</v>
      </c>
      <c r="J292" s="23"/>
      <c r="K292" s="39"/>
      <c r="L292" s="40"/>
      <c r="M292" s="41">
        <f>K292+L292</f>
        <v>0</v>
      </c>
      <c r="N292" s="41">
        <f t="shared" si="9"/>
        <v>0</v>
      </c>
      <c r="O292" s="41">
        <f>ROUND((I292*L292),2)</f>
        <v>0</v>
      </c>
      <c r="P292" s="41">
        <f>ROUND((I292*M292),2)</f>
        <v>0</v>
      </c>
      <c r="Q292" s="41"/>
      <c r="R292" s="23"/>
      <c r="XCY292"/>
      <c r="XCZ292"/>
      <c r="XDA292"/>
      <c r="XDB292"/>
      <c r="XDC292"/>
      <c r="XDD292"/>
      <c r="XDE292"/>
      <c r="XDF292"/>
      <c r="XDG292"/>
      <c r="XDH292"/>
      <c r="XDI292"/>
      <c r="XDJ292"/>
      <c r="XDK292"/>
      <c r="XDL292"/>
      <c r="XDM292"/>
      <c r="XDN292"/>
      <c r="XDO292"/>
      <c r="XDP292"/>
      <c r="XDQ292"/>
      <c r="XDR292"/>
      <c r="XDS292"/>
      <c r="XDT292"/>
      <c r="XDU292"/>
      <c r="XDV292"/>
      <c r="XDW292"/>
      <c r="XDX292"/>
      <c r="XDY292"/>
      <c r="XDZ292"/>
      <c r="XEA292"/>
      <c r="XEB292"/>
      <c r="XEC292"/>
      <c r="XED292"/>
      <c r="XEE292"/>
      <c r="XEF292"/>
      <c r="XEG292"/>
      <c r="XEH292"/>
      <c r="XEI292"/>
      <c r="XEJ292"/>
      <c r="XEK292"/>
      <c r="XEL292"/>
      <c r="XEM292"/>
      <c r="XEN292"/>
      <c r="XEO292"/>
      <c r="XEP292"/>
      <c r="XEQ292"/>
      <c r="XER292"/>
      <c r="XES292"/>
      <c r="XET292"/>
      <c r="XEU292"/>
      <c r="XEV292"/>
      <c r="XEW292"/>
      <c r="XEX292"/>
      <c r="XEY292"/>
      <c r="XEZ292"/>
      <c r="XFA292"/>
      <c r="XFB292"/>
      <c r="XFC292"/>
      <c r="XFD292"/>
    </row>
    <row r="293" spans="1:18 16327:16384" s="26" customFormat="1" ht="29.1" customHeight="1" outlineLevel="3" x14ac:dyDescent="0.25">
      <c r="A293" s="42" t="s">
        <v>519</v>
      </c>
      <c r="B293" s="43"/>
      <c r="C293" s="66" t="s">
        <v>520</v>
      </c>
      <c r="D293" s="66"/>
      <c r="E293" s="43" t="s">
        <v>34</v>
      </c>
      <c r="F293" s="44"/>
      <c r="G293" s="43" t="s">
        <v>31</v>
      </c>
      <c r="H293" s="45">
        <v>1</v>
      </c>
      <c r="I293" s="46">
        <f>5</f>
        <v>5</v>
      </c>
      <c r="J293" s="23"/>
      <c r="K293" s="47"/>
      <c r="L293" s="48"/>
      <c r="M293" s="49"/>
      <c r="N293" s="49">
        <f t="shared" si="9"/>
        <v>0</v>
      </c>
      <c r="O293" s="49"/>
      <c r="P293" s="49"/>
      <c r="Q293" s="49"/>
      <c r="R293" s="23"/>
      <c r="XCY293"/>
      <c r="XCZ293"/>
      <c r="XDA293"/>
      <c r="XDB293"/>
      <c r="XDC293"/>
      <c r="XDD293"/>
      <c r="XDE293"/>
      <c r="XDF293"/>
      <c r="XDG293"/>
      <c r="XDH293"/>
      <c r="XDI293"/>
      <c r="XDJ293"/>
      <c r="XDK293"/>
      <c r="XDL293"/>
      <c r="XDM293"/>
      <c r="XDN293"/>
      <c r="XDO293"/>
      <c r="XDP293"/>
      <c r="XDQ293"/>
      <c r="XDR293"/>
      <c r="XDS293"/>
      <c r="XDT293"/>
      <c r="XDU293"/>
      <c r="XDV293"/>
      <c r="XDW293"/>
      <c r="XDX293"/>
      <c r="XDY293"/>
      <c r="XDZ293"/>
      <c r="XEA293"/>
      <c r="XEB293"/>
      <c r="XEC293"/>
      <c r="XED293"/>
      <c r="XEE293"/>
      <c r="XEF293"/>
      <c r="XEG293"/>
      <c r="XEH293"/>
      <c r="XEI293"/>
      <c r="XEJ293"/>
      <c r="XEK293"/>
      <c r="XEL293"/>
      <c r="XEM293"/>
      <c r="XEN293"/>
      <c r="XEO293"/>
      <c r="XEP293"/>
      <c r="XEQ293"/>
      <c r="XER293"/>
      <c r="XES293"/>
      <c r="XET293"/>
      <c r="XEU293"/>
      <c r="XEV293"/>
      <c r="XEW293"/>
      <c r="XEX293"/>
      <c r="XEY293"/>
      <c r="XEZ293"/>
      <c r="XFA293"/>
      <c r="XFB293"/>
      <c r="XFC293"/>
      <c r="XFD293"/>
    </row>
    <row r="294" spans="1:18 16327:16384" s="26" customFormat="1" ht="29.1" customHeight="1" outlineLevel="2" x14ac:dyDescent="0.25">
      <c r="A294" s="34" t="s">
        <v>521</v>
      </c>
      <c r="B294" s="35"/>
      <c r="C294" s="65" t="s">
        <v>36</v>
      </c>
      <c r="D294" s="65"/>
      <c r="E294" s="35"/>
      <c r="F294" s="36"/>
      <c r="G294" s="35" t="s">
        <v>31</v>
      </c>
      <c r="H294" s="37"/>
      <c r="I294" s="38">
        <f>4</f>
        <v>4</v>
      </c>
      <c r="J294" s="23"/>
      <c r="K294" s="39"/>
      <c r="L294" s="40"/>
      <c r="M294" s="41">
        <f>K294+L294</f>
        <v>0</v>
      </c>
      <c r="N294" s="41">
        <f t="shared" si="9"/>
        <v>0</v>
      </c>
      <c r="O294" s="41">
        <f>ROUND((I294*L294),2)</f>
        <v>0</v>
      </c>
      <c r="P294" s="41">
        <f>ROUND((I294*M294),2)</f>
        <v>0</v>
      </c>
      <c r="Q294" s="41"/>
      <c r="R294" s="23"/>
      <c r="XCY294"/>
      <c r="XCZ294"/>
      <c r="XDA294"/>
      <c r="XDB294"/>
      <c r="XDC294"/>
      <c r="XDD294"/>
      <c r="XDE294"/>
      <c r="XDF294"/>
      <c r="XDG294"/>
      <c r="XDH294"/>
      <c r="XDI294"/>
      <c r="XDJ294"/>
      <c r="XDK294"/>
      <c r="XDL294"/>
      <c r="XDM294"/>
      <c r="XDN294"/>
      <c r="XDO294"/>
      <c r="XDP294"/>
      <c r="XDQ294"/>
      <c r="XDR294"/>
      <c r="XDS294"/>
      <c r="XDT294"/>
      <c r="XDU294"/>
      <c r="XDV294"/>
      <c r="XDW294"/>
      <c r="XDX294"/>
      <c r="XDY294"/>
      <c r="XDZ294"/>
      <c r="XEA294"/>
      <c r="XEB294"/>
      <c r="XEC294"/>
      <c r="XED294"/>
      <c r="XEE294"/>
      <c r="XEF294"/>
      <c r="XEG294"/>
      <c r="XEH294"/>
      <c r="XEI294"/>
      <c r="XEJ294"/>
      <c r="XEK294"/>
      <c r="XEL294"/>
      <c r="XEM294"/>
      <c r="XEN294"/>
      <c r="XEO294"/>
      <c r="XEP294"/>
      <c r="XEQ294"/>
      <c r="XER294"/>
      <c r="XES294"/>
      <c r="XET294"/>
      <c r="XEU294"/>
      <c r="XEV294"/>
      <c r="XEW294"/>
      <c r="XEX294"/>
      <c r="XEY294"/>
      <c r="XEZ294"/>
      <c r="XFA294"/>
      <c r="XFB294"/>
      <c r="XFC294"/>
      <c r="XFD294"/>
    </row>
    <row r="295" spans="1:18 16327:16384" s="26" customFormat="1" ht="29.1" customHeight="1" outlineLevel="3" x14ac:dyDescent="0.25">
      <c r="A295" s="42" t="s">
        <v>522</v>
      </c>
      <c r="B295" s="43"/>
      <c r="C295" s="66" t="s">
        <v>523</v>
      </c>
      <c r="D295" s="66"/>
      <c r="E295" s="43" t="s">
        <v>34</v>
      </c>
      <c r="F295" s="44"/>
      <c r="G295" s="43" t="s">
        <v>31</v>
      </c>
      <c r="H295" s="45">
        <v>1</v>
      </c>
      <c r="I295" s="46">
        <f>4</f>
        <v>4</v>
      </c>
      <c r="J295" s="23"/>
      <c r="K295" s="47"/>
      <c r="L295" s="48"/>
      <c r="M295" s="49"/>
      <c r="N295" s="49">
        <f t="shared" ref="N295:N325" si="10">ROUND((I295*K295),2)</f>
        <v>0</v>
      </c>
      <c r="O295" s="49"/>
      <c r="P295" s="49"/>
      <c r="Q295" s="49"/>
      <c r="R295" s="23"/>
      <c r="XCY295"/>
      <c r="XCZ295"/>
      <c r="XDA295"/>
      <c r="XDB295"/>
      <c r="XDC295"/>
      <c r="XDD295"/>
      <c r="XDE295"/>
      <c r="XDF295"/>
      <c r="XDG295"/>
      <c r="XDH295"/>
      <c r="XDI295"/>
      <c r="XDJ295"/>
      <c r="XDK295"/>
      <c r="XDL295"/>
      <c r="XDM295"/>
      <c r="XDN295"/>
      <c r="XDO295"/>
      <c r="XDP295"/>
      <c r="XDQ295"/>
      <c r="XDR295"/>
      <c r="XDS295"/>
      <c r="XDT295"/>
      <c r="XDU295"/>
      <c r="XDV295"/>
      <c r="XDW295"/>
      <c r="XDX295"/>
      <c r="XDY295"/>
      <c r="XDZ295"/>
      <c r="XEA295"/>
      <c r="XEB295"/>
      <c r="XEC295"/>
      <c r="XED295"/>
      <c r="XEE295"/>
      <c r="XEF295"/>
      <c r="XEG295"/>
      <c r="XEH295"/>
      <c r="XEI295"/>
      <c r="XEJ295"/>
      <c r="XEK295"/>
      <c r="XEL295"/>
      <c r="XEM295"/>
      <c r="XEN295"/>
      <c r="XEO295"/>
      <c r="XEP295"/>
      <c r="XEQ295"/>
      <c r="XER295"/>
      <c r="XES295"/>
      <c r="XET295"/>
      <c r="XEU295"/>
      <c r="XEV295"/>
      <c r="XEW295"/>
      <c r="XEX295"/>
      <c r="XEY295"/>
      <c r="XEZ295"/>
      <c r="XFA295"/>
      <c r="XFB295"/>
      <c r="XFC295"/>
      <c r="XFD295"/>
    </row>
    <row r="296" spans="1:18 16327:16384" s="26" customFormat="1" ht="29.1" customHeight="1" outlineLevel="2" x14ac:dyDescent="0.25">
      <c r="A296" s="34" t="s">
        <v>524</v>
      </c>
      <c r="B296" s="35"/>
      <c r="C296" s="65" t="s">
        <v>36</v>
      </c>
      <c r="D296" s="65"/>
      <c r="E296" s="35"/>
      <c r="F296" s="36"/>
      <c r="G296" s="35" t="s">
        <v>31</v>
      </c>
      <c r="H296" s="37"/>
      <c r="I296" s="38">
        <f>4</f>
        <v>4</v>
      </c>
      <c r="J296" s="23"/>
      <c r="K296" s="39"/>
      <c r="L296" s="40"/>
      <c r="M296" s="41">
        <f>K296+L296</f>
        <v>0</v>
      </c>
      <c r="N296" s="41">
        <f t="shared" si="10"/>
        <v>0</v>
      </c>
      <c r="O296" s="41">
        <f>ROUND((I296*L296),2)</f>
        <v>0</v>
      </c>
      <c r="P296" s="41">
        <f>ROUND((I296*M296),2)</f>
        <v>0</v>
      </c>
      <c r="Q296" s="41"/>
      <c r="R296" s="23"/>
      <c r="XCY296"/>
      <c r="XCZ296"/>
      <c r="XDA296"/>
      <c r="XDB296"/>
      <c r="XDC296"/>
      <c r="XDD296"/>
      <c r="XDE296"/>
      <c r="XDF296"/>
      <c r="XDG296"/>
      <c r="XDH296"/>
      <c r="XDI296"/>
      <c r="XDJ296"/>
      <c r="XDK296"/>
      <c r="XDL296"/>
      <c r="XDM296"/>
      <c r="XDN296"/>
      <c r="XDO296"/>
      <c r="XDP296"/>
      <c r="XDQ296"/>
      <c r="XDR296"/>
      <c r="XDS296"/>
      <c r="XDT296"/>
      <c r="XDU296"/>
      <c r="XDV296"/>
      <c r="XDW296"/>
      <c r="XDX296"/>
      <c r="XDY296"/>
      <c r="XDZ296"/>
      <c r="XEA296"/>
      <c r="XEB296"/>
      <c r="XEC296"/>
      <c r="XED296"/>
      <c r="XEE296"/>
      <c r="XEF296"/>
      <c r="XEG296"/>
      <c r="XEH296"/>
      <c r="XEI296"/>
      <c r="XEJ296"/>
      <c r="XEK296"/>
      <c r="XEL296"/>
      <c r="XEM296"/>
      <c r="XEN296"/>
      <c r="XEO296"/>
      <c r="XEP296"/>
      <c r="XEQ296"/>
      <c r="XER296"/>
      <c r="XES296"/>
      <c r="XET296"/>
      <c r="XEU296"/>
      <c r="XEV296"/>
      <c r="XEW296"/>
      <c r="XEX296"/>
      <c r="XEY296"/>
      <c r="XEZ296"/>
      <c r="XFA296"/>
      <c r="XFB296"/>
      <c r="XFC296"/>
      <c r="XFD296"/>
    </row>
    <row r="297" spans="1:18 16327:16384" s="26" customFormat="1" ht="29.1" customHeight="1" outlineLevel="3" x14ac:dyDescent="0.25">
      <c r="A297" s="42" t="s">
        <v>525</v>
      </c>
      <c r="B297" s="43"/>
      <c r="C297" s="66" t="s">
        <v>526</v>
      </c>
      <c r="D297" s="66"/>
      <c r="E297" s="43" t="s">
        <v>34</v>
      </c>
      <c r="F297" s="44"/>
      <c r="G297" s="43" t="s">
        <v>31</v>
      </c>
      <c r="H297" s="45">
        <v>1</v>
      </c>
      <c r="I297" s="46">
        <f>4</f>
        <v>4</v>
      </c>
      <c r="J297" s="23"/>
      <c r="K297" s="47"/>
      <c r="L297" s="48"/>
      <c r="M297" s="49"/>
      <c r="N297" s="49">
        <f t="shared" si="10"/>
        <v>0</v>
      </c>
      <c r="O297" s="49"/>
      <c r="P297" s="49"/>
      <c r="Q297" s="49"/>
      <c r="R297" s="23"/>
      <c r="XCY297"/>
      <c r="XCZ297"/>
      <c r="XDA297"/>
      <c r="XDB297"/>
      <c r="XDC297"/>
      <c r="XDD297"/>
      <c r="XDE297"/>
      <c r="XDF297"/>
      <c r="XDG297"/>
      <c r="XDH297"/>
      <c r="XDI297"/>
      <c r="XDJ297"/>
      <c r="XDK297"/>
      <c r="XDL297"/>
      <c r="XDM297"/>
      <c r="XDN297"/>
      <c r="XDO297"/>
      <c r="XDP297"/>
      <c r="XDQ297"/>
      <c r="XDR297"/>
      <c r="XDS297"/>
      <c r="XDT297"/>
      <c r="XDU297"/>
      <c r="XDV297"/>
      <c r="XDW297"/>
      <c r="XDX297"/>
      <c r="XDY297"/>
      <c r="XDZ297"/>
      <c r="XEA297"/>
      <c r="XEB297"/>
      <c r="XEC297"/>
      <c r="XED297"/>
      <c r="XEE297"/>
      <c r="XEF297"/>
      <c r="XEG297"/>
      <c r="XEH297"/>
      <c r="XEI297"/>
      <c r="XEJ297"/>
      <c r="XEK297"/>
      <c r="XEL297"/>
      <c r="XEM297"/>
      <c r="XEN297"/>
      <c r="XEO297"/>
      <c r="XEP297"/>
      <c r="XEQ297"/>
      <c r="XER297"/>
      <c r="XES297"/>
      <c r="XET297"/>
      <c r="XEU297"/>
      <c r="XEV297"/>
      <c r="XEW297"/>
      <c r="XEX297"/>
      <c r="XEY297"/>
      <c r="XEZ297"/>
      <c r="XFA297"/>
      <c r="XFB297"/>
      <c r="XFC297"/>
      <c r="XFD297"/>
    </row>
    <row r="298" spans="1:18 16327:16384" s="26" customFormat="1" ht="29.1" customHeight="1" outlineLevel="2" x14ac:dyDescent="0.25">
      <c r="A298" s="34" t="s">
        <v>527</v>
      </c>
      <c r="B298" s="35"/>
      <c r="C298" s="65" t="s">
        <v>36</v>
      </c>
      <c r="D298" s="65"/>
      <c r="E298" s="35"/>
      <c r="F298" s="36"/>
      <c r="G298" s="35" t="s">
        <v>31</v>
      </c>
      <c r="H298" s="37"/>
      <c r="I298" s="38">
        <f>5</f>
        <v>5</v>
      </c>
      <c r="J298" s="23"/>
      <c r="K298" s="39"/>
      <c r="L298" s="40"/>
      <c r="M298" s="41">
        <f>K298+L298</f>
        <v>0</v>
      </c>
      <c r="N298" s="41">
        <f t="shared" si="10"/>
        <v>0</v>
      </c>
      <c r="O298" s="41">
        <f>ROUND((I298*L298),2)</f>
        <v>0</v>
      </c>
      <c r="P298" s="41">
        <f>ROUND((I298*M298),2)</f>
        <v>0</v>
      </c>
      <c r="Q298" s="41"/>
      <c r="R298" s="23"/>
      <c r="XCY298"/>
      <c r="XCZ298"/>
      <c r="XDA298"/>
      <c r="XDB298"/>
      <c r="XDC298"/>
      <c r="XDD298"/>
      <c r="XDE298"/>
      <c r="XDF298"/>
      <c r="XDG298"/>
      <c r="XDH298"/>
      <c r="XDI298"/>
      <c r="XDJ298"/>
      <c r="XDK298"/>
      <c r="XDL298"/>
      <c r="XDM298"/>
      <c r="XDN298"/>
      <c r="XDO298"/>
      <c r="XDP298"/>
      <c r="XDQ298"/>
      <c r="XDR298"/>
      <c r="XDS298"/>
      <c r="XDT298"/>
      <c r="XDU298"/>
      <c r="XDV298"/>
      <c r="XDW298"/>
      <c r="XDX298"/>
      <c r="XDY298"/>
      <c r="XDZ298"/>
      <c r="XEA298"/>
      <c r="XEB298"/>
      <c r="XEC298"/>
      <c r="XED298"/>
      <c r="XEE298"/>
      <c r="XEF298"/>
      <c r="XEG298"/>
      <c r="XEH298"/>
      <c r="XEI298"/>
      <c r="XEJ298"/>
      <c r="XEK298"/>
      <c r="XEL298"/>
      <c r="XEM298"/>
      <c r="XEN298"/>
      <c r="XEO298"/>
      <c r="XEP298"/>
      <c r="XEQ298"/>
      <c r="XER298"/>
      <c r="XES298"/>
      <c r="XET298"/>
      <c r="XEU298"/>
      <c r="XEV298"/>
      <c r="XEW298"/>
      <c r="XEX298"/>
      <c r="XEY298"/>
      <c r="XEZ298"/>
      <c r="XFA298"/>
      <c r="XFB298"/>
      <c r="XFC298"/>
      <c r="XFD298"/>
    </row>
    <row r="299" spans="1:18 16327:16384" s="26" customFormat="1" ht="29.1" customHeight="1" outlineLevel="3" x14ac:dyDescent="0.25">
      <c r="A299" s="42" t="s">
        <v>528</v>
      </c>
      <c r="B299" s="43"/>
      <c r="C299" s="66" t="s">
        <v>529</v>
      </c>
      <c r="D299" s="66"/>
      <c r="E299" s="43" t="s">
        <v>34</v>
      </c>
      <c r="F299" s="44"/>
      <c r="G299" s="43" t="s">
        <v>31</v>
      </c>
      <c r="H299" s="45">
        <v>1</v>
      </c>
      <c r="I299" s="46">
        <f>5</f>
        <v>5</v>
      </c>
      <c r="J299" s="23"/>
      <c r="K299" s="47"/>
      <c r="L299" s="48"/>
      <c r="M299" s="49"/>
      <c r="N299" s="49">
        <f t="shared" si="10"/>
        <v>0</v>
      </c>
      <c r="O299" s="49"/>
      <c r="P299" s="49"/>
      <c r="Q299" s="49"/>
      <c r="R299" s="23"/>
      <c r="XCY299"/>
      <c r="XCZ299"/>
      <c r="XDA299"/>
      <c r="XDB299"/>
      <c r="XDC299"/>
      <c r="XDD299"/>
      <c r="XDE299"/>
      <c r="XDF299"/>
      <c r="XDG299"/>
      <c r="XDH299"/>
      <c r="XDI299"/>
      <c r="XDJ299"/>
      <c r="XDK299"/>
      <c r="XDL299"/>
      <c r="XDM299"/>
      <c r="XDN299"/>
      <c r="XDO299"/>
      <c r="XDP299"/>
      <c r="XDQ299"/>
      <c r="XDR299"/>
      <c r="XDS299"/>
      <c r="XDT299"/>
      <c r="XDU299"/>
      <c r="XDV299"/>
      <c r="XDW299"/>
      <c r="XDX299"/>
      <c r="XDY299"/>
      <c r="XDZ299"/>
      <c r="XEA299"/>
      <c r="XEB299"/>
      <c r="XEC299"/>
      <c r="XED299"/>
      <c r="XEE299"/>
      <c r="XEF299"/>
      <c r="XEG299"/>
      <c r="XEH299"/>
      <c r="XEI299"/>
      <c r="XEJ299"/>
      <c r="XEK299"/>
      <c r="XEL299"/>
      <c r="XEM299"/>
      <c r="XEN299"/>
      <c r="XEO299"/>
      <c r="XEP299"/>
      <c r="XEQ299"/>
      <c r="XER299"/>
      <c r="XES299"/>
      <c r="XET299"/>
      <c r="XEU299"/>
      <c r="XEV299"/>
      <c r="XEW299"/>
      <c r="XEX299"/>
      <c r="XEY299"/>
      <c r="XEZ299"/>
      <c r="XFA299"/>
      <c r="XFB299"/>
      <c r="XFC299"/>
      <c r="XFD299"/>
    </row>
    <row r="300" spans="1:18 16327:16384" s="26" customFormat="1" ht="29.1" customHeight="1" outlineLevel="2" x14ac:dyDescent="0.25">
      <c r="A300" s="34" t="s">
        <v>530</v>
      </c>
      <c r="B300" s="35"/>
      <c r="C300" s="65" t="s">
        <v>120</v>
      </c>
      <c r="D300" s="65"/>
      <c r="E300" s="35"/>
      <c r="F300" s="36"/>
      <c r="G300" s="35" t="s">
        <v>31</v>
      </c>
      <c r="H300" s="37"/>
      <c r="I300" s="38">
        <f>5</f>
        <v>5</v>
      </c>
      <c r="J300" s="23"/>
      <c r="K300" s="39"/>
      <c r="L300" s="40"/>
      <c r="M300" s="41">
        <f>K300+L300</f>
        <v>0</v>
      </c>
      <c r="N300" s="41">
        <f t="shared" si="10"/>
        <v>0</v>
      </c>
      <c r="O300" s="41">
        <f>ROUND((I300*L300),2)</f>
        <v>0</v>
      </c>
      <c r="P300" s="41">
        <f>ROUND((I300*M300),2)</f>
        <v>0</v>
      </c>
      <c r="Q300" s="41"/>
      <c r="R300" s="23"/>
      <c r="XCY300"/>
      <c r="XCZ300"/>
      <c r="XDA300"/>
      <c r="XDB300"/>
      <c r="XDC300"/>
      <c r="XDD300"/>
      <c r="XDE300"/>
      <c r="XDF300"/>
      <c r="XDG300"/>
      <c r="XDH300"/>
      <c r="XDI300"/>
      <c r="XDJ300"/>
      <c r="XDK300"/>
      <c r="XDL300"/>
      <c r="XDM300"/>
      <c r="XDN300"/>
      <c r="XDO300"/>
      <c r="XDP300"/>
      <c r="XDQ300"/>
      <c r="XDR300"/>
      <c r="XDS300"/>
      <c r="XDT300"/>
      <c r="XDU300"/>
      <c r="XDV300"/>
      <c r="XDW300"/>
      <c r="XDX300"/>
      <c r="XDY300"/>
      <c r="XDZ300"/>
      <c r="XEA300"/>
      <c r="XEB300"/>
      <c r="XEC300"/>
      <c r="XED300"/>
      <c r="XEE300"/>
      <c r="XEF300"/>
      <c r="XEG300"/>
      <c r="XEH300"/>
      <c r="XEI300"/>
      <c r="XEJ300"/>
      <c r="XEK300"/>
      <c r="XEL300"/>
      <c r="XEM300"/>
      <c r="XEN300"/>
      <c r="XEO300"/>
      <c r="XEP300"/>
      <c r="XEQ300"/>
      <c r="XER300"/>
      <c r="XES300"/>
      <c r="XET300"/>
      <c r="XEU300"/>
      <c r="XEV300"/>
      <c r="XEW300"/>
      <c r="XEX300"/>
      <c r="XEY300"/>
      <c r="XEZ300"/>
      <c r="XFA300"/>
      <c r="XFB300"/>
      <c r="XFC300"/>
      <c r="XFD300"/>
    </row>
    <row r="301" spans="1:18 16327:16384" s="26" customFormat="1" ht="29.1" customHeight="1" outlineLevel="3" x14ac:dyDescent="0.25">
      <c r="A301" s="42" t="s">
        <v>531</v>
      </c>
      <c r="B301" s="43"/>
      <c r="C301" s="66" t="s">
        <v>532</v>
      </c>
      <c r="D301" s="66"/>
      <c r="E301" s="43" t="s">
        <v>34</v>
      </c>
      <c r="F301" s="44"/>
      <c r="G301" s="43" t="s">
        <v>31</v>
      </c>
      <c r="H301" s="45">
        <v>1</v>
      </c>
      <c r="I301" s="46">
        <f>5</f>
        <v>5</v>
      </c>
      <c r="J301" s="23"/>
      <c r="K301" s="47"/>
      <c r="L301" s="48"/>
      <c r="M301" s="49"/>
      <c r="N301" s="49">
        <f t="shared" si="10"/>
        <v>0</v>
      </c>
      <c r="O301" s="49"/>
      <c r="P301" s="49"/>
      <c r="Q301" s="49"/>
      <c r="R301" s="23"/>
      <c r="XCY301"/>
      <c r="XCZ301"/>
      <c r="XDA301"/>
      <c r="XDB301"/>
      <c r="XDC301"/>
      <c r="XDD301"/>
      <c r="XDE301"/>
      <c r="XDF301"/>
      <c r="XDG301"/>
      <c r="XDH301"/>
      <c r="XDI301"/>
      <c r="XDJ301"/>
      <c r="XDK301"/>
      <c r="XDL301"/>
      <c r="XDM301"/>
      <c r="XDN301"/>
      <c r="XDO301"/>
      <c r="XDP301"/>
      <c r="XDQ301"/>
      <c r="XDR301"/>
      <c r="XDS301"/>
      <c r="XDT301"/>
      <c r="XDU301"/>
      <c r="XDV301"/>
      <c r="XDW301"/>
      <c r="XDX301"/>
      <c r="XDY301"/>
      <c r="XDZ301"/>
      <c r="XEA301"/>
      <c r="XEB301"/>
      <c r="XEC301"/>
      <c r="XED301"/>
      <c r="XEE301"/>
      <c r="XEF301"/>
      <c r="XEG301"/>
      <c r="XEH301"/>
      <c r="XEI301"/>
      <c r="XEJ301"/>
      <c r="XEK301"/>
      <c r="XEL301"/>
      <c r="XEM301"/>
      <c r="XEN301"/>
      <c r="XEO301"/>
      <c r="XEP301"/>
      <c r="XEQ301"/>
      <c r="XER301"/>
      <c r="XES301"/>
      <c r="XET301"/>
      <c r="XEU301"/>
      <c r="XEV301"/>
      <c r="XEW301"/>
      <c r="XEX301"/>
      <c r="XEY301"/>
      <c r="XEZ301"/>
      <c r="XFA301"/>
      <c r="XFB301"/>
      <c r="XFC301"/>
      <c r="XFD301"/>
    </row>
    <row r="302" spans="1:18 16327:16384" s="26" customFormat="1" ht="29.1" customHeight="1" outlineLevel="2" x14ac:dyDescent="0.25">
      <c r="A302" s="34" t="s">
        <v>533</v>
      </c>
      <c r="B302" s="35"/>
      <c r="C302" s="65" t="s">
        <v>36</v>
      </c>
      <c r="D302" s="65"/>
      <c r="E302" s="35"/>
      <c r="F302" s="36"/>
      <c r="G302" s="35" t="s">
        <v>31</v>
      </c>
      <c r="H302" s="37"/>
      <c r="I302" s="38">
        <f>4</f>
        <v>4</v>
      </c>
      <c r="J302" s="23"/>
      <c r="K302" s="39"/>
      <c r="L302" s="40"/>
      <c r="M302" s="41">
        <f>K302+L302</f>
        <v>0</v>
      </c>
      <c r="N302" s="41">
        <f t="shared" si="10"/>
        <v>0</v>
      </c>
      <c r="O302" s="41">
        <f>ROUND((I302*L302),2)</f>
        <v>0</v>
      </c>
      <c r="P302" s="41">
        <f>ROUND((I302*M302),2)</f>
        <v>0</v>
      </c>
      <c r="Q302" s="41"/>
      <c r="R302" s="23"/>
      <c r="XCY302"/>
      <c r="XCZ302"/>
      <c r="XDA302"/>
      <c r="XDB302"/>
      <c r="XDC302"/>
      <c r="XDD302"/>
      <c r="XDE302"/>
      <c r="XDF302"/>
      <c r="XDG302"/>
      <c r="XDH302"/>
      <c r="XDI302"/>
      <c r="XDJ302"/>
      <c r="XDK302"/>
      <c r="XDL302"/>
      <c r="XDM302"/>
      <c r="XDN302"/>
      <c r="XDO302"/>
      <c r="XDP302"/>
      <c r="XDQ302"/>
      <c r="XDR302"/>
      <c r="XDS302"/>
      <c r="XDT302"/>
      <c r="XDU302"/>
      <c r="XDV302"/>
      <c r="XDW302"/>
      <c r="XDX302"/>
      <c r="XDY302"/>
      <c r="XDZ302"/>
      <c r="XEA302"/>
      <c r="XEB302"/>
      <c r="XEC302"/>
      <c r="XED302"/>
      <c r="XEE302"/>
      <c r="XEF302"/>
      <c r="XEG302"/>
      <c r="XEH302"/>
      <c r="XEI302"/>
      <c r="XEJ302"/>
      <c r="XEK302"/>
      <c r="XEL302"/>
      <c r="XEM302"/>
      <c r="XEN302"/>
      <c r="XEO302"/>
      <c r="XEP302"/>
      <c r="XEQ302"/>
      <c r="XER302"/>
      <c r="XES302"/>
      <c r="XET302"/>
      <c r="XEU302"/>
      <c r="XEV302"/>
      <c r="XEW302"/>
      <c r="XEX302"/>
      <c r="XEY302"/>
      <c r="XEZ302"/>
      <c r="XFA302"/>
      <c r="XFB302"/>
      <c r="XFC302"/>
      <c r="XFD302"/>
    </row>
    <row r="303" spans="1:18 16327:16384" s="26" customFormat="1" ht="29.1" customHeight="1" outlineLevel="3" x14ac:dyDescent="0.25">
      <c r="A303" s="42" t="s">
        <v>534</v>
      </c>
      <c r="B303" s="43"/>
      <c r="C303" s="66" t="s">
        <v>535</v>
      </c>
      <c r="D303" s="66"/>
      <c r="E303" s="43" t="s">
        <v>34</v>
      </c>
      <c r="F303" s="44"/>
      <c r="G303" s="43" t="s">
        <v>31</v>
      </c>
      <c r="H303" s="45">
        <v>1</v>
      </c>
      <c r="I303" s="46">
        <f>4</f>
        <v>4</v>
      </c>
      <c r="J303" s="23"/>
      <c r="K303" s="47"/>
      <c r="L303" s="48"/>
      <c r="M303" s="49"/>
      <c r="N303" s="49">
        <f t="shared" si="10"/>
        <v>0</v>
      </c>
      <c r="O303" s="49"/>
      <c r="P303" s="49"/>
      <c r="Q303" s="49"/>
      <c r="R303" s="23"/>
      <c r="XCY303"/>
      <c r="XCZ303"/>
      <c r="XDA303"/>
      <c r="XDB303"/>
      <c r="XDC303"/>
      <c r="XDD303"/>
      <c r="XDE303"/>
      <c r="XDF303"/>
      <c r="XDG303"/>
      <c r="XDH303"/>
      <c r="XDI303"/>
      <c r="XDJ303"/>
      <c r="XDK303"/>
      <c r="XDL303"/>
      <c r="XDM303"/>
      <c r="XDN303"/>
      <c r="XDO303"/>
      <c r="XDP303"/>
      <c r="XDQ303"/>
      <c r="XDR303"/>
      <c r="XDS303"/>
      <c r="XDT303"/>
      <c r="XDU303"/>
      <c r="XDV303"/>
      <c r="XDW303"/>
      <c r="XDX303"/>
      <c r="XDY303"/>
      <c r="XDZ303"/>
      <c r="XEA303"/>
      <c r="XEB303"/>
      <c r="XEC303"/>
      <c r="XED303"/>
      <c r="XEE303"/>
      <c r="XEF303"/>
      <c r="XEG303"/>
      <c r="XEH303"/>
      <c r="XEI303"/>
      <c r="XEJ303"/>
      <c r="XEK303"/>
      <c r="XEL303"/>
      <c r="XEM303"/>
      <c r="XEN303"/>
      <c r="XEO303"/>
      <c r="XEP303"/>
      <c r="XEQ303"/>
      <c r="XER303"/>
      <c r="XES303"/>
      <c r="XET303"/>
      <c r="XEU303"/>
      <c r="XEV303"/>
      <c r="XEW303"/>
      <c r="XEX303"/>
      <c r="XEY303"/>
      <c r="XEZ303"/>
      <c r="XFA303"/>
      <c r="XFB303"/>
      <c r="XFC303"/>
      <c r="XFD303"/>
    </row>
    <row r="304" spans="1:18 16327:16384" s="26" customFormat="1" ht="29.1" customHeight="1" outlineLevel="2" x14ac:dyDescent="0.25">
      <c r="A304" s="34" t="s">
        <v>536</v>
      </c>
      <c r="B304" s="35"/>
      <c r="C304" s="65" t="s">
        <v>36</v>
      </c>
      <c r="D304" s="65"/>
      <c r="E304" s="35"/>
      <c r="F304" s="36"/>
      <c r="G304" s="35" t="s">
        <v>31</v>
      </c>
      <c r="H304" s="37"/>
      <c r="I304" s="38">
        <f>10</f>
        <v>10</v>
      </c>
      <c r="J304" s="23"/>
      <c r="K304" s="39"/>
      <c r="L304" s="40"/>
      <c r="M304" s="41">
        <f>K304+L304</f>
        <v>0</v>
      </c>
      <c r="N304" s="41">
        <f t="shared" si="10"/>
        <v>0</v>
      </c>
      <c r="O304" s="41">
        <f>ROUND((I304*L304),2)</f>
        <v>0</v>
      </c>
      <c r="P304" s="41">
        <f>ROUND((I304*M304),2)</f>
        <v>0</v>
      </c>
      <c r="Q304" s="41"/>
      <c r="R304" s="23"/>
      <c r="XCY304"/>
      <c r="XCZ304"/>
      <c r="XDA304"/>
      <c r="XDB304"/>
      <c r="XDC304"/>
      <c r="XDD304"/>
      <c r="XDE304"/>
      <c r="XDF304"/>
      <c r="XDG304"/>
      <c r="XDH304"/>
      <c r="XDI304"/>
      <c r="XDJ304"/>
      <c r="XDK304"/>
      <c r="XDL304"/>
      <c r="XDM304"/>
      <c r="XDN304"/>
      <c r="XDO304"/>
      <c r="XDP304"/>
      <c r="XDQ304"/>
      <c r="XDR304"/>
      <c r="XDS304"/>
      <c r="XDT304"/>
      <c r="XDU304"/>
      <c r="XDV304"/>
      <c r="XDW304"/>
      <c r="XDX304"/>
      <c r="XDY304"/>
      <c r="XDZ304"/>
      <c r="XEA304"/>
      <c r="XEB304"/>
      <c r="XEC304"/>
      <c r="XED304"/>
      <c r="XEE304"/>
      <c r="XEF304"/>
      <c r="XEG304"/>
      <c r="XEH304"/>
      <c r="XEI304"/>
      <c r="XEJ304"/>
      <c r="XEK304"/>
      <c r="XEL304"/>
      <c r="XEM304"/>
      <c r="XEN304"/>
      <c r="XEO304"/>
      <c r="XEP304"/>
      <c r="XEQ304"/>
      <c r="XER304"/>
      <c r="XES304"/>
      <c r="XET304"/>
      <c r="XEU304"/>
      <c r="XEV304"/>
      <c r="XEW304"/>
      <c r="XEX304"/>
      <c r="XEY304"/>
      <c r="XEZ304"/>
      <c r="XFA304"/>
      <c r="XFB304"/>
      <c r="XFC304"/>
      <c r="XFD304"/>
    </row>
    <row r="305" spans="1:18 16327:16384" s="26" customFormat="1" ht="29.1" customHeight="1" outlineLevel="3" x14ac:dyDescent="0.25">
      <c r="A305" s="42" t="s">
        <v>537</v>
      </c>
      <c r="B305" s="43"/>
      <c r="C305" s="66" t="s">
        <v>538</v>
      </c>
      <c r="D305" s="66"/>
      <c r="E305" s="43" t="s">
        <v>34</v>
      </c>
      <c r="F305" s="44"/>
      <c r="G305" s="43" t="s">
        <v>31</v>
      </c>
      <c r="H305" s="45">
        <v>1</v>
      </c>
      <c r="I305" s="46">
        <f>10</f>
        <v>10</v>
      </c>
      <c r="J305" s="23"/>
      <c r="K305" s="47"/>
      <c r="L305" s="48"/>
      <c r="M305" s="49"/>
      <c r="N305" s="49">
        <f t="shared" si="10"/>
        <v>0</v>
      </c>
      <c r="O305" s="49"/>
      <c r="P305" s="49"/>
      <c r="Q305" s="49"/>
      <c r="R305" s="23"/>
      <c r="XCY305"/>
      <c r="XCZ305"/>
      <c r="XDA305"/>
      <c r="XDB305"/>
      <c r="XDC305"/>
      <c r="XDD305"/>
      <c r="XDE305"/>
      <c r="XDF305"/>
      <c r="XDG305"/>
      <c r="XDH305"/>
      <c r="XDI305"/>
      <c r="XDJ305"/>
      <c r="XDK305"/>
      <c r="XDL305"/>
      <c r="XDM305"/>
      <c r="XDN305"/>
      <c r="XDO305"/>
      <c r="XDP305"/>
      <c r="XDQ305"/>
      <c r="XDR305"/>
      <c r="XDS305"/>
      <c r="XDT305"/>
      <c r="XDU305"/>
      <c r="XDV305"/>
      <c r="XDW305"/>
      <c r="XDX305"/>
      <c r="XDY305"/>
      <c r="XDZ305"/>
      <c r="XEA305"/>
      <c r="XEB305"/>
      <c r="XEC305"/>
      <c r="XED305"/>
      <c r="XEE305"/>
      <c r="XEF305"/>
      <c r="XEG305"/>
      <c r="XEH305"/>
      <c r="XEI305"/>
      <c r="XEJ305"/>
      <c r="XEK305"/>
      <c r="XEL305"/>
      <c r="XEM305"/>
      <c r="XEN305"/>
      <c r="XEO305"/>
      <c r="XEP305"/>
      <c r="XEQ305"/>
      <c r="XER305"/>
      <c r="XES305"/>
      <c r="XET305"/>
      <c r="XEU305"/>
      <c r="XEV305"/>
      <c r="XEW305"/>
      <c r="XEX305"/>
      <c r="XEY305"/>
      <c r="XEZ305"/>
      <c r="XFA305"/>
      <c r="XFB305"/>
      <c r="XFC305"/>
      <c r="XFD305"/>
    </row>
    <row r="306" spans="1:18 16327:16384" s="26" customFormat="1" ht="29.1" customHeight="1" outlineLevel="2" x14ac:dyDescent="0.25">
      <c r="A306" s="34" t="s">
        <v>539</v>
      </c>
      <c r="B306" s="35"/>
      <c r="C306" s="65" t="s">
        <v>36</v>
      </c>
      <c r="D306" s="65"/>
      <c r="E306" s="35"/>
      <c r="F306" s="36"/>
      <c r="G306" s="35" t="s">
        <v>31</v>
      </c>
      <c r="H306" s="37"/>
      <c r="I306" s="38">
        <f>96</f>
        <v>96</v>
      </c>
      <c r="J306" s="23"/>
      <c r="K306" s="39"/>
      <c r="L306" s="40"/>
      <c r="M306" s="41">
        <f>K306+L306</f>
        <v>0</v>
      </c>
      <c r="N306" s="41">
        <f t="shared" si="10"/>
        <v>0</v>
      </c>
      <c r="O306" s="41">
        <f>ROUND((I306*L306),2)</f>
        <v>0</v>
      </c>
      <c r="P306" s="41">
        <f>ROUND((I306*M306),2)</f>
        <v>0</v>
      </c>
      <c r="Q306" s="41"/>
      <c r="R306" s="23"/>
      <c r="XCY306"/>
      <c r="XCZ306"/>
      <c r="XDA306"/>
      <c r="XDB306"/>
      <c r="XDC306"/>
      <c r="XDD306"/>
      <c r="XDE306"/>
      <c r="XDF306"/>
      <c r="XDG306"/>
      <c r="XDH306"/>
      <c r="XDI306"/>
      <c r="XDJ306"/>
      <c r="XDK306"/>
      <c r="XDL306"/>
      <c r="XDM306"/>
      <c r="XDN306"/>
      <c r="XDO306"/>
      <c r="XDP306"/>
      <c r="XDQ306"/>
      <c r="XDR306"/>
      <c r="XDS306"/>
      <c r="XDT306"/>
      <c r="XDU306"/>
      <c r="XDV306"/>
      <c r="XDW306"/>
      <c r="XDX306"/>
      <c r="XDY306"/>
      <c r="XDZ306"/>
      <c r="XEA306"/>
      <c r="XEB306"/>
      <c r="XEC306"/>
      <c r="XED306"/>
      <c r="XEE306"/>
      <c r="XEF306"/>
      <c r="XEG306"/>
      <c r="XEH306"/>
      <c r="XEI306"/>
      <c r="XEJ306"/>
      <c r="XEK306"/>
      <c r="XEL306"/>
      <c r="XEM306"/>
      <c r="XEN306"/>
      <c r="XEO306"/>
      <c r="XEP306"/>
      <c r="XEQ306"/>
      <c r="XER306"/>
      <c r="XES306"/>
      <c r="XET306"/>
      <c r="XEU306"/>
      <c r="XEV306"/>
      <c r="XEW306"/>
      <c r="XEX306"/>
      <c r="XEY306"/>
      <c r="XEZ306"/>
      <c r="XFA306"/>
      <c r="XFB306"/>
      <c r="XFC306"/>
      <c r="XFD306"/>
    </row>
    <row r="307" spans="1:18 16327:16384" s="26" customFormat="1" ht="29.1" customHeight="1" outlineLevel="3" x14ac:dyDescent="0.25">
      <c r="A307" s="42" t="s">
        <v>540</v>
      </c>
      <c r="B307" s="43"/>
      <c r="C307" s="66" t="s">
        <v>541</v>
      </c>
      <c r="D307" s="66"/>
      <c r="E307" s="43" t="s">
        <v>34</v>
      </c>
      <c r="F307" s="44"/>
      <c r="G307" s="43" t="s">
        <v>31</v>
      </c>
      <c r="H307" s="45">
        <v>1</v>
      </c>
      <c r="I307" s="46">
        <f>96</f>
        <v>96</v>
      </c>
      <c r="J307" s="23"/>
      <c r="K307" s="47"/>
      <c r="L307" s="48"/>
      <c r="M307" s="49"/>
      <c r="N307" s="49">
        <f t="shared" si="10"/>
        <v>0</v>
      </c>
      <c r="O307" s="49"/>
      <c r="P307" s="49"/>
      <c r="Q307" s="49"/>
      <c r="R307" s="23"/>
      <c r="XCY307"/>
      <c r="XCZ307"/>
      <c r="XDA307"/>
      <c r="XDB307"/>
      <c r="XDC307"/>
      <c r="XDD307"/>
      <c r="XDE307"/>
      <c r="XDF307"/>
      <c r="XDG307"/>
      <c r="XDH307"/>
      <c r="XDI307"/>
      <c r="XDJ307"/>
      <c r="XDK307"/>
      <c r="XDL307"/>
      <c r="XDM307"/>
      <c r="XDN307"/>
      <c r="XDO307"/>
      <c r="XDP307"/>
      <c r="XDQ307"/>
      <c r="XDR307"/>
      <c r="XDS307"/>
      <c r="XDT307"/>
      <c r="XDU307"/>
      <c r="XDV307"/>
      <c r="XDW307"/>
      <c r="XDX307"/>
      <c r="XDY307"/>
      <c r="XDZ307"/>
      <c r="XEA307"/>
      <c r="XEB307"/>
      <c r="XEC307"/>
      <c r="XED307"/>
      <c r="XEE307"/>
      <c r="XEF307"/>
      <c r="XEG307"/>
      <c r="XEH307"/>
      <c r="XEI307"/>
      <c r="XEJ307"/>
      <c r="XEK307"/>
      <c r="XEL307"/>
      <c r="XEM307"/>
      <c r="XEN307"/>
      <c r="XEO307"/>
      <c r="XEP307"/>
      <c r="XEQ307"/>
      <c r="XER307"/>
      <c r="XES307"/>
      <c r="XET307"/>
      <c r="XEU307"/>
      <c r="XEV307"/>
      <c r="XEW307"/>
      <c r="XEX307"/>
      <c r="XEY307"/>
      <c r="XEZ307"/>
      <c r="XFA307"/>
      <c r="XFB307"/>
      <c r="XFC307"/>
      <c r="XFD307"/>
    </row>
    <row r="308" spans="1:18 16327:16384" s="26" customFormat="1" ht="29.1" customHeight="1" outlineLevel="2" x14ac:dyDescent="0.25">
      <c r="A308" s="34" t="s">
        <v>542</v>
      </c>
      <c r="B308" s="35"/>
      <c r="C308" s="65" t="s">
        <v>36</v>
      </c>
      <c r="D308" s="65"/>
      <c r="E308" s="35"/>
      <c r="F308" s="36"/>
      <c r="G308" s="35" t="s">
        <v>31</v>
      </c>
      <c r="H308" s="37"/>
      <c r="I308" s="38">
        <f>5</f>
        <v>5</v>
      </c>
      <c r="J308" s="23"/>
      <c r="K308" s="39"/>
      <c r="L308" s="40"/>
      <c r="M308" s="41">
        <f>K308+L308</f>
        <v>0</v>
      </c>
      <c r="N308" s="41">
        <f t="shared" si="10"/>
        <v>0</v>
      </c>
      <c r="O308" s="41">
        <f>ROUND((I308*L308),2)</f>
        <v>0</v>
      </c>
      <c r="P308" s="41">
        <f>ROUND((I308*M308),2)</f>
        <v>0</v>
      </c>
      <c r="Q308" s="41"/>
      <c r="R308" s="23"/>
      <c r="XCY308"/>
      <c r="XCZ308"/>
      <c r="XDA308"/>
      <c r="XDB308"/>
      <c r="XDC308"/>
      <c r="XDD308"/>
      <c r="XDE308"/>
      <c r="XDF308"/>
      <c r="XDG308"/>
      <c r="XDH308"/>
      <c r="XDI308"/>
      <c r="XDJ308"/>
      <c r="XDK308"/>
      <c r="XDL308"/>
      <c r="XDM308"/>
      <c r="XDN308"/>
      <c r="XDO308"/>
      <c r="XDP308"/>
      <c r="XDQ308"/>
      <c r="XDR308"/>
      <c r="XDS308"/>
      <c r="XDT308"/>
      <c r="XDU308"/>
      <c r="XDV308"/>
      <c r="XDW308"/>
      <c r="XDX308"/>
      <c r="XDY308"/>
      <c r="XDZ308"/>
      <c r="XEA308"/>
      <c r="XEB308"/>
      <c r="XEC308"/>
      <c r="XED308"/>
      <c r="XEE308"/>
      <c r="XEF308"/>
      <c r="XEG308"/>
      <c r="XEH308"/>
      <c r="XEI308"/>
      <c r="XEJ308"/>
      <c r="XEK308"/>
      <c r="XEL308"/>
      <c r="XEM308"/>
      <c r="XEN308"/>
      <c r="XEO308"/>
      <c r="XEP308"/>
      <c r="XEQ308"/>
      <c r="XER308"/>
      <c r="XES308"/>
      <c r="XET308"/>
      <c r="XEU308"/>
      <c r="XEV308"/>
      <c r="XEW308"/>
      <c r="XEX308"/>
      <c r="XEY308"/>
      <c r="XEZ308"/>
      <c r="XFA308"/>
      <c r="XFB308"/>
      <c r="XFC308"/>
      <c r="XFD308"/>
    </row>
    <row r="309" spans="1:18 16327:16384" s="26" customFormat="1" ht="29.1" customHeight="1" outlineLevel="3" x14ac:dyDescent="0.25">
      <c r="A309" s="42" t="s">
        <v>543</v>
      </c>
      <c r="B309" s="43"/>
      <c r="C309" s="66" t="s">
        <v>544</v>
      </c>
      <c r="D309" s="66"/>
      <c r="E309" s="43" t="s">
        <v>34</v>
      </c>
      <c r="F309" s="44"/>
      <c r="G309" s="43" t="s">
        <v>31</v>
      </c>
      <c r="H309" s="45">
        <v>1</v>
      </c>
      <c r="I309" s="46">
        <f>5</f>
        <v>5</v>
      </c>
      <c r="J309" s="23"/>
      <c r="K309" s="47"/>
      <c r="L309" s="48"/>
      <c r="M309" s="49"/>
      <c r="N309" s="49">
        <f t="shared" si="10"/>
        <v>0</v>
      </c>
      <c r="O309" s="49"/>
      <c r="P309" s="49"/>
      <c r="Q309" s="49"/>
      <c r="R309" s="23"/>
      <c r="XCY309"/>
      <c r="XCZ309"/>
      <c r="XDA309"/>
      <c r="XDB309"/>
      <c r="XDC309"/>
      <c r="XDD309"/>
      <c r="XDE309"/>
      <c r="XDF309"/>
      <c r="XDG309"/>
      <c r="XDH309"/>
      <c r="XDI309"/>
      <c r="XDJ309"/>
      <c r="XDK309"/>
      <c r="XDL309"/>
      <c r="XDM309"/>
      <c r="XDN309"/>
      <c r="XDO309"/>
      <c r="XDP309"/>
      <c r="XDQ309"/>
      <c r="XDR309"/>
      <c r="XDS309"/>
      <c r="XDT309"/>
      <c r="XDU309"/>
      <c r="XDV309"/>
      <c r="XDW309"/>
      <c r="XDX309"/>
      <c r="XDY309"/>
      <c r="XDZ309"/>
      <c r="XEA309"/>
      <c r="XEB309"/>
      <c r="XEC309"/>
      <c r="XED309"/>
      <c r="XEE309"/>
      <c r="XEF309"/>
      <c r="XEG309"/>
      <c r="XEH309"/>
      <c r="XEI309"/>
      <c r="XEJ309"/>
      <c r="XEK309"/>
      <c r="XEL309"/>
      <c r="XEM309"/>
      <c r="XEN309"/>
      <c r="XEO309"/>
      <c r="XEP309"/>
      <c r="XEQ309"/>
      <c r="XER309"/>
      <c r="XES309"/>
      <c r="XET309"/>
      <c r="XEU309"/>
      <c r="XEV309"/>
      <c r="XEW309"/>
      <c r="XEX309"/>
      <c r="XEY309"/>
      <c r="XEZ309"/>
      <c r="XFA309"/>
      <c r="XFB309"/>
      <c r="XFC309"/>
      <c r="XFD309"/>
    </row>
    <row r="310" spans="1:18 16327:16384" s="26" customFormat="1" ht="29.1" customHeight="1" outlineLevel="2" x14ac:dyDescent="0.25">
      <c r="A310" s="34" t="s">
        <v>545</v>
      </c>
      <c r="B310" s="35"/>
      <c r="C310" s="65" t="s">
        <v>36</v>
      </c>
      <c r="D310" s="65"/>
      <c r="E310" s="35"/>
      <c r="F310" s="36"/>
      <c r="G310" s="35" t="s">
        <v>31</v>
      </c>
      <c r="H310" s="37"/>
      <c r="I310" s="38">
        <f>6</f>
        <v>6</v>
      </c>
      <c r="J310" s="23"/>
      <c r="K310" s="39"/>
      <c r="L310" s="40"/>
      <c r="M310" s="41">
        <f>K310+L310</f>
        <v>0</v>
      </c>
      <c r="N310" s="41">
        <f t="shared" si="10"/>
        <v>0</v>
      </c>
      <c r="O310" s="41">
        <f>ROUND((I310*L310),2)</f>
        <v>0</v>
      </c>
      <c r="P310" s="41">
        <f>ROUND((I310*M310),2)</f>
        <v>0</v>
      </c>
      <c r="Q310" s="41"/>
      <c r="R310" s="23"/>
      <c r="XCY310"/>
      <c r="XCZ310"/>
      <c r="XDA310"/>
      <c r="XDB310"/>
      <c r="XDC310"/>
      <c r="XDD310"/>
      <c r="XDE310"/>
      <c r="XDF310"/>
      <c r="XDG310"/>
      <c r="XDH310"/>
      <c r="XDI310"/>
      <c r="XDJ310"/>
      <c r="XDK310"/>
      <c r="XDL310"/>
      <c r="XDM310"/>
      <c r="XDN310"/>
      <c r="XDO310"/>
      <c r="XDP310"/>
      <c r="XDQ310"/>
      <c r="XDR310"/>
      <c r="XDS310"/>
      <c r="XDT310"/>
      <c r="XDU310"/>
      <c r="XDV310"/>
      <c r="XDW310"/>
      <c r="XDX310"/>
      <c r="XDY310"/>
      <c r="XDZ310"/>
      <c r="XEA310"/>
      <c r="XEB310"/>
      <c r="XEC310"/>
      <c r="XED310"/>
      <c r="XEE310"/>
      <c r="XEF310"/>
      <c r="XEG310"/>
      <c r="XEH310"/>
      <c r="XEI310"/>
      <c r="XEJ310"/>
      <c r="XEK310"/>
      <c r="XEL310"/>
      <c r="XEM310"/>
      <c r="XEN310"/>
      <c r="XEO310"/>
      <c r="XEP310"/>
      <c r="XEQ310"/>
      <c r="XER310"/>
      <c r="XES310"/>
      <c r="XET310"/>
      <c r="XEU310"/>
      <c r="XEV310"/>
      <c r="XEW310"/>
      <c r="XEX310"/>
      <c r="XEY310"/>
      <c r="XEZ310"/>
      <c r="XFA310"/>
      <c r="XFB310"/>
      <c r="XFC310"/>
      <c r="XFD310"/>
    </row>
    <row r="311" spans="1:18 16327:16384" s="26" customFormat="1" ht="29.1" customHeight="1" outlineLevel="3" x14ac:dyDescent="0.25">
      <c r="A311" s="42" t="s">
        <v>546</v>
      </c>
      <c r="B311" s="43"/>
      <c r="C311" s="66" t="s">
        <v>547</v>
      </c>
      <c r="D311" s="66"/>
      <c r="E311" s="43" t="s">
        <v>34</v>
      </c>
      <c r="F311" s="44"/>
      <c r="G311" s="43" t="s">
        <v>31</v>
      </c>
      <c r="H311" s="45">
        <v>1</v>
      </c>
      <c r="I311" s="46">
        <f>6</f>
        <v>6</v>
      </c>
      <c r="J311" s="23"/>
      <c r="K311" s="47"/>
      <c r="L311" s="48"/>
      <c r="M311" s="49"/>
      <c r="N311" s="49">
        <f t="shared" si="10"/>
        <v>0</v>
      </c>
      <c r="O311" s="49"/>
      <c r="P311" s="49"/>
      <c r="Q311" s="49"/>
      <c r="R311" s="23"/>
      <c r="XCY311"/>
      <c r="XCZ311"/>
      <c r="XDA311"/>
      <c r="XDB311"/>
      <c r="XDC311"/>
      <c r="XDD311"/>
      <c r="XDE311"/>
      <c r="XDF311"/>
      <c r="XDG311"/>
      <c r="XDH311"/>
      <c r="XDI311"/>
      <c r="XDJ311"/>
      <c r="XDK311"/>
      <c r="XDL311"/>
      <c r="XDM311"/>
      <c r="XDN311"/>
      <c r="XDO311"/>
      <c r="XDP311"/>
      <c r="XDQ311"/>
      <c r="XDR311"/>
      <c r="XDS311"/>
      <c r="XDT311"/>
      <c r="XDU311"/>
      <c r="XDV311"/>
      <c r="XDW311"/>
      <c r="XDX311"/>
      <c r="XDY311"/>
      <c r="XDZ311"/>
      <c r="XEA311"/>
      <c r="XEB311"/>
      <c r="XEC311"/>
      <c r="XED311"/>
      <c r="XEE311"/>
      <c r="XEF311"/>
      <c r="XEG311"/>
      <c r="XEH311"/>
      <c r="XEI311"/>
      <c r="XEJ311"/>
      <c r="XEK311"/>
      <c r="XEL311"/>
      <c r="XEM311"/>
      <c r="XEN311"/>
      <c r="XEO311"/>
      <c r="XEP311"/>
      <c r="XEQ311"/>
      <c r="XER311"/>
      <c r="XES311"/>
      <c r="XET311"/>
      <c r="XEU311"/>
      <c r="XEV311"/>
      <c r="XEW311"/>
      <c r="XEX311"/>
      <c r="XEY311"/>
      <c r="XEZ311"/>
      <c r="XFA311"/>
      <c r="XFB311"/>
      <c r="XFC311"/>
      <c r="XFD311"/>
    </row>
    <row r="312" spans="1:18 16327:16384" s="26" customFormat="1" ht="29.1" customHeight="1" outlineLevel="2" x14ac:dyDescent="0.25">
      <c r="A312" s="34" t="s">
        <v>548</v>
      </c>
      <c r="B312" s="35"/>
      <c r="C312" s="65" t="s">
        <v>235</v>
      </c>
      <c r="D312" s="65"/>
      <c r="E312" s="35"/>
      <c r="F312" s="36"/>
      <c r="G312" s="35" t="s">
        <v>31</v>
      </c>
      <c r="H312" s="37"/>
      <c r="I312" s="38">
        <f>12</f>
        <v>12</v>
      </c>
      <c r="J312" s="23"/>
      <c r="K312" s="39"/>
      <c r="L312" s="40"/>
      <c r="M312" s="41">
        <f>K312+L312</f>
        <v>0</v>
      </c>
      <c r="N312" s="41">
        <f t="shared" si="10"/>
        <v>0</v>
      </c>
      <c r="O312" s="41">
        <f>ROUND((I312*L312),2)</f>
        <v>0</v>
      </c>
      <c r="P312" s="41">
        <f>ROUND((I312*M312),2)</f>
        <v>0</v>
      </c>
      <c r="Q312" s="41"/>
      <c r="R312" s="23"/>
      <c r="XCY312"/>
      <c r="XCZ312"/>
      <c r="XDA312"/>
      <c r="XDB312"/>
      <c r="XDC312"/>
      <c r="XDD312"/>
      <c r="XDE312"/>
      <c r="XDF312"/>
      <c r="XDG312"/>
      <c r="XDH312"/>
      <c r="XDI312"/>
      <c r="XDJ312"/>
      <c r="XDK312"/>
      <c r="XDL312"/>
      <c r="XDM312"/>
      <c r="XDN312"/>
      <c r="XDO312"/>
      <c r="XDP312"/>
      <c r="XDQ312"/>
      <c r="XDR312"/>
      <c r="XDS312"/>
      <c r="XDT312"/>
      <c r="XDU312"/>
      <c r="XDV312"/>
      <c r="XDW312"/>
      <c r="XDX312"/>
      <c r="XDY312"/>
      <c r="XDZ312"/>
      <c r="XEA312"/>
      <c r="XEB312"/>
      <c r="XEC312"/>
      <c r="XED312"/>
      <c r="XEE312"/>
      <c r="XEF312"/>
      <c r="XEG312"/>
      <c r="XEH312"/>
      <c r="XEI312"/>
      <c r="XEJ312"/>
      <c r="XEK312"/>
      <c r="XEL312"/>
      <c r="XEM312"/>
      <c r="XEN312"/>
      <c r="XEO312"/>
      <c r="XEP312"/>
      <c r="XEQ312"/>
      <c r="XER312"/>
      <c r="XES312"/>
      <c r="XET312"/>
      <c r="XEU312"/>
      <c r="XEV312"/>
      <c r="XEW312"/>
      <c r="XEX312"/>
      <c r="XEY312"/>
      <c r="XEZ312"/>
      <c r="XFA312"/>
      <c r="XFB312"/>
      <c r="XFC312"/>
      <c r="XFD312"/>
    </row>
    <row r="313" spans="1:18 16327:16384" s="26" customFormat="1" ht="29.1" customHeight="1" outlineLevel="3" x14ac:dyDescent="0.25">
      <c r="A313" s="42" t="s">
        <v>549</v>
      </c>
      <c r="B313" s="43"/>
      <c r="C313" s="66" t="s">
        <v>550</v>
      </c>
      <c r="D313" s="66"/>
      <c r="E313" s="43" t="s">
        <v>34</v>
      </c>
      <c r="F313" s="44"/>
      <c r="G313" s="43" t="s">
        <v>31</v>
      </c>
      <c r="H313" s="45">
        <v>1</v>
      </c>
      <c r="I313" s="46">
        <f>12</f>
        <v>12</v>
      </c>
      <c r="J313" s="23"/>
      <c r="K313" s="47"/>
      <c r="L313" s="48"/>
      <c r="M313" s="49"/>
      <c r="N313" s="49">
        <f t="shared" si="10"/>
        <v>0</v>
      </c>
      <c r="O313" s="49"/>
      <c r="P313" s="49"/>
      <c r="Q313" s="49"/>
      <c r="R313" s="23"/>
      <c r="XCY313"/>
      <c r="XCZ313"/>
      <c r="XDA313"/>
      <c r="XDB313"/>
      <c r="XDC313"/>
      <c r="XDD313"/>
      <c r="XDE313"/>
      <c r="XDF313"/>
      <c r="XDG313"/>
      <c r="XDH313"/>
      <c r="XDI313"/>
      <c r="XDJ313"/>
      <c r="XDK313"/>
      <c r="XDL313"/>
      <c r="XDM313"/>
      <c r="XDN313"/>
      <c r="XDO313"/>
      <c r="XDP313"/>
      <c r="XDQ313"/>
      <c r="XDR313"/>
      <c r="XDS313"/>
      <c r="XDT313"/>
      <c r="XDU313"/>
      <c r="XDV313"/>
      <c r="XDW313"/>
      <c r="XDX313"/>
      <c r="XDY313"/>
      <c r="XDZ313"/>
      <c r="XEA313"/>
      <c r="XEB313"/>
      <c r="XEC313"/>
      <c r="XED313"/>
      <c r="XEE313"/>
      <c r="XEF313"/>
      <c r="XEG313"/>
      <c r="XEH313"/>
      <c r="XEI313"/>
      <c r="XEJ313"/>
      <c r="XEK313"/>
      <c r="XEL313"/>
      <c r="XEM313"/>
      <c r="XEN313"/>
      <c r="XEO313"/>
      <c r="XEP313"/>
      <c r="XEQ313"/>
      <c r="XER313"/>
      <c r="XES313"/>
      <c r="XET313"/>
      <c r="XEU313"/>
      <c r="XEV313"/>
      <c r="XEW313"/>
      <c r="XEX313"/>
      <c r="XEY313"/>
      <c r="XEZ313"/>
      <c r="XFA313"/>
      <c r="XFB313"/>
      <c r="XFC313"/>
      <c r="XFD313"/>
    </row>
    <row r="314" spans="1:18 16327:16384" s="26" customFormat="1" ht="29.1" customHeight="1" outlineLevel="2" x14ac:dyDescent="0.25">
      <c r="A314" s="34" t="s">
        <v>551</v>
      </c>
      <c r="B314" s="35"/>
      <c r="C314" s="65" t="s">
        <v>552</v>
      </c>
      <c r="D314" s="65"/>
      <c r="E314" s="35"/>
      <c r="F314" s="36"/>
      <c r="G314" s="35" t="s">
        <v>65</v>
      </c>
      <c r="H314" s="37"/>
      <c r="I314" s="38">
        <f>20</f>
        <v>20</v>
      </c>
      <c r="J314" s="23"/>
      <c r="K314" s="39"/>
      <c r="L314" s="40"/>
      <c r="M314" s="41"/>
      <c r="N314" s="41"/>
      <c r="O314" s="41"/>
      <c r="P314" s="41"/>
      <c r="Q314" s="41"/>
      <c r="R314" s="23"/>
      <c r="XCY314"/>
      <c r="XCZ314"/>
      <c r="XDA314"/>
      <c r="XDB314"/>
      <c r="XDC314"/>
      <c r="XDD314"/>
      <c r="XDE314"/>
      <c r="XDF314"/>
      <c r="XDG314"/>
      <c r="XDH314"/>
      <c r="XDI314"/>
      <c r="XDJ314"/>
      <c r="XDK314"/>
      <c r="XDL314"/>
      <c r="XDM314"/>
      <c r="XDN314"/>
      <c r="XDO314"/>
      <c r="XDP314"/>
      <c r="XDQ314"/>
      <c r="XDR314"/>
      <c r="XDS314"/>
      <c r="XDT314"/>
      <c r="XDU314"/>
      <c r="XDV314"/>
      <c r="XDW314"/>
      <c r="XDX314"/>
      <c r="XDY314"/>
      <c r="XDZ314"/>
      <c r="XEA314"/>
      <c r="XEB314"/>
      <c r="XEC314"/>
      <c r="XED314"/>
      <c r="XEE314"/>
      <c r="XEF314"/>
      <c r="XEG314"/>
      <c r="XEH314"/>
      <c r="XEI314"/>
      <c r="XEJ314"/>
      <c r="XEK314"/>
      <c r="XEL314"/>
      <c r="XEM314"/>
      <c r="XEN314"/>
      <c r="XEO314"/>
      <c r="XEP314"/>
      <c r="XEQ314"/>
      <c r="XER314"/>
      <c r="XES314"/>
      <c r="XET314"/>
      <c r="XEU314"/>
      <c r="XEV314"/>
      <c r="XEW314"/>
      <c r="XEX314"/>
      <c r="XEY314"/>
      <c r="XEZ314"/>
      <c r="XFA314"/>
      <c r="XFB314"/>
      <c r="XFC314"/>
      <c r="XFD314"/>
    </row>
    <row r="315" spans="1:18 16327:16384" s="26" customFormat="1" ht="29.1" customHeight="1" outlineLevel="3" x14ac:dyDescent="0.25">
      <c r="A315" s="42" t="s">
        <v>553</v>
      </c>
      <c r="B315" s="43"/>
      <c r="C315" s="66" t="s">
        <v>554</v>
      </c>
      <c r="D315" s="66"/>
      <c r="E315" s="43" t="s">
        <v>34</v>
      </c>
      <c r="F315" s="44"/>
      <c r="G315" s="43" t="s">
        <v>65</v>
      </c>
      <c r="H315" s="45">
        <v>1.02</v>
      </c>
      <c r="I315" s="46">
        <f>20.4</f>
        <v>20.399999999999999</v>
      </c>
      <c r="J315" s="23"/>
      <c r="K315" s="47"/>
      <c r="L315" s="48"/>
      <c r="M315" s="49"/>
      <c r="N315" s="49">
        <f t="shared" si="10"/>
        <v>0</v>
      </c>
      <c r="O315" s="49"/>
      <c r="P315" s="49"/>
      <c r="Q315" s="49"/>
      <c r="R315" s="23"/>
      <c r="XCY315"/>
      <c r="XCZ315"/>
      <c r="XDA315"/>
      <c r="XDB315"/>
      <c r="XDC315"/>
      <c r="XDD315"/>
      <c r="XDE315"/>
      <c r="XDF315"/>
      <c r="XDG315"/>
      <c r="XDH315"/>
      <c r="XDI315"/>
      <c r="XDJ315"/>
      <c r="XDK315"/>
      <c r="XDL315"/>
      <c r="XDM315"/>
      <c r="XDN315"/>
      <c r="XDO315"/>
      <c r="XDP315"/>
      <c r="XDQ315"/>
      <c r="XDR315"/>
      <c r="XDS315"/>
      <c r="XDT315"/>
      <c r="XDU315"/>
      <c r="XDV315"/>
      <c r="XDW315"/>
      <c r="XDX315"/>
      <c r="XDY315"/>
      <c r="XDZ315"/>
      <c r="XEA315"/>
      <c r="XEB315"/>
      <c r="XEC315"/>
      <c r="XED315"/>
      <c r="XEE315"/>
      <c r="XEF315"/>
      <c r="XEG315"/>
      <c r="XEH315"/>
      <c r="XEI315"/>
      <c r="XEJ315"/>
      <c r="XEK315"/>
      <c r="XEL315"/>
      <c r="XEM315"/>
      <c r="XEN315"/>
      <c r="XEO315"/>
      <c r="XEP315"/>
      <c r="XEQ315"/>
      <c r="XER315"/>
      <c r="XES315"/>
      <c r="XET315"/>
      <c r="XEU315"/>
      <c r="XEV315"/>
      <c r="XEW315"/>
      <c r="XEX315"/>
      <c r="XEY315"/>
      <c r="XEZ315"/>
      <c r="XFA315"/>
      <c r="XFB315"/>
      <c r="XFC315"/>
      <c r="XFD315"/>
    </row>
    <row r="316" spans="1:18 16327:16384" s="26" customFormat="1" ht="29.1" customHeight="1" outlineLevel="2" x14ac:dyDescent="0.25">
      <c r="A316" s="34" t="s">
        <v>555</v>
      </c>
      <c r="B316" s="35"/>
      <c r="C316" s="65" t="s">
        <v>64</v>
      </c>
      <c r="D316" s="65"/>
      <c r="E316" s="35"/>
      <c r="F316" s="36"/>
      <c r="G316" s="35" t="s">
        <v>65</v>
      </c>
      <c r="H316" s="37"/>
      <c r="I316" s="38">
        <f>867</f>
        <v>867</v>
      </c>
      <c r="J316" s="23"/>
      <c r="K316" s="39"/>
      <c r="L316" s="40"/>
      <c r="M316" s="41"/>
      <c r="N316" s="41"/>
      <c r="O316" s="41"/>
      <c r="P316" s="41"/>
      <c r="Q316" s="41"/>
      <c r="R316" s="23"/>
      <c r="XCY316"/>
      <c r="XCZ316"/>
      <c r="XDA316"/>
      <c r="XDB316"/>
      <c r="XDC316"/>
      <c r="XDD316"/>
      <c r="XDE316"/>
      <c r="XDF316"/>
      <c r="XDG316"/>
      <c r="XDH316"/>
      <c r="XDI316"/>
      <c r="XDJ316"/>
      <c r="XDK316"/>
      <c r="XDL316"/>
      <c r="XDM316"/>
      <c r="XDN316"/>
      <c r="XDO316"/>
      <c r="XDP316"/>
      <c r="XDQ316"/>
      <c r="XDR316"/>
      <c r="XDS316"/>
      <c r="XDT316"/>
      <c r="XDU316"/>
      <c r="XDV316"/>
      <c r="XDW316"/>
      <c r="XDX316"/>
      <c r="XDY316"/>
      <c r="XDZ316"/>
      <c r="XEA316"/>
      <c r="XEB316"/>
      <c r="XEC316"/>
      <c r="XED316"/>
      <c r="XEE316"/>
      <c r="XEF316"/>
      <c r="XEG316"/>
      <c r="XEH316"/>
      <c r="XEI316"/>
      <c r="XEJ316"/>
      <c r="XEK316"/>
      <c r="XEL316"/>
      <c r="XEM316"/>
      <c r="XEN316"/>
      <c r="XEO316"/>
      <c r="XEP316"/>
      <c r="XEQ316"/>
      <c r="XER316"/>
      <c r="XES316"/>
      <c r="XET316"/>
      <c r="XEU316"/>
      <c r="XEV316"/>
      <c r="XEW316"/>
      <c r="XEX316"/>
      <c r="XEY316"/>
      <c r="XEZ316"/>
      <c r="XFA316"/>
      <c r="XFB316"/>
      <c r="XFC316"/>
      <c r="XFD316"/>
    </row>
    <row r="317" spans="1:18 16327:16384" s="26" customFormat="1" ht="29.1" customHeight="1" outlineLevel="3" x14ac:dyDescent="0.25">
      <c r="A317" s="42" t="s">
        <v>556</v>
      </c>
      <c r="B317" s="43"/>
      <c r="C317" s="66" t="s">
        <v>557</v>
      </c>
      <c r="D317" s="66"/>
      <c r="E317" s="43" t="s">
        <v>34</v>
      </c>
      <c r="F317" s="44"/>
      <c r="G317" s="43" t="s">
        <v>65</v>
      </c>
      <c r="H317" s="45">
        <v>1.02</v>
      </c>
      <c r="I317" s="46">
        <f>884.34</f>
        <v>884.34</v>
      </c>
      <c r="J317" s="23"/>
      <c r="K317" s="47"/>
      <c r="L317" s="48"/>
      <c r="M317" s="49"/>
      <c r="N317" s="49">
        <f t="shared" si="10"/>
        <v>0</v>
      </c>
      <c r="O317" s="49"/>
      <c r="P317" s="49"/>
      <c r="Q317" s="49"/>
      <c r="R317" s="23"/>
      <c r="XCY317"/>
      <c r="XCZ317"/>
      <c r="XDA317"/>
      <c r="XDB317"/>
      <c r="XDC317"/>
      <c r="XDD317"/>
      <c r="XDE317"/>
      <c r="XDF317"/>
      <c r="XDG317"/>
      <c r="XDH317"/>
      <c r="XDI317"/>
      <c r="XDJ317"/>
      <c r="XDK317"/>
      <c r="XDL317"/>
      <c r="XDM317"/>
      <c r="XDN317"/>
      <c r="XDO317"/>
      <c r="XDP317"/>
      <c r="XDQ317"/>
      <c r="XDR317"/>
      <c r="XDS317"/>
      <c r="XDT317"/>
      <c r="XDU317"/>
      <c r="XDV317"/>
      <c r="XDW317"/>
      <c r="XDX317"/>
      <c r="XDY317"/>
      <c r="XDZ317"/>
      <c r="XEA317"/>
      <c r="XEB317"/>
      <c r="XEC317"/>
      <c r="XED317"/>
      <c r="XEE317"/>
      <c r="XEF317"/>
      <c r="XEG317"/>
      <c r="XEH317"/>
      <c r="XEI317"/>
      <c r="XEJ317"/>
      <c r="XEK317"/>
      <c r="XEL317"/>
      <c r="XEM317"/>
      <c r="XEN317"/>
      <c r="XEO317"/>
      <c r="XEP317"/>
      <c r="XEQ317"/>
      <c r="XER317"/>
      <c r="XES317"/>
      <c r="XET317"/>
      <c r="XEU317"/>
      <c r="XEV317"/>
      <c r="XEW317"/>
      <c r="XEX317"/>
      <c r="XEY317"/>
      <c r="XEZ317"/>
      <c r="XFA317"/>
      <c r="XFB317"/>
      <c r="XFC317"/>
      <c r="XFD317"/>
    </row>
    <row r="318" spans="1:18 16327:16384" s="26" customFormat="1" ht="29.1" customHeight="1" outlineLevel="2" x14ac:dyDescent="0.25">
      <c r="A318" s="34" t="s">
        <v>558</v>
      </c>
      <c r="B318" s="35"/>
      <c r="C318" s="65" t="s">
        <v>69</v>
      </c>
      <c r="D318" s="65"/>
      <c r="E318" s="35"/>
      <c r="F318" s="36"/>
      <c r="G318" s="35" t="s">
        <v>65</v>
      </c>
      <c r="H318" s="37"/>
      <c r="I318" s="38">
        <f>587</f>
        <v>587</v>
      </c>
      <c r="J318" s="23"/>
      <c r="K318" s="39"/>
      <c r="L318" s="40"/>
      <c r="M318" s="41"/>
      <c r="N318" s="41"/>
      <c r="O318" s="41"/>
      <c r="P318" s="41"/>
      <c r="Q318" s="41"/>
      <c r="R318" s="23"/>
      <c r="XCY318"/>
      <c r="XCZ318"/>
      <c r="XDA318"/>
      <c r="XDB318"/>
      <c r="XDC318"/>
      <c r="XDD318"/>
      <c r="XDE318"/>
      <c r="XDF318"/>
      <c r="XDG318"/>
      <c r="XDH318"/>
      <c r="XDI318"/>
      <c r="XDJ318"/>
      <c r="XDK318"/>
      <c r="XDL318"/>
      <c r="XDM318"/>
      <c r="XDN318"/>
      <c r="XDO318"/>
      <c r="XDP318"/>
      <c r="XDQ318"/>
      <c r="XDR318"/>
      <c r="XDS318"/>
      <c r="XDT318"/>
      <c r="XDU318"/>
      <c r="XDV318"/>
      <c r="XDW318"/>
      <c r="XDX318"/>
      <c r="XDY318"/>
      <c r="XDZ318"/>
      <c r="XEA318"/>
      <c r="XEB318"/>
      <c r="XEC318"/>
      <c r="XED318"/>
      <c r="XEE318"/>
      <c r="XEF318"/>
      <c r="XEG318"/>
      <c r="XEH318"/>
      <c r="XEI318"/>
      <c r="XEJ318"/>
      <c r="XEK318"/>
      <c r="XEL318"/>
      <c r="XEM318"/>
      <c r="XEN318"/>
      <c r="XEO318"/>
      <c r="XEP318"/>
      <c r="XEQ318"/>
      <c r="XER318"/>
      <c r="XES318"/>
      <c r="XET318"/>
      <c r="XEU318"/>
      <c r="XEV318"/>
      <c r="XEW318"/>
      <c r="XEX318"/>
      <c r="XEY318"/>
      <c r="XEZ318"/>
      <c r="XFA318"/>
      <c r="XFB318"/>
      <c r="XFC318"/>
      <c r="XFD318"/>
    </row>
    <row r="319" spans="1:18 16327:16384" s="26" customFormat="1" ht="29.1" customHeight="1" outlineLevel="3" x14ac:dyDescent="0.25">
      <c r="A319" s="42" t="s">
        <v>559</v>
      </c>
      <c r="B319" s="43"/>
      <c r="C319" s="66" t="s">
        <v>560</v>
      </c>
      <c r="D319" s="66"/>
      <c r="E319" s="43" t="s">
        <v>34</v>
      </c>
      <c r="F319" s="44"/>
      <c r="G319" s="43" t="s">
        <v>65</v>
      </c>
      <c r="H319" s="45">
        <v>1.02</v>
      </c>
      <c r="I319" s="46">
        <f>598.74</f>
        <v>598.74</v>
      </c>
      <c r="J319" s="23"/>
      <c r="K319" s="47"/>
      <c r="L319" s="48"/>
      <c r="M319" s="49"/>
      <c r="N319" s="49">
        <f t="shared" si="10"/>
        <v>0</v>
      </c>
      <c r="O319" s="49"/>
      <c r="P319" s="49"/>
      <c r="Q319" s="49"/>
      <c r="R319" s="23"/>
      <c r="XCY319"/>
      <c r="XCZ319"/>
      <c r="XDA319"/>
      <c r="XDB319"/>
      <c r="XDC319"/>
      <c r="XDD319"/>
      <c r="XDE319"/>
      <c r="XDF319"/>
      <c r="XDG319"/>
      <c r="XDH319"/>
      <c r="XDI319"/>
      <c r="XDJ319"/>
      <c r="XDK319"/>
      <c r="XDL319"/>
      <c r="XDM319"/>
      <c r="XDN319"/>
      <c r="XDO319"/>
      <c r="XDP319"/>
      <c r="XDQ319"/>
      <c r="XDR319"/>
      <c r="XDS319"/>
      <c r="XDT319"/>
      <c r="XDU319"/>
      <c r="XDV319"/>
      <c r="XDW319"/>
      <c r="XDX319"/>
      <c r="XDY319"/>
      <c r="XDZ319"/>
      <c r="XEA319"/>
      <c r="XEB319"/>
      <c r="XEC319"/>
      <c r="XED319"/>
      <c r="XEE319"/>
      <c r="XEF319"/>
      <c r="XEG319"/>
      <c r="XEH319"/>
      <c r="XEI319"/>
      <c r="XEJ319"/>
      <c r="XEK319"/>
      <c r="XEL319"/>
      <c r="XEM319"/>
      <c r="XEN319"/>
      <c r="XEO319"/>
      <c r="XEP319"/>
      <c r="XEQ319"/>
      <c r="XER319"/>
      <c r="XES319"/>
      <c r="XET319"/>
      <c r="XEU319"/>
      <c r="XEV319"/>
      <c r="XEW319"/>
      <c r="XEX319"/>
      <c r="XEY319"/>
      <c r="XEZ319"/>
      <c r="XFA319"/>
      <c r="XFB319"/>
      <c r="XFC319"/>
      <c r="XFD319"/>
    </row>
    <row r="320" spans="1:18 16327:16384" s="26" customFormat="1" ht="29.1" customHeight="1" outlineLevel="2" x14ac:dyDescent="0.25">
      <c r="A320" s="34" t="s">
        <v>561</v>
      </c>
      <c r="B320" s="35"/>
      <c r="C320" s="65" t="s">
        <v>64</v>
      </c>
      <c r="D320" s="65"/>
      <c r="E320" s="35"/>
      <c r="F320" s="36"/>
      <c r="G320" s="35" t="s">
        <v>65</v>
      </c>
      <c r="H320" s="37"/>
      <c r="I320" s="38">
        <f>397</f>
        <v>397</v>
      </c>
      <c r="J320" s="23"/>
      <c r="K320" s="39"/>
      <c r="L320" s="40"/>
      <c r="M320" s="41"/>
      <c r="N320" s="41"/>
      <c r="O320" s="41"/>
      <c r="P320" s="41"/>
      <c r="Q320" s="41"/>
      <c r="R320" s="23"/>
      <c r="XCY320"/>
      <c r="XCZ320"/>
      <c r="XDA320"/>
      <c r="XDB320"/>
      <c r="XDC320"/>
      <c r="XDD320"/>
      <c r="XDE320"/>
      <c r="XDF320"/>
      <c r="XDG320"/>
      <c r="XDH320"/>
      <c r="XDI320"/>
      <c r="XDJ320"/>
      <c r="XDK320"/>
      <c r="XDL320"/>
      <c r="XDM320"/>
      <c r="XDN320"/>
      <c r="XDO320"/>
      <c r="XDP320"/>
      <c r="XDQ320"/>
      <c r="XDR320"/>
      <c r="XDS320"/>
      <c r="XDT320"/>
      <c r="XDU320"/>
      <c r="XDV320"/>
      <c r="XDW320"/>
      <c r="XDX320"/>
      <c r="XDY320"/>
      <c r="XDZ320"/>
      <c r="XEA320"/>
      <c r="XEB320"/>
      <c r="XEC320"/>
      <c r="XED320"/>
      <c r="XEE320"/>
      <c r="XEF320"/>
      <c r="XEG320"/>
      <c r="XEH320"/>
      <c r="XEI320"/>
      <c r="XEJ320"/>
      <c r="XEK320"/>
      <c r="XEL320"/>
      <c r="XEM320"/>
      <c r="XEN320"/>
      <c r="XEO320"/>
      <c r="XEP320"/>
      <c r="XEQ320"/>
      <c r="XER320"/>
      <c r="XES320"/>
      <c r="XET320"/>
      <c r="XEU320"/>
      <c r="XEV320"/>
      <c r="XEW320"/>
      <c r="XEX320"/>
      <c r="XEY320"/>
      <c r="XEZ320"/>
      <c r="XFA320"/>
      <c r="XFB320"/>
      <c r="XFC320"/>
      <c r="XFD320"/>
    </row>
    <row r="321" spans="1:18 16327:16384" s="26" customFormat="1" ht="29.1" customHeight="1" outlineLevel="3" x14ac:dyDescent="0.25">
      <c r="A321" s="42" t="s">
        <v>562</v>
      </c>
      <c r="B321" s="43"/>
      <c r="C321" s="66" t="s">
        <v>563</v>
      </c>
      <c r="D321" s="66"/>
      <c r="E321" s="43" t="s">
        <v>34</v>
      </c>
      <c r="F321" s="44"/>
      <c r="G321" s="43" t="s">
        <v>65</v>
      </c>
      <c r="H321" s="45">
        <v>1.02</v>
      </c>
      <c r="I321" s="46">
        <f>404.94</f>
        <v>404.94</v>
      </c>
      <c r="J321" s="23"/>
      <c r="K321" s="47"/>
      <c r="L321" s="48"/>
      <c r="M321" s="49"/>
      <c r="N321" s="49">
        <f t="shared" si="10"/>
        <v>0</v>
      </c>
      <c r="O321" s="49"/>
      <c r="P321" s="49"/>
      <c r="Q321" s="49"/>
      <c r="R321" s="23"/>
      <c r="XCY321"/>
      <c r="XCZ321"/>
      <c r="XDA321"/>
      <c r="XDB321"/>
      <c r="XDC321"/>
      <c r="XDD321"/>
      <c r="XDE321"/>
      <c r="XDF321"/>
      <c r="XDG321"/>
      <c r="XDH321"/>
      <c r="XDI321"/>
      <c r="XDJ321"/>
      <c r="XDK321"/>
      <c r="XDL321"/>
      <c r="XDM321"/>
      <c r="XDN321"/>
      <c r="XDO321"/>
      <c r="XDP321"/>
      <c r="XDQ321"/>
      <c r="XDR321"/>
      <c r="XDS321"/>
      <c r="XDT321"/>
      <c r="XDU321"/>
      <c r="XDV321"/>
      <c r="XDW321"/>
      <c r="XDX321"/>
      <c r="XDY321"/>
      <c r="XDZ321"/>
      <c r="XEA321"/>
      <c r="XEB321"/>
      <c r="XEC321"/>
      <c r="XED321"/>
      <c r="XEE321"/>
      <c r="XEF321"/>
      <c r="XEG321"/>
      <c r="XEH321"/>
      <c r="XEI321"/>
      <c r="XEJ321"/>
      <c r="XEK321"/>
      <c r="XEL321"/>
      <c r="XEM321"/>
      <c r="XEN321"/>
      <c r="XEO321"/>
      <c r="XEP321"/>
      <c r="XEQ321"/>
      <c r="XER321"/>
      <c r="XES321"/>
      <c r="XET321"/>
      <c r="XEU321"/>
      <c r="XEV321"/>
      <c r="XEW321"/>
      <c r="XEX321"/>
      <c r="XEY321"/>
      <c r="XEZ321"/>
      <c r="XFA321"/>
      <c r="XFB321"/>
      <c r="XFC321"/>
      <c r="XFD321"/>
    </row>
    <row r="322" spans="1:18 16327:16384" s="26" customFormat="1" ht="29.1" customHeight="1" outlineLevel="2" x14ac:dyDescent="0.25">
      <c r="A322" s="34" t="s">
        <v>564</v>
      </c>
      <c r="B322" s="35"/>
      <c r="C322" s="65" t="s">
        <v>69</v>
      </c>
      <c r="D322" s="65"/>
      <c r="E322" s="35"/>
      <c r="F322" s="36"/>
      <c r="G322" s="35" t="s">
        <v>65</v>
      </c>
      <c r="H322" s="37"/>
      <c r="I322" s="38">
        <f>137</f>
        <v>137</v>
      </c>
      <c r="J322" s="23"/>
      <c r="K322" s="39"/>
      <c r="L322" s="40"/>
      <c r="M322" s="41"/>
      <c r="N322" s="41"/>
      <c r="O322" s="41"/>
      <c r="P322" s="41"/>
      <c r="Q322" s="41"/>
      <c r="R322" s="23"/>
      <c r="XCY322"/>
      <c r="XCZ322"/>
      <c r="XDA322"/>
      <c r="XDB322"/>
      <c r="XDC322"/>
      <c r="XDD322"/>
      <c r="XDE322"/>
      <c r="XDF322"/>
      <c r="XDG322"/>
      <c r="XDH322"/>
      <c r="XDI322"/>
      <c r="XDJ322"/>
      <c r="XDK322"/>
      <c r="XDL322"/>
      <c r="XDM322"/>
      <c r="XDN322"/>
      <c r="XDO322"/>
      <c r="XDP322"/>
      <c r="XDQ322"/>
      <c r="XDR322"/>
      <c r="XDS322"/>
      <c r="XDT322"/>
      <c r="XDU322"/>
      <c r="XDV322"/>
      <c r="XDW322"/>
      <c r="XDX322"/>
      <c r="XDY322"/>
      <c r="XDZ322"/>
      <c r="XEA322"/>
      <c r="XEB322"/>
      <c r="XEC322"/>
      <c r="XED322"/>
      <c r="XEE322"/>
      <c r="XEF322"/>
      <c r="XEG322"/>
      <c r="XEH322"/>
      <c r="XEI322"/>
      <c r="XEJ322"/>
      <c r="XEK322"/>
      <c r="XEL322"/>
      <c r="XEM322"/>
      <c r="XEN322"/>
      <c r="XEO322"/>
      <c r="XEP322"/>
      <c r="XEQ322"/>
      <c r="XER322"/>
      <c r="XES322"/>
      <c r="XET322"/>
      <c r="XEU322"/>
      <c r="XEV322"/>
      <c r="XEW322"/>
      <c r="XEX322"/>
      <c r="XEY322"/>
      <c r="XEZ322"/>
      <c r="XFA322"/>
      <c r="XFB322"/>
      <c r="XFC322"/>
      <c r="XFD322"/>
    </row>
    <row r="323" spans="1:18 16327:16384" s="26" customFormat="1" ht="29.1" customHeight="1" outlineLevel="3" x14ac:dyDescent="0.25">
      <c r="A323" s="42" t="s">
        <v>565</v>
      </c>
      <c r="B323" s="43"/>
      <c r="C323" s="66" t="s">
        <v>566</v>
      </c>
      <c r="D323" s="66"/>
      <c r="E323" s="43" t="s">
        <v>34</v>
      </c>
      <c r="F323" s="44"/>
      <c r="G323" s="43" t="s">
        <v>65</v>
      </c>
      <c r="H323" s="45">
        <v>1.02</v>
      </c>
      <c r="I323" s="46">
        <f>139.74</f>
        <v>139.74</v>
      </c>
      <c r="J323" s="23"/>
      <c r="K323" s="47"/>
      <c r="L323" s="48"/>
      <c r="M323" s="49"/>
      <c r="N323" s="49">
        <f t="shared" si="10"/>
        <v>0</v>
      </c>
      <c r="O323" s="49"/>
      <c r="P323" s="49"/>
      <c r="Q323" s="49"/>
      <c r="R323" s="23"/>
      <c r="XCY323"/>
      <c r="XCZ323"/>
      <c r="XDA323"/>
      <c r="XDB323"/>
      <c r="XDC323"/>
      <c r="XDD323"/>
      <c r="XDE323"/>
      <c r="XDF323"/>
      <c r="XDG323"/>
      <c r="XDH323"/>
      <c r="XDI323"/>
      <c r="XDJ323"/>
      <c r="XDK323"/>
      <c r="XDL323"/>
      <c r="XDM323"/>
      <c r="XDN323"/>
      <c r="XDO323"/>
      <c r="XDP323"/>
      <c r="XDQ323"/>
      <c r="XDR323"/>
      <c r="XDS323"/>
      <c r="XDT323"/>
      <c r="XDU323"/>
      <c r="XDV323"/>
      <c r="XDW323"/>
      <c r="XDX323"/>
      <c r="XDY323"/>
      <c r="XDZ323"/>
      <c r="XEA323"/>
      <c r="XEB323"/>
      <c r="XEC323"/>
      <c r="XED323"/>
      <c r="XEE323"/>
      <c r="XEF323"/>
      <c r="XEG323"/>
      <c r="XEH323"/>
      <c r="XEI323"/>
      <c r="XEJ323"/>
      <c r="XEK323"/>
      <c r="XEL323"/>
      <c r="XEM323"/>
      <c r="XEN323"/>
      <c r="XEO323"/>
      <c r="XEP323"/>
      <c r="XEQ323"/>
      <c r="XER323"/>
      <c r="XES323"/>
      <c r="XET323"/>
      <c r="XEU323"/>
      <c r="XEV323"/>
      <c r="XEW323"/>
      <c r="XEX323"/>
      <c r="XEY323"/>
      <c r="XEZ323"/>
      <c r="XFA323"/>
      <c r="XFB323"/>
      <c r="XFC323"/>
      <c r="XFD323"/>
    </row>
    <row r="324" spans="1:18 16327:16384" s="26" customFormat="1" ht="29.1" customHeight="1" outlineLevel="2" x14ac:dyDescent="0.25">
      <c r="A324" s="34" t="s">
        <v>567</v>
      </c>
      <c r="B324" s="35"/>
      <c r="C324" s="65" t="s">
        <v>69</v>
      </c>
      <c r="D324" s="65"/>
      <c r="E324" s="35"/>
      <c r="F324" s="36"/>
      <c r="G324" s="35" t="s">
        <v>65</v>
      </c>
      <c r="H324" s="37"/>
      <c r="I324" s="38">
        <f>20</f>
        <v>20</v>
      </c>
      <c r="J324" s="23"/>
      <c r="K324" s="39"/>
      <c r="L324" s="40"/>
      <c r="M324" s="41"/>
      <c r="N324" s="41"/>
      <c r="O324" s="41"/>
      <c r="P324" s="41"/>
      <c r="Q324" s="41"/>
      <c r="R324" s="23"/>
      <c r="XCY324"/>
      <c r="XCZ324"/>
      <c r="XDA324"/>
      <c r="XDB324"/>
      <c r="XDC324"/>
      <c r="XDD324"/>
      <c r="XDE324"/>
      <c r="XDF324"/>
      <c r="XDG324"/>
      <c r="XDH324"/>
      <c r="XDI324"/>
      <c r="XDJ324"/>
      <c r="XDK324"/>
      <c r="XDL324"/>
      <c r="XDM324"/>
      <c r="XDN324"/>
      <c r="XDO324"/>
      <c r="XDP324"/>
      <c r="XDQ324"/>
      <c r="XDR324"/>
      <c r="XDS324"/>
      <c r="XDT324"/>
      <c r="XDU324"/>
      <c r="XDV324"/>
      <c r="XDW324"/>
      <c r="XDX324"/>
      <c r="XDY324"/>
      <c r="XDZ324"/>
      <c r="XEA324"/>
      <c r="XEB324"/>
      <c r="XEC324"/>
      <c r="XED324"/>
      <c r="XEE324"/>
      <c r="XEF324"/>
      <c r="XEG324"/>
      <c r="XEH324"/>
      <c r="XEI324"/>
      <c r="XEJ324"/>
      <c r="XEK324"/>
      <c r="XEL324"/>
      <c r="XEM324"/>
      <c r="XEN324"/>
      <c r="XEO324"/>
      <c r="XEP324"/>
      <c r="XEQ324"/>
      <c r="XER324"/>
      <c r="XES324"/>
      <c r="XET324"/>
      <c r="XEU324"/>
      <c r="XEV324"/>
      <c r="XEW324"/>
      <c r="XEX324"/>
      <c r="XEY324"/>
      <c r="XEZ324"/>
      <c r="XFA324"/>
      <c r="XFB324"/>
      <c r="XFC324"/>
      <c r="XFD324"/>
    </row>
    <row r="325" spans="1:18 16327:16384" s="26" customFormat="1" ht="29.1" customHeight="1" outlineLevel="3" x14ac:dyDescent="0.25">
      <c r="A325" s="42" t="s">
        <v>568</v>
      </c>
      <c r="B325" s="43"/>
      <c r="C325" s="66" t="s">
        <v>569</v>
      </c>
      <c r="D325" s="66"/>
      <c r="E325" s="43" t="s">
        <v>34</v>
      </c>
      <c r="F325" s="44"/>
      <c r="G325" s="43" t="s">
        <v>65</v>
      </c>
      <c r="H325" s="45">
        <v>1.02</v>
      </c>
      <c r="I325" s="46">
        <f>20.4</f>
        <v>20.399999999999999</v>
      </c>
      <c r="J325" s="23"/>
      <c r="K325" s="47"/>
      <c r="L325" s="48"/>
      <c r="M325" s="49"/>
      <c r="N325" s="49">
        <f t="shared" si="10"/>
        <v>0</v>
      </c>
      <c r="O325" s="49"/>
      <c r="P325" s="49"/>
      <c r="Q325" s="49"/>
      <c r="R325" s="23"/>
      <c r="XCY325"/>
      <c r="XCZ325"/>
      <c r="XDA325"/>
      <c r="XDB325"/>
      <c r="XDC325"/>
      <c r="XDD325"/>
      <c r="XDE325"/>
      <c r="XDF325"/>
      <c r="XDG325"/>
      <c r="XDH325"/>
      <c r="XDI325"/>
      <c r="XDJ325"/>
      <c r="XDK325"/>
      <c r="XDL325"/>
      <c r="XDM325"/>
      <c r="XDN325"/>
      <c r="XDO325"/>
      <c r="XDP325"/>
      <c r="XDQ325"/>
      <c r="XDR325"/>
      <c r="XDS325"/>
      <c r="XDT325"/>
      <c r="XDU325"/>
      <c r="XDV325"/>
      <c r="XDW325"/>
      <c r="XDX325"/>
      <c r="XDY325"/>
      <c r="XDZ325"/>
      <c r="XEA325"/>
      <c r="XEB325"/>
      <c r="XEC325"/>
      <c r="XED325"/>
      <c r="XEE325"/>
      <c r="XEF325"/>
      <c r="XEG325"/>
      <c r="XEH325"/>
      <c r="XEI325"/>
      <c r="XEJ325"/>
      <c r="XEK325"/>
      <c r="XEL325"/>
      <c r="XEM325"/>
      <c r="XEN325"/>
      <c r="XEO325"/>
      <c r="XEP325"/>
      <c r="XEQ325"/>
      <c r="XER325"/>
      <c r="XES325"/>
      <c r="XET325"/>
      <c r="XEU325"/>
      <c r="XEV325"/>
      <c r="XEW325"/>
      <c r="XEX325"/>
      <c r="XEY325"/>
      <c r="XEZ325"/>
      <c r="XFA325"/>
      <c r="XFB325"/>
      <c r="XFC325"/>
      <c r="XFD325"/>
    </row>
    <row r="326" spans="1:18 16327:16384" s="26" customFormat="1" ht="29.1" customHeight="1" outlineLevel="2" x14ac:dyDescent="0.25">
      <c r="A326" s="34" t="s">
        <v>570</v>
      </c>
      <c r="B326" s="35"/>
      <c r="C326" s="65" t="s">
        <v>69</v>
      </c>
      <c r="D326" s="65"/>
      <c r="E326" s="35"/>
      <c r="F326" s="36"/>
      <c r="G326" s="35" t="s">
        <v>65</v>
      </c>
      <c r="H326" s="37"/>
      <c r="I326" s="38">
        <f>36</f>
        <v>36</v>
      </c>
      <c r="J326" s="23"/>
      <c r="K326" s="39"/>
      <c r="L326" s="40"/>
      <c r="M326" s="41"/>
      <c r="N326" s="41"/>
      <c r="O326" s="41"/>
      <c r="P326" s="41"/>
      <c r="Q326" s="41"/>
      <c r="R326" s="23"/>
      <c r="XCY326"/>
      <c r="XCZ326"/>
      <c r="XDA326"/>
      <c r="XDB326"/>
      <c r="XDC326"/>
      <c r="XDD326"/>
      <c r="XDE326"/>
      <c r="XDF326"/>
      <c r="XDG326"/>
      <c r="XDH326"/>
      <c r="XDI326"/>
      <c r="XDJ326"/>
      <c r="XDK326"/>
      <c r="XDL326"/>
      <c r="XDM326"/>
      <c r="XDN326"/>
      <c r="XDO326"/>
      <c r="XDP326"/>
      <c r="XDQ326"/>
      <c r="XDR326"/>
      <c r="XDS326"/>
      <c r="XDT326"/>
      <c r="XDU326"/>
      <c r="XDV326"/>
      <c r="XDW326"/>
      <c r="XDX326"/>
      <c r="XDY326"/>
      <c r="XDZ326"/>
      <c r="XEA326"/>
      <c r="XEB326"/>
      <c r="XEC326"/>
      <c r="XED326"/>
      <c r="XEE326"/>
      <c r="XEF326"/>
      <c r="XEG326"/>
      <c r="XEH326"/>
      <c r="XEI326"/>
      <c r="XEJ326"/>
      <c r="XEK326"/>
      <c r="XEL326"/>
      <c r="XEM326"/>
      <c r="XEN326"/>
      <c r="XEO326"/>
      <c r="XEP326"/>
      <c r="XEQ326"/>
      <c r="XER326"/>
      <c r="XES326"/>
      <c r="XET326"/>
      <c r="XEU326"/>
      <c r="XEV326"/>
      <c r="XEW326"/>
      <c r="XEX326"/>
      <c r="XEY326"/>
      <c r="XEZ326"/>
      <c r="XFA326"/>
      <c r="XFB326"/>
      <c r="XFC326"/>
      <c r="XFD326"/>
    </row>
    <row r="327" spans="1:18 16327:16384" s="26" customFormat="1" ht="29.1" customHeight="1" outlineLevel="3" x14ac:dyDescent="0.25">
      <c r="A327" s="42" t="s">
        <v>571</v>
      </c>
      <c r="B327" s="43"/>
      <c r="C327" s="66" t="s">
        <v>572</v>
      </c>
      <c r="D327" s="66"/>
      <c r="E327" s="43" t="s">
        <v>34</v>
      </c>
      <c r="F327" s="44"/>
      <c r="G327" s="43" t="s">
        <v>65</v>
      </c>
      <c r="H327" s="45">
        <v>1.02</v>
      </c>
      <c r="I327" s="46">
        <f>36.72</f>
        <v>36.72</v>
      </c>
      <c r="J327" s="23"/>
      <c r="K327" s="47"/>
      <c r="L327" s="48"/>
      <c r="M327" s="49"/>
      <c r="N327" s="49">
        <f t="shared" ref="N327:N349" si="11">ROUND((I327*K327),2)</f>
        <v>0</v>
      </c>
      <c r="O327" s="49"/>
      <c r="P327" s="49"/>
      <c r="Q327" s="49"/>
      <c r="R327" s="23"/>
      <c r="XCY327"/>
      <c r="XCZ327"/>
      <c r="XDA327"/>
      <c r="XDB327"/>
      <c r="XDC327"/>
      <c r="XDD327"/>
      <c r="XDE327"/>
      <c r="XDF327"/>
      <c r="XDG327"/>
      <c r="XDH327"/>
      <c r="XDI327"/>
      <c r="XDJ327"/>
      <c r="XDK327"/>
      <c r="XDL327"/>
      <c r="XDM327"/>
      <c r="XDN327"/>
      <c r="XDO327"/>
      <c r="XDP327"/>
      <c r="XDQ327"/>
      <c r="XDR327"/>
      <c r="XDS327"/>
      <c r="XDT327"/>
      <c r="XDU327"/>
      <c r="XDV327"/>
      <c r="XDW327"/>
      <c r="XDX327"/>
      <c r="XDY327"/>
      <c r="XDZ327"/>
      <c r="XEA327"/>
      <c r="XEB327"/>
      <c r="XEC327"/>
      <c r="XED327"/>
      <c r="XEE327"/>
      <c r="XEF327"/>
      <c r="XEG327"/>
      <c r="XEH327"/>
      <c r="XEI327"/>
      <c r="XEJ327"/>
      <c r="XEK327"/>
      <c r="XEL327"/>
      <c r="XEM327"/>
      <c r="XEN327"/>
      <c r="XEO327"/>
      <c r="XEP327"/>
      <c r="XEQ327"/>
      <c r="XER327"/>
      <c r="XES327"/>
      <c r="XET327"/>
      <c r="XEU327"/>
      <c r="XEV327"/>
      <c r="XEW327"/>
      <c r="XEX327"/>
      <c r="XEY327"/>
      <c r="XEZ327"/>
      <c r="XFA327"/>
      <c r="XFB327"/>
      <c r="XFC327"/>
      <c r="XFD327"/>
    </row>
    <row r="328" spans="1:18 16327:16384" s="26" customFormat="1" ht="29.1" customHeight="1" outlineLevel="2" x14ac:dyDescent="0.25">
      <c r="A328" s="34" t="s">
        <v>573</v>
      </c>
      <c r="B328" s="35"/>
      <c r="C328" s="65" t="s">
        <v>69</v>
      </c>
      <c r="D328" s="65"/>
      <c r="E328" s="35"/>
      <c r="F328" s="36"/>
      <c r="G328" s="35" t="s">
        <v>65</v>
      </c>
      <c r="H328" s="37"/>
      <c r="I328" s="38">
        <f>72</f>
        <v>72</v>
      </c>
      <c r="J328" s="23"/>
      <c r="K328" s="39"/>
      <c r="L328" s="40"/>
      <c r="M328" s="41"/>
      <c r="N328" s="41"/>
      <c r="O328" s="41"/>
      <c r="P328" s="41"/>
      <c r="Q328" s="41"/>
      <c r="R328" s="23"/>
      <c r="XCY328"/>
      <c r="XCZ328"/>
      <c r="XDA328"/>
      <c r="XDB328"/>
      <c r="XDC328"/>
      <c r="XDD328"/>
      <c r="XDE328"/>
      <c r="XDF328"/>
      <c r="XDG328"/>
      <c r="XDH328"/>
      <c r="XDI328"/>
      <c r="XDJ328"/>
      <c r="XDK328"/>
      <c r="XDL328"/>
      <c r="XDM328"/>
      <c r="XDN328"/>
      <c r="XDO328"/>
      <c r="XDP328"/>
      <c r="XDQ328"/>
      <c r="XDR328"/>
      <c r="XDS328"/>
      <c r="XDT328"/>
      <c r="XDU328"/>
      <c r="XDV328"/>
      <c r="XDW328"/>
      <c r="XDX328"/>
      <c r="XDY328"/>
      <c r="XDZ328"/>
      <c r="XEA328"/>
      <c r="XEB328"/>
      <c r="XEC328"/>
      <c r="XED328"/>
      <c r="XEE328"/>
      <c r="XEF328"/>
      <c r="XEG328"/>
      <c r="XEH328"/>
      <c r="XEI328"/>
      <c r="XEJ328"/>
      <c r="XEK328"/>
      <c r="XEL328"/>
      <c r="XEM328"/>
      <c r="XEN328"/>
      <c r="XEO328"/>
      <c r="XEP328"/>
      <c r="XEQ328"/>
      <c r="XER328"/>
      <c r="XES328"/>
      <c r="XET328"/>
      <c r="XEU328"/>
      <c r="XEV328"/>
      <c r="XEW328"/>
      <c r="XEX328"/>
      <c r="XEY328"/>
      <c r="XEZ328"/>
      <c r="XFA328"/>
      <c r="XFB328"/>
      <c r="XFC328"/>
      <c r="XFD328"/>
    </row>
    <row r="329" spans="1:18 16327:16384" s="26" customFormat="1" ht="29.1" customHeight="1" outlineLevel="3" x14ac:dyDescent="0.25">
      <c r="A329" s="42" t="s">
        <v>574</v>
      </c>
      <c r="B329" s="43"/>
      <c r="C329" s="66" t="s">
        <v>575</v>
      </c>
      <c r="D329" s="66"/>
      <c r="E329" s="43" t="s">
        <v>34</v>
      </c>
      <c r="F329" s="44"/>
      <c r="G329" s="43" t="s">
        <v>65</v>
      </c>
      <c r="H329" s="45">
        <v>1.02</v>
      </c>
      <c r="I329" s="46">
        <f>73.44</f>
        <v>73.44</v>
      </c>
      <c r="J329" s="23"/>
      <c r="K329" s="47"/>
      <c r="L329" s="48"/>
      <c r="M329" s="49"/>
      <c r="N329" s="49">
        <f t="shared" si="11"/>
        <v>0</v>
      </c>
      <c r="O329" s="49"/>
      <c r="P329" s="49"/>
      <c r="Q329" s="49"/>
      <c r="R329" s="23"/>
      <c r="XCY329"/>
      <c r="XCZ329"/>
      <c r="XDA329"/>
      <c r="XDB329"/>
      <c r="XDC329"/>
      <c r="XDD329"/>
      <c r="XDE329"/>
      <c r="XDF329"/>
      <c r="XDG329"/>
      <c r="XDH329"/>
      <c r="XDI329"/>
      <c r="XDJ329"/>
      <c r="XDK329"/>
      <c r="XDL329"/>
      <c r="XDM329"/>
      <c r="XDN329"/>
      <c r="XDO329"/>
      <c r="XDP329"/>
      <c r="XDQ329"/>
      <c r="XDR329"/>
      <c r="XDS329"/>
      <c r="XDT329"/>
      <c r="XDU329"/>
      <c r="XDV329"/>
      <c r="XDW329"/>
      <c r="XDX329"/>
      <c r="XDY329"/>
      <c r="XDZ329"/>
      <c r="XEA329"/>
      <c r="XEB329"/>
      <c r="XEC329"/>
      <c r="XED329"/>
      <c r="XEE329"/>
      <c r="XEF329"/>
      <c r="XEG329"/>
      <c r="XEH329"/>
      <c r="XEI329"/>
      <c r="XEJ329"/>
      <c r="XEK329"/>
      <c r="XEL329"/>
      <c r="XEM329"/>
      <c r="XEN329"/>
      <c r="XEO329"/>
      <c r="XEP329"/>
      <c r="XEQ329"/>
      <c r="XER329"/>
      <c r="XES329"/>
      <c r="XET329"/>
      <c r="XEU329"/>
      <c r="XEV329"/>
      <c r="XEW329"/>
      <c r="XEX329"/>
      <c r="XEY329"/>
      <c r="XEZ329"/>
      <c r="XFA329"/>
      <c r="XFB329"/>
      <c r="XFC329"/>
      <c r="XFD329"/>
    </row>
    <row r="330" spans="1:18 16327:16384" s="26" customFormat="1" ht="29.1" customHeight="1" outlineLevel="2" x14ac:dyDescent="0.25">
      <c r="A330" s="34" t="s">
        <v>576</v>
      </c>
      <c r="B330" s="35"/>
      <c r="C330" s="65" t="s">
        <v>64</v>
      </c>
      <c r="D330" s="65"/>
      <c r="E330" s="35"/>
      <c r="F330" s="36"/>
      <c r="G330" s="35" t="s">
        <v>65</v>
      </c>
      <c r="H330" s="37"/>
      <c r="I330" s="38">
        <f>174</f>
        <v>174</v>
      </c>
      <c r="J330" s="23"/>
      <c r="K330" s="39"/>
      <c r="L330" s="40"/>
      <c r="M330" s="41"/>
      <c r="N330" s="41"/>
      <c r="O330" s="41"/>
      <c r="P330" s="41"/>
      <c r="Q330" s="41"/>
      <c r="R330" s="23"/>
      <c r="XCY330"/>
      <c r="XCZ330"/>
      <c r="XDA330"/>
      <c r="XDB330"/>
      <c r="XDC330"/>
      <c r="XDD330"/>
      <c r="XDE330"/>
      <c r="XDF330"/>
      <c r="XDG330"/>
      <c r="XDH330"/>
      <c r="XDI330"/>
      <c r="XDJ330"/>
      <c r="XDK330"/>
      <c r="XDL330"/>
      <c r="XDM330"/>
      <c r="XDN330"/>
      <c r="XDO330"/>
      <c r="XDP330"/>
      <c r="XDQ330"/>
      <c r="XDR330"/>
      <c r="XDS330"/>
      <c r="XDT330"/>
      <c r="XDU330"/>
      <c r="XDV330"/>
      <c r="XDW330"/>
      <c r="XDX330"/>
      <c r="XDY330"/>
      <c r="XDZ330"/>
      <c r="XEA330"/>
      <c r="XEB330"/>
      <c r="XEC330"/>
      <c r="XED330"/>
      <c r="XEE330"/>
      <c r="XEF330"/>
      <c r="XEG330"/>
      <c r="XEH330"/>
      <c r="XEI330"/>
      <c r="XEJ330"/>
      <c r="XEK330"/>
      <c r="XEL330"/>
      <c r="XEM330"/>
      <c r="XEN330"/>
      <c r="XEO330"/>
      <c r="XEP330"/>
      <c r="XEQ330"/>
      <c r="XER330"/>
      <c r="XES330"/>
      <c r="XET330"/>
      <c r="XEU330"/>
      <c r="XEV330"/>
      <c r="XEW330"/>
      <c r="XEX330"/>
      <c r="XEY330"/>
      <c r="XEZ330"/>
      <c r="XFA330"/>
      <c r="XFB330"/>
      <c r="XFC330"/>
      <c r="XFD330"/>
    </row>
    <row r="331" spans="1:18 16327:16384" s="26" customFormat="1" ht="29.1" customHeight="1" outlineLevel="3" x14ac:dyDescent="0.25">
      <c r="A331" s="42" t="s">
        <v>577</v>
      </c>
      <c r="B331" s="43"/>
      <c r="C331" s="66" t="s">
        <v>446</v>
      </c>
      <c r="D331" s="66"/>
      <c r="E331" s="43" t="s">
        <v>34</v>
      </c>
      <c r="F331" s="44"/>
      <c r="G331" s="43" t="s">
        <v>65</v>
      </c>
      <c r="H331" s="45">
        <v>1.02</v>
      </c>
      <c r="I331" s="46">
        <f>177.48</f>
        <v>177.48</v>
      </c>
      <c r="J331" s="23"/>
      <c r="K331" s="47"/>
      <c r="L331" s="48"/>
      <c r="M331" s="49"/>
      <c r="N331" s="49">
        <f t="shared" si="11"/>
        <v>0</v>
      </c>
      <c r="O331" s="49"/>
      <c r="P331" s="49"/>
      <c r="Q331" s="49"/>
      <c r="R331" s="23"/>
      <c r="XCY331"/>
      <c r="XCZ331"/>
      <c r="XDA331"/>
      <c r="XDB331"/>
      <c r="XDC331"/>
      <c r="XDD331"/>
      <c r="XDE331"/>
      <c r="XDF331"/>
      <c r="XDG331"/>
      <c r="XDH331"/>
      <c r="XDI331"/>
      <c r="XDJ331"/>
      <c r="XDK331"/>
      <c r="XDL331"/>
      <c r="XDM331"/>
      <c r="XDN331"/>
      <c r="XDO331"/>
      <c r="XDP331"/>
      <c r="XDQ331"/>
      <c r="XDR331"/>
      <c r="XDS331"/>
      <c r="XDT331"/>
      <c r="XDU331"/>
      <c r="XDV331"/>
      <c r="XDW331"/>
      <c r="XDX331"/>
      <c r="XDY331"/>
      <c r="XDZ331"/>
      <c r="XEA331"/>
      <c r="XEB331"/>
      <c r="XEC331"/>
      <c r="XED331"/>
      <c r="XEE331"/>
      <c r="XEF331"/>
      <c r="XEG331"/>
      <c r="XEH331"/>
      <c r="XEI331"/>
      <c r="XEJ331"/>
      <c r="XEK331"/>
      <c r="XEL331"/>
      <c r="XEM331"/>
      <c r="XEN331"/>
      <c r="XEO331"/>
      <c r="XEP331"/>
      <c r="XEQ331"/>
      <c r="XER331"/>
      <c r="XES331"/>
      <c r="XET331"/>
      <c r="XEU331"/>
      <c r="XEV331"/>
      <c r="XEW331"/>
      <c r="XEX331"/>
      <c r="XEY331"/>
      <c r="XEZ331"/>
      <c r="XFA331"/>
      <c r="XFB331"/>
      <c r="XFC331"/>
      <c r="XFD331"/>
    </row>
    <row r="332" spans="1:18 16327:16384" s="26" customFormat="1" ht="29.1" customHeight="1" outlineLevel="2" x14ac:dyDescent="0.25">
      <c r="A332" s="34" t="s">
        <v>578</v>
      </c>
      <c r="B332" s="35"/>
      <c r="C332" s="65" t="s">
        <v>69</v>
      </c>
      <c r="D332" s="65"/>
      <c r="E332" s="35"/>
      <c r="F332" s="36"/>
      <c r="G332" s="35" t="s">
        <v>65</v>
      </c>
      <c r="H332" s="37"/>
      <c r="I332" s="38">
        <f>111</f>
        <v>111</v>
      </c>
      <c r="J332" s="23"/>
      <c r="K332" s="39"/>
      <c r="L332" s="40"/>
      <c r="M332" s="41"/>
      <c r="N332" s="41"/>
      <c r="O332" s="41"/>
      <c r="P332" s="41"/>
      <c r="Q332" s="41"/>
      <c r="R332" s="23"/>
      <c r="XCY332"/>
      <c r="XCZ332"/>
      <c r="XDA332"/>
      <c r="XDB332"/>
      <c r="XDC332"/>
      <c r="XDD332"/>
      <c r="XDE332"/>
      <c r="XDF332"/>
      <c r="XDG332"/>
      <c r="XDH332"/>
      <c r="XDI332"/>
      <c r="XDJ332"/>
      <c r="XDK332"/>
      <c r="XDL332"/>
      <c r="XDM332"/>
      <c r="XDN332"/>
      <c r="XDO332"/>
      <c r="XDP332"/>
      <c r="XDQ332"/>
      <c r="XDR332"/>
      <c r="XDS332"/>
      <c r="XDT332"/>
      <c r="XDU332"/>
      <c r="XDV332"/>
      <c r="XDW332"/>
      <c r="XDX332"/>
      <c r="XDY332"/>
      <c r="XDZ332"/>
      <c r="XEA332"/>
      <c r="XEB332"/>
      <c r="XEC332"/>
      <c r="XED332"/>
      <c r="XEE332"/>
      <c r="XEF332"/>
      <c r="XEG332"/>
      <c r="XEH332"/>
      <c r="XEI332"/>
      <c r="XEJ332"/>
      <c r="XEK332"/>
      <c r="XEL332"/>
      <c r="XEM332"/>
      <c r="XEN332"/>
      <c r="XEO332"/>
      <c r="XEP332"/>
      <c r="XEQ332"/>
      <c r="XER332"/>
      <c r="XES332"/>
      <c r="XET332"/>
      <c r="XEU332"/>
      <c r="XEV332"/>
      <c r="XEW332"/>
      <c r="XEX332"/>
      <c r="XEY332"/>
      <c r="XEZ332"/>
      <c r="XFA332"/>
      <c r="XFB332"/>
      <c r="XFC332"/>
      <c r="XFD332"/>
    </row>
    <row r="333" spans="1:18 16327:16384" s="26" customFormat="1" ht="29.1" customHeight="1" outlineLevel="3" x14ac:dyDescent="0.25">
      <c r="A333" s="42" t="s">
        <v>579</v>
      </c>
      <c r="B333" s="43"/>
      <c r="C333" s="66" t="s">
        <v>580</v>
      </c>
      <c r="D333" s="66"/>
      <c r="E333" s="43" t="s">
        <v>34</v>
      </c>
      <c r="F333" s="44"/>
      <c r="G333" s="43" t="s">
        <v>65</v>
      </c>
      <c r="H333" s="45">
        <v>1.02</v>
      </c>
      <c r="I333" s="46">
        <f>113.22</f>
        <v>113.22</v>
      </c>
      <c r="J333" s="23"/>
      <c r="K333" s="47"/>
      <c r="L333" s="48"/>
      <c r="M333" s="49"/>
      <c r="N333" s="49">
        <f t="shared" si="11"/>
        <v>0</v>
      </c>
      <c r="O333" s="49"/>
      <c r="P333" s="49"/>
      <c r="Q333" s="49"/>
      <c r="R333" s="23"/>
      <c r="XCY333"/>
      <c r="XCZ333"/>
      <c r="XDA333"/>
      <c r="XDB333"/>
      <c r="XDC333"/>
      <c r="XDD333"/>
      <c r="XDE333"/>
      <c r="XDF333"/>
      <c r="XDG333"/>
      <c r="XDH333"/>
      <c r="XDI333"/>
      <c r="XDJ333"/>
      <c r="XDK333"/>
      <c r="XDL333"/>
      <c r="XDM333"/>
      <c r="XDN333"/>
      <c r="XDO333"/>
      <c r="XDP333"/>
      <c r="XDQ333"/>
      <c r="XDR333"/>
      <c r="XDS333"/>
      <c r="XDT333"/>
      <c r="XDU333"/>
      <c r="XDV333"/>
      <c r="XDW333"/>
      <c r="XDX333"/>
      <c r="XDY333"/>
      <c r="XDZ333"/>
      <c r="XEA333"/>
      <c r="XEB333"/>
      <c r="XEC333"/>
      <c r="XED333"/>
      <c r="XEE333"/>
      <c r="XEF333"/>
      <c r="XEG333"/>
      <c r="XEH333"/>
      <c r="XEI333"/>
      <c r="XEJ333"/>
      <c r="XEK333"/>
      <c r="XEL333"/>
      <c r="XEM333"/>
      <c r="XEN333"/>
      <c r="XEO333"/>
      <c r="XEP333"/>
      <c r="XEQ333"/>
      <c r="XER333"/>
      <c r="XES333"/>
      <c r="XET333"/>
      <c r="XEU333"/>
      <c r="XEV333"/>
      <c r="XEW333"/>
      <c r="XEX333"/>
      <c r="XEY333"/>
      <c r="XEZ333"/>
      <c r="XFA333"/>
      <c r="XFB333"/>
      <c r="XFC333"/>
      <c r="XFD333"/>
    </row>
    <row r="334" spans="1:18 16327:16384" s="26" customFormat="1" ht="29.1" customHeight="1" outlineLevel="2" x14ac:dyDescent="0.25">
      <c r="A334" s="34" t="s">
        <v>581</v>
      </c>
      <c r="B334" s="35"/>
      <c r="C334" s="65" t="s">
        <v>64</v>
      </c>
      <c r="D334" s="65"/>
      <c r="E334" s="35"/>
      <c r="F334" s="36"/>
      <c r="G334" s="35" t="s">
        <v>65</v>
      </c>
      <c r="H334" s="37"/>
      <c r="I334" s="38">
        <f>83</f>
        <v>83</v>
      </c>
      <c r="J334" s="23"/>
      <c r="K334" s="39"/>
      <c r="L334" s="40"/>
      <c r="M334" s="41"/>
      <c r="N334" s="41"/>
      <c r="O334" s="41"/>
      <c r="P334" s="41"/>
      <c r="Q334" s="41"/>
      <c r="R334" s="23"/>
      <c r="XCY334"/>
      <c r="XCZ334"/>
      <c r="XDA334"/>
      <c r="XDB334"/>
      <c r="XDC334"/>
      <c r="XDD334"/>
      <c r="XDE334"/>
      <c r="XDF334"/>
      <c r="XDG334"/>
      <c r="XDH334"/>
      <c r="XDI334"/>
      <c r="XDJ334"/>
      <c r="XDK334"/>
      <c r="XDL334"/>
      <c r="XDM334"/>
      <c r="XDN334"/>
      <c r="XDO334"/>
      <c r="XDP334"/>
      <c r="XDQ334"/>
      <c r="XDR334"/>
      <c r="XDS334"/>
      <c r="XDT334"/>
      <c r="XDU334"/>
      <c r="XDV334"/>
      <c r="XDW334"/>
      <c r="XDX334"/>
      <c r="XDY334"/>
      <c r="XDZ334"/>
      <c r="XEA334"/>
      <c r="XEB334"/>
      <c r="XEC334"/>
      <c r="XED334"/>
      <c r="XEE334"/>
      <c r="XEF334"/>
      <c r="XEG334"/>
      <c r="XEH334"/>
      <c r="XEI334"/>
      <c r="XEJ334"/>
      <c r="XEK334"/>
      <c r="XEL334"/>
      <c r="XEM334"/>
      <c r="XEN334"/>
      <c r="XEO334"/>
      <c r="XEP334"/>
      <c r="XEQ334"/>
      <c r="XER334"/>
      <c r="XES334"/>
      <c r="XET334"/>
      <c r="XEU334"/>
      <c r="XEV334"/>
      <c r="XEW334"/>
      <c r="XEX334"/>
      <c r="XEY334"/>
      <c r="XEZ334"/>
      <c r="XFA334"/>
      <c r="XFB334"/>
      <c r="XFC334"/>
      <c r="XFD334"/>
    </row>
    <row r="335" spans="1:18 16327:16384" s="26" customFormat="1" ht="29.1" customHeight="1" outlineLevel="3" x14ac:dyDescent="0.25">
      <c r="A335" s="42" t="s">
        <v>582</v>
      </c>
      <c r="B335" s="43"/>
      <c r="C335" s="66" t="s">
        <v>452</v>
      </c>
      <c r="D335" s="66"/>
      <c r="E335" s="43" t="s">
        <v>34</v>
      </c>
      <c r="F335" s="44"/>
      <c r="G335" s="43" t="s">
        <v>65</v>
      </c>
      <c r="H335" s="45">
        <v>1.02</v>
      </c>
      <c r="I335" s="46">
        <f>84.66</f>
        <v>84.66</v>
      </c>
      <c r="J335" s="23"/>
      <c r="K335" s="47"/>
      <c r="L335" s="48"/>
      <c r="M335" s="49"/>
      <c r="N335" s="49">
        <f t="shared" si="11"/>
        <v>0</v>
      </c>
      <c r="O335" s="49"/>
      <c r="P335" s="49"/>
      <c r="Q335" s="49"/>
      <c r="R335" s="23"/>
      <c r="XCY335"/>
      <c r="XCZ335"/>
      <c r="XDA335"/>
      <c r="XDB335"/>
      <c r="XDC335"/>
      <c r="XDD335"/>
      <c r="XDE335"/>
      <c r="XDF335"/>
      <c r="XDG335"/>
      <c r="XDH335"/>
      <c r="XDI335"/>
      <c r="XDJ335"/>
      <c r="XDK335"/>
      <c r="XDL335"/>
      <c r="XDM335"/>
      <c r="XDN335"/>
      <c r="XDO335"/>
      <c r="XDP335"/>
      <c r="XDQ335"/>
      <c r="XDR335"/>
      <c r="XDS335"/>
      <c r="XDT335"/>
      <c r="XDU335"/>
      <c r="XDV335"/>
      <c r="XDW335"/>
      <c r="XDX335"/>
      <c r="XDY335"/>
      <c r="XDZ335"/>
      <c r="XEA335"/>
      <c r="XEB335"/>
      <c r="XEC335"/>
      <c r="XED335"/>
      <c r="XEE335"/>
      <c r="XEF335"/>
      <c r="XEG335"/>
      <c r="XEH335"/>
      <c r="XEI335"/>
      <c r="XEJ335"/>
      <c r="XEK335"/>
      <c r="XEL335"/>
      <c r="XEM335"/>
      <c r="XEN335"/>
      <c r="XEO335"/>
      <c r="XEP335"/>
      <c r="XEQ335"/>
      <c r="XER335"/>
      <c r="XES335"/>
      <c r="XET335"/>
      <c r="XEU335"/>
      <c r="XEV335"/>
      <c r="XEW335"/>
      <c r="XEX335"/>
      <c r="XEY335"/>
      <c r="XEZ335"/>
      <c r="XFA335"/>
      <c r="XFB335"/>
      <c r="XFC335"/>
      <c r="XFD335"/>
    </row>
    <row r="336" spans="1:18 16327:16384" s="26" customFormat="1" ht="29.1" customHeight="1" outlineLevel="2" x14ac:dyDescent="0.25">
      <c r="A336" s="34" t="s">
        <v>583</v>
      </c>
      <c r="B336" s="35"/>
      <c r="C336" s="65" t="s">
        <v>64</v>
      </c>
      <c r="D336" s="65"/>
      <c r="E336" s="35"/>
      <c r="F336" s="36"/>
      <c r="G336" s="35" t="s">
        <v>65</v>
      </c>
      <c r="H336" s="37"/>
      <c r="I336" s="38">
        <f>774</f>
        <v>774</v>
      </c>
      <c r="J336" s="23"/>
      <c r="K336" s="39"/>
      <c r="L336" s="40"/>
      <c r="M336" s="41"/>
      <c r="N336" s="41"/>
      <c r="O336" s="41"/>
      <c r="P336" s="41"/>
      <c r="Q336" s="41"/>
      <c r="R336" s="23"/>
      <c r="XCY336"/>
      <c r="XCZ336"/>
      <c r="XDA336"/>
      <c r="XDB336"/>
      <c r="XDC336"/>
      <c r="XDD336"/>
      <c r="XDE336"/>
      <c r="XDF336"/>
      <c r="XDG336"/>
      <c r="XDH336"/>
      <c r="XDI336"/>
      <c r="XDJ336"/>
      <c r="XDK336"/>
      <c r="XDL336"/>
      <c r="XDM336"/>
      <c r="XDN336"/>
      <c r="XDO336"/>
      <c r="XDP336"/>
      <c r="XDQ336"/>
      <c r="XDR336"/>
      <c r="XDS336"/>
      <c r="XDT336"/>
      <c r="XDU336"/>
      <c r="XDV336"/>
      <c r="XDW336"/>
      <c r="XDX336"/>
      <c r="XDY336"/>
      <c r="XDZ336"/>
      <c r="XEA336"/>
      <c r="XEB336"/>
      <c r="XEC336"/>
      <c r="XED336"/>
      <c r="XEE336"/>
      <c r="XEF336"/>
      <c r="XEG336"/>
      <c r="XEH336"/>
      <c r="XEI336"/>
      <c r="XEJ336"/>
      <c r="XEK336"/>
      <c r="XEL336"/>
      <c r="XEM336"/>
      <c r="XEN336"/>
      <c r="XEO336"/>
      <c r="XEP336"/>
      <c r="XEQ336"/>
      <c r="XER336"/>
      <c r="XES336"/>
      <c r="XET336"/>
      <c r="XEU336"/>
      <c r="XEV336"/>
      <c r="XEW336"/>
      <c r="XEX336"/>
      <c r="XEY336"/>
      <c r="XEZ336"/>
      <c r="XFA336"/>
      <c r="XFB336"/>
      <c r="XFC336"/>
      <c r="XFD336"/>
    </row>
    <row r="337" spans="1:18 16327:16384" s="26" customFormat="1" ht="29.1" customHeight="1" outlineLevel="3" x14ac:dyDescent="0.25">
      <c r="A337" s="42" t="s">
        <v>584</v>
      </c>
      <c r="B337" s="43"/>
      <c r="C337" s="66" t="s">
        <v>585</v>
      </c>
      <c r="D337" s="66"/>
      <c r="E337" s="43" t="s">
        <v>34</v>
      </c>
      <c r="F337" s="44"/>
      <c r="G337" s="43" t="s">
        <v>65</v>
      </c>
      <c r="H337" s="45">
        <v>1.02</v>
      </c>
      <c r="I337" s="46">
        <f>789.48</f>
        <v>789.48</v>
      </c>
      <c r="J337" s="23"/>
      <c r="K337" s="47"/>
      <c r="L337" s="48"/>
      <c r="M337" s="49"/>
      <c r="N337" s="49">
        <f t="shared" si="11"/>
        <v>0</v>
      </c>
      <c r="O337" s="49"/>
      <c r="P337" s="49"/>
      <c r="Q337" s="49"/>
      <c r="R337" s="23"/>
      <c r="XCY337"/>
      <c r="XCZ337"/>
      <c r="XDA337"/>
      <c r="XDB337"/>
      <c r="XDC337"/>
      <c r="XDD337"/>
      <c r="XDE337"/>
      <c r="XDF337"/>
      <c r="XDG337"/>
      <c r="XDH337"/>
      <c r="XDI337"/>
      <c r="XDJ337"/>
      <c r="XDK337"/>
      <c r="XDL337"/>
      <c r="XDM337"/>
      <c r="XDN337"/>
      <c r="XDO337"/>
      <c r="XDP337"/>
      <c r="XDQ337"/>
      <c r="XDR337"/>
      <c r="XDS337"/>
      <c r="XDT337"/>
      <c r="XDU337"/>
      <c r="XDV337"/>
      <c r="XDW337"/>
      <c r="XDX337"/>
      <c r="XDY337"/>
      <c r="XDZ337"/>
      <c r="XEA337"/>
      <c r="XEB337"/>
      <c r="XEC337"/>
      <c r="XED337"/>
      <c r="XEE337"/>
      <c r="XEF337"/>
      <c r="XEG337"/>
      <c r="XEH337"/>
      <c r="XEI337"/>
      <c r="XEJ337"/>
      <c r="XEK337"/>
      <c r="XEL337"/>
      <c r="XEM337"/>
      <c r="XEN337"/>
      <c r="XEO337"/>
      <c r="XEP337"/>
      <c r="XEQ337"/>
      <c r="XER337"/>
      <c r="XES337"/>
      <c r="XET337"/>
      <c r="XEU337"/>
      <c r="XEV337"/>
      <c r="XEW337"/>
      <c r="XEX337"/>
      <c r="XEY337"/>
      <c r="XEZ337"/>
      <c r="XFA337"/>
      <c r="XFB337"/>
      <c r="XFC337"/>
      <c r="XFD337"/>
    </row>
    <row r="338" spans="1:18 16327:16384" s="26" customFormat="1" ht="29.1" customHeight="1" outlineLevel="2" x14ac:dyDescent="0.25">
      <c r="A338" s="34" t="s">
        <v>586</v>
      </c>
      <c r="B338" s="35"/>
      <c r="C338" s="65" t="s">
        <v>69</v>
      </c>
      <c r="D338" s="65"/>
      <c r="E338" s="35"/>
      <c r="F338" s="36"/>
      <c r="G338" s="35" t="s">
        <v>65</v>
      </c>
      <c r="H338" s="37"/>
      <c r="I338" s="38">
        <f>66</f>
        <v>66</v>
      </c>
      <c r="J338" s="23"/>
      <c r="K338" s="39"/>
      <c r="L338" s="40"/>
      <c r="M338" s="41"/>
      <c r="N338" s="41"/>
      <c r="O338" s="41"/>
      <c r="P338" s="41"/>
      <c r="Q338" s="41"/>
      <c r="R338" s="23"/>
      <c r="XCY338"/>
      <c r="XCZ338"/>
      <c r="XDA338"/>
      <c r="XDB338"/>
      <c r="XDC338"/>
      <c r="XDD338"/>
      <c r="XDE338"/>
      <c r="XDF338"/>
      <c r="XDG338"/>
      <c r="XDH338"/>
      <c r="XDI338"/>
      <c r="XDJ338"/>
      <c r="XDK338"/>
      <c r="XDL338"/>
      <c r="XDM338"/>
      <c r="XDN338"/>
      <c r="XDO338"/>
      <c r="XDP338"/>
      <c r="XDQ338"/>
      <c r="XDR338"/>
      <c r="XDS338"/>
      <c r="XDT338"/>
      <c r="XDU338"/>
      <c r="XDV338"/>
      <c r="XDW338"/>
      <c r="XDX338"/>
      <c r="XDY338"/>
      <c r="XDZ338"/>
      <c r="XEA338"/>
      <c r="XEB338"/>
      <c r="XEC338"/>
      <c r="XED338"/>
      <c r="XEE338"/>
      <c r="XEF338"/>
      <c r="XEG338"/>
      <c r="XEH338"/>
      <c r="XEI338"/>
      <c r="XEJ338"/>
      <c r="XEK338"/>
      <c r="XEL338"/>
      <c r="XEM338"/>
      <c r="XEN338"/>
      <c r="XEO338"/>
      <c r="XEP338"/>
      <c r="XEQ338"/>
      <c r="XER338"/>
      <c r="XES338"/>
      <c r="XET338"/>
      <c r="XEU338"/>
      <c r="XEV338"/>
      <c r="XEW338"/>
      <c r="XEX338"/>
      <c r="XEY338"/>
      <c r="XEZ338"/>
      <c r="XFA338"/>
      <c r="XFB338"/>
      <c r="XFC338"/>
      <c r="XFD338"/>
    </row>
    <row r="339" spans="1:18 16327:16384" s="26" customFormat="1" ht="29.1" customHeight="1" outlineLevel="3" x14ac:dyDescent="0.25">
      <c r="A339" s="42" t="s">
        <v>587</v>
      </c>
      <c r="B339" s="43"/>
      <c r="C339" s="66" t="s">
        <v>588</v>
      </c>
      <c r="D339" s="66"/>
      <c r="E339" s="43" t="s">
        <v>34</v>
      </c>
      <c r="F339" s="44"/>
      <c r="G339" s="43" t="s">
        <v>65</v>
      </c>
      <c r="H339" s="45">
        <v>1.02</v>
      </c>
      <c r="I339" s="46">
        <f>67.32</f>
        <v>67.319999999999993</v>
      </c>
      <c r="J339" s="23"/>
      <c r="K339" s="47"/>
      <c r="L339" s="48"/>
      <c r="M339" s="49"/>
      <c r="N339" s="49">
        <f t="shared" si="11"/>
        <v>0</v>
      </c>
      <c r="O339" s="49"/>
      <c r="P339" s="49"/>
      <c r="Q339" s="49"/>
      <c r="R339" s="23"/>
      <c r="XCY339"/>
      <c r="XCZ339"/>
      <c r="XDA339"/>
      <c r="XDB339"/>
      <c r="XDC339"/>
      <c r="XDD339"/>
      <c r="XDE339"/>
      <c r="XDF339"/>
      <c r="XDG339"/>
      <c r="XDH339"/>
      <c r="XDI339"/>
      <c r="XDJ339"/>
      <c r="XDK339"/>
      <c r="XDL339"/>
      <c r="XDM339"/>
      <c r="XDN339"/>
      <c r="XDO339"/>
      <c r="XDP339"/>
      <c r="XDQ339"/>
      <c r="XDR339"/>
      <c r="XDS339"/>
      <c r="XDT339"/>
      <c r="XDU339"/>
      <c r="XDV339"/>
      <c r="XDW339"/>
      <c r="XDX339"/>
      <c r="XDY339"/>
      <c r="XDZ339"/>
      <c r="XEA339"/>
      <c r="XEB339"/>
      <c r="XEC339"/>
      <c r="XED339"/>
      <c r="XEE339"/>
      <c r="XEF339"/>
      <c r="XEG339"/>
      <c r="XEH339"/>
      <c r="XEI339"/>
      <c r="XEJ339"/>
      <c r="XEK339"/>
      <c r="XEL339"/>
      <c r="XEM339"/>
      <c r="XEN339"/>
      <c r="XEO339"/>
      <c r="XEP339"/>
      <c r="XEQ339"/>
      <c r="XER339"/>
      <c r="XES339"/>
      <c r="XET339"/>
      <c r="XEU339"/>
      <c r="XEV339"/>
      <c r="XEW339"/>
      <c r="XEX339"/>
      <c r="XEY339"/>
      <c r="XEZ339"/>
      <c r="XFA339"/>
      <c r="XFB339"/>
      <c r="XFC339"/>
      <c r="XFD339"/>
    </row>
    <row r="340" spans="1:18 16327:16384" s="26" customFormat="1" ht="29.1" customHeight="1" outlineLevel="2" x14ac:dyDescent="0.25">
      <c r="A340" s="34" t="s">
        <v>589</v>
      </c>
      <c r="B340" s="35"/>
      <c r="C340" s="65" t="s">
        <v>590</v>
      </c>
      <c r="D340" s="65"/>
      <c r="E340" s="35"/>
      <c r="F340" s="36"/>
      <c r="G340" s="35" t="s">
        <v>65</v>
      </c>
      <c r="H340" s="37"/>
      <c r="I340" s="38">
        <f>1049</f>
        <v>1049</v>
      </c>
      <c r="J340" s="23"/>
      <c r="K340" s="39"/>
      <c r="L340" s="40"/>
      <c r="M340" s="41">
        <f>K340+L340</f>
        <v>0</v>
      </c>
      <c r="N340" s="41">
        <f t="shared" si="11"/>
        <v>0</v>
      </c>
      <c r="O340" s="41">
        <f>ROUND((I340*L340),2)</f>
        <v>0</v>
      </c>
      <c r="P340" s="41">
        <f>ROUND((I340*M340),2)</f>
        <v>0</v>
      </c>
      <c r="Q340" s="41"/>
      <c r="R340" s="23"/>
      <c r="XCY340"/>
      <c r="XCZ340"/>
      <c r="XDA340"/>
      <c r="XDB340"/>
      <c r="XDC340"/>
      <c r="XDD340"/>
      <c r="XDE340"/>
      <c r="XDF340"/>
      <c r="XDG340"/>
      <c r="XDH340"/>
      <c r="XDI340"/>
      <c r="XDJ340"/>
      <c r="XDK340"/>
      <c r="XDL340"/>
      <c r="XDM340"/>
      <c r="XDN340"/>
      <c r="XDO340"/>
      <c r="XDP340"/>
      <c r="XDQ340"/>
      <c r="XDR340"/>
      <c r="XDS340"/>
      <c r="XDT340"/>
      <c r="XDU340"/>
      <c r="XDV340"/>
      <c r="XDW340"/>
      <c r="XDX340"/>
      <c r="XDY340"/>
      <c r="XDZ340"/>
      <c r="XEA340"/>
      <c r="XEB340"/>
      <c r="XEC340"/>
      <c r="XED340"/>
      <c r="XEE340"/>
      <c r="XEF340"/>
      <c r="XEG340"/>
      <c r="XEH340"/>
      <c r="XEI340"/>
      <c r="XEJ340"/>
      <c r="XEK340"/>
      <c r="XEL340"/>
      <c r="XEM340"/>
      <c r="XEN340"/>
      <c r="XEO340"/>
      <c r="XEP340"/>
      <c r="XEQ340"/>
      <c r="XER340"/>
      <c r="XES340"/>
      <c r="XET340"/>
      <c r="XEU340"/>
      <c r="XEV340"/>
      <c r="XEW340"/>
      <c r="XEX340"/>
      <c r="XEY340"/>
      <c r="XEZ340"/>
      <c r="XFA340"/>
      <c r="XFB340"/>
      <c r="XFC340"/>
      <c r="XFD340"/>
    </row>
    <row r="341" spans="1:18 16327:16384" s="26" customFormat="1" ht="29.1" customHeight="1" outlineLevel="3" x14ac:dyDescent="0.25">
      <c r="A341" s="42" t="s">
        <v>591</v>
      </c>
      <c r="B341" s="43"/>
      <c r="C341" s="66" t="s">
        <v>592</v>
      </c>
      <c r="D341" s="66"/>
      <c r="E341" s="43" t="s">
        <v>34</v>
      </c>
      <c r="F341" s="44"/>
      <c r="G341" s="43" t="s">
        <v>65</v>
      </c>
      <c r="H341" s="45">
        <v>1.012</v>
      </c>
      <c r="I341" s="46">
        <f>1061.588</f>
        <v>1061.588</v>
      </c>
      <c r="J341" s="23"/>
      <c r="K341" s="47"/>
      <c r="L341" s="48"/>
      <c r="M341" s="49"/>
      <c r="N341" s="49">
        <f t="shared" si="11"/>
        <v>0</v>
      </c>
      <c r="O341" s="49"/>
      <c r="P341" s="49"/>
      <c r="Q341" s="49"/>
      <c r="R341" s="23"/>
      <c r="XCY341"/>
      <c r="XCZ341"/>
      <c r="XDA341"/>
      <c r="XDB341"/>
      <c r="XDC341"/>
      <c r="XDD341"/>
      <c r="XDE341"/>
      <c r="XDF341"/>
      <c r="XDG341"/>
      <c r="XDH341"/>
      <c r="XDI341"/>
      <c r="XDJ341"/>
      <c r="XDK341"/>
      <c r="XDL341"/>
      <c r="XDM341"/>
      <c r="XDN341"/>
      <c r="XDO341"/>
      <c r="XDP341"/>
      <c r="XDQ341"/>
      <c r="XDR341"/>
      <c r="XDS341"/>
      <c r="XDT341"/>
      <c r="XDU341"/>
      <c r="XDV341"/>
      <c r="XDW341"/>
      <c r="XDX341"/>
      <c r="XDY341"/>
      <c r="XDZ341"/>
      <c r="XEA341"/>
      <c r="XEB341"/>
      <c r="XEC341"/>
      <c r="XED341"/>
      <c r="XEE341"/>
      <c r="XEF341"/>
      <c r="XEG341"/>
      <c r="XEH341"/>
      <c r="XEI341"/>
      <c r="XEJ341"/>
      <c r="XEK341"/>
      <c r="XEL341"/>
      <c r="XEM341"/>
      <c r="XEN341"/>
      <c r="XEO341"/>
      <c r="XEP341"/>
      <c r="XEQ341"/>
      <c r="XER341"/>
      <c r="XES341"/>
      <c r="XET341"/>
      <c r="XEU341"/>
      <c r="XEV341"/>
      <c r="XEW341"/>
      <c r="XEX341"/>
      <c r="XEY341"/>
      <c r="XEZ341"/>
      <c r="XFA341"/>
      <c r="XFB341"/>
      <c r="XFC341"/>
      <c r="XFD341"/>
    </row>
    <row r="342" spans="1:18 16327:16384" s="26" customFormat="1" ht="29.1" customHeight="1" outlineLevel="3" x14ac:dyDescent="0.25">
      <c r="A342" s="42" t="s">
        <v>593</v>
      </c>
      <c r="B342" s="43"/>
      <c r="C342" s="66" t="s">
        <v>594</v>
      </c>
      <c r="D342" s="66"/>
      <c r="E342" s="43" t="s">
        <v>34</v>
      </c>
      <c r="F342" s="44"/>
      <c r="G342" s="43" t="s">
        <v>31</v>
      </c>
      <c r="H342" s="45">
        <v>1</v>
      </c>
      <c r="I342" s="46">
        <f>2098</f>
        <v>2098</v>
      </c>
      <c r="J342" s="23"/>
      <c r="K342" s="47"/>
      <c r="L342" s="48"/>
      <c r="M342" s="49"/>
      <c r="N342" s="49">
        <f t="shared" si="11"/>
        <v>0</v>
      </c>
      <c r="O342" s="49"/>
      <c r="P342" s="49"/>
      <c r="Q342" s="49"/>
      <c r="R342" s="23"/>
      <c r="XCY342"/>
      <c r="XCZ342"/>
      <c r="XDA342"/>
      <c r="XDB342"/>
      <c r="XDC342"/>
      <c r="XDD342"/>
      <c r="XDE342"/>
      <c r="XDF342"/>
      <c r="XDG342"/>
      <c r="XDH342"/>
      <c r="XDI342"/>
      <c r="XDJ342"/>
      <c r="XDK342"/>
      <c r="XDL342"/>
      <c r="XDM342"/>
      <c r="XDN342"/>
      <c r="XDO342"/>
      <c r="XDP342"/>
      <c r="XDQ342"/>
      <c r="XDR342"/>
      <c r="XDS342"/>
      <c r="XDT342"/>
      <c r="XDU342"/>
      <c r="XDV342"/>
      <c r="XDW342"/>
      <c r="XDX342"/>
      <c r="XDY342"/>
      <c r="XDZ342"/>
      <c r="XEA342"/>
      <c r="XEB342"/>
      <c r="XEC342"/>
      <c r="XED342"/>
      <c r="XEE342"/>
      <c r="XEF342"/>
      <c r="XEG342"/>
      <c r="XEH342"/>
      <c r="XEI342"/>
      <c r="XEJ342"/>
      <c r="XEK342"/>
      <c r="XEL342"/>
      <c r="XEM342"/>
      <c r="XEN342"/>
      <c r="XEO342"/>
      <c r="XEP342"/>
      <c r="XEQ342"/>
      <c r="XER342"/>
      <c r="XES342"/>
      <c r="XET342"/>
      <c r="XEU342"/>
      <c r="XEV342"/>
      <c r="XEW342"/>
      <c r="XEX342"/>
      <c r="XEY342"/>
      <c r="XEZ342"/>
      <c r="XFA342"/>
      <c r="XFB342"/>
      <c r="XFC342"/>
      <c r="XFD342"/>
    </row>
    <row r="343" spans="1:18 16327:16384" s="26" customFormat="1" ht="29.1" customHeight="1" outlineLevel="2" x14ac:dyDescent="0.25">
      <c r="A343" s="34" t="s">
        <v>595</v>
      </c>
      <c r="B343" s="35"/>
      <c r="C343" s="65" t="s">
        <v>79</v>
      </c>
      <c r="D343" s="65"/>
      <c r="E343" s="35"/>
      <c r="F343" s="36"/>
      <c r="G343" s="35" t="s">
        <v>65</v>
      </c>
      <c r="H343" s="37"/>
      <c r="I343" s="38">
        <f>20</f>
        <v>20</v>
      </c>
      <c r="J343" s="23"/>
      <c r="K343" s="39"/>
      <c r="L343" s="40"/>
      <c r="M343" s="41">
        <f>K343+L343</f>
        <v>0</v>
      </c>
      <c r="N343" s="41">
        <f t="shared" si="11"/>
        <v>0</v>
      </c>
      <c r="O343" s="41">
        <f>ROUND((I343*L343),2)</f>
        <v>0</v>
      </c>
      <c r="P343" s="41">
        <f>ROUND((I343*M343),2)</f>
        <v>0</v>
      </c>
      <c r="Q343" s="41"/>
      <c r="R343" s="23"/>
      <c r="XCY343"/>
      <c r="XCZ343"/>
      <c r="XDA343"/>
      <c r="XDB343"/>
      <c r="XDC343"/>
      <c r="XDD343"/>
      <c r="XDE343"/>
      <c r="XDF343"/>
      <c r="XDG343"/>
      <c r="XDH343"/>
      <c r="XDI343"/>
      <c r="XDJ343"/>
      <c r="XDK343"/>
      <c r="XDL343"/>
      <c r="XDM343"/>
      <c r="XDN343"/>
      <c r="XDO343"/>
      <c r="XDP343"/>
      <c r="XDQ343"/>
      <c r="XDR343"/>
      <c r="XDS343"/>
      <c r="XDT343"/>
      <c r="XDU343"/>
      <c r="XDV343"/>
      <c r="XDW343"/>
      <c r="XDX343"/>
      <c r="XDY343"/>
      <c r="XDZ343"/>
      <c r="XEA343"/>
      <c r="XEB343"/>
      <c r="XEC343"/>
      <c r="XED343"/>
      <c r="XEE343"/>
      <c r="XEF343"/>
      <c r="XEG343"/>
      <c r="XEH343"/>
      <c r="XEI343"/>
      <c r="XEJ343"/>
      <c r="XEK343"/>
      <c r="XEL343"/>
      <c r="XEM343"/>
      <c r="XEN343"/>
      <c r="XEO343"/>
      <c r="XEP343"/>
      <c r="XEQ343"/>
      <c r="XER343"/>
      <c r="XES343"/>
      <c r="XET343"/>
      <c r="XEU343"/>
      <c r="XEV343"/>
      <c r="XEW343"/>
      <c r="XEX343"/>
      <c r="XEY343"/>
      <c r="XEZ343"/>
      <c r="XFA343"/>
      <c r="XFB343"/>
      <c r="XFC343"/>
      <c r="XFD343"/>
    </row>
    <row r="344" spans="1:18 16327:16384" s="26" customFormat="1" ht="29.1" customHeight="1" outlineLevel="3" x14ac:dyDescent="0.25">
      <c r="A344" s="42" t="s">
        <v>596</v>
      </c>
      <c r="B344" s="43"/>
      <c r="C344" s="66" t="s">
        <v>418</v>
      </c>
      <c r="D344" s="66"/>
      <c r="E344" s="43" t="s">
        <v>34</v>
      </c>
      <c r="F344" s="44"/>
      <c r="G344" s="43" t="s">
        <v>65</v>
      </c>
      <c r="H344" s="45">
        <v>1.012</v>
      </c>
      <c r="I344" s="46">
        <f>20.24</f>
        <v>20.239999999999998</v>
      </c>
      <c r="J344" s="23"/>
      <c r="K344" s="47"/>
      <c r="L344" s="48"/>
      <c r="M344" s="49"/>
      <c r="N344" s="49">
        <f t="shared" si="11"/>
        <v>0</v>
      </c>
      <c r="O344" s="49"/>
      <c r="P344" s="49"/>
      <c r="Q344" s="49"/>
      <c r="R344" s="23"/>
      <c r="XCY344"/>
      <c r="XCZ344"/>
      <c r="XDA344"/>
      <c r="XDB344"/>
      <c r="XDC344"/>
      <c r="XDD344"/>
      <c r="XDE344"/>
      <c r="XDF344"/>
      <c r="XDG344"/>
      <c r="XDH344"/>
      <c r="XDI344"/>
      <c r="XDJ344"/>
      <c r="XDK344"/>
      <c r="XDL344"/>
      <c r="XDM344"/>
      <c r="XDN344"/>
      <c r="XDO344"/>
      <c r="XDP344"/>
      <c r="XDQ344"/>
      <c r="XDR344"/>
      <c r="XDS344"/>
      <c r="XDT344"/>
      <c r="XDU344"/>
      <c r="XDV344"/>
      <c r="XDW344"/>
      <c r="XDX344"/>
      <c r="XDY344"/>
      <c r="XDZ344"/>
      <c r="XEA344"/>
      <c r="XEB344"/>
      <c r="XEC344"/>
      <c r="XED344"/>
      <c r="XEE344"/>
      <c r="XEF344"/>
      <c r="XEG344"/>
      <c r="XEH344"/>
      <c r="XEI344"/>
      <c r="XEJ344"/>
      <c r="XEK344"/>
      <c r="XEL344"/>
      <c r="XEM344"/>
      <c r="XEN344"/>
      <c r="XEO344"/>
      <c r="XEP344"/>
      <c r="XEQ344"/>
      <c r="XER344"/>
      <c r="XES344"/>
      <c r="XET344"/>
      <c r="XEU344"/>
      <c r="XEV344"/>
      <c r="XEW344"/>
      <c r="XEX344"/>
      <c r="XEY344"/>
      <c r="XEZ344"/>
      <c r="XFA344"/>
      <c r="XFB344"/>
      <c r="XFC344"/>
      <c r="XFD344"/>
    </row>
    <row r="345" spans="1:18 16327:16384" s="26" customFormat="1" ht="29.1" customHeight="1" outlineLevel="3" x14ac:dyDescent="0.25">
      <c r="A345" s="42" t="s">
        <v>597</v>
      </c>
      <c r="B345" s="43"/>
      <c r="C345" s="66" t="s">
        <v>598</v>
      </c>
      <c r="D345" s="66"/>
      <c r="E345" s="43" t="s">
        <v>34</v>
      </c>
      <c r="F345" s="44"/>
      <c r="G345" s="43" t="s">
        <v>31</v>
      </c>
      <c r="H345" s="45">
        <v>1</v>
      </c>
      <c r="I345" s="46">
        <f>40</f>
        <v>40</v>
      </c>
      <c r="J345" s="23"/>
      <c r="K345" s="47"/>
      <c r="L345" s="48"/>
      <c r="M345" s="49"/>
      <c r="N345" s="49">
        <f t="shared" si="11"/>
        <v>0</v>
      </c>
      <c r="O345" s="49"/>
      <c r="P345" s="49"/>
      <c r="Q345" s="49"/>
      <c r="R345" s="23"/>
      <c r="XCY345"/>
      <c r="XCZ345"/>
      <c r="XDA345"/>
      <c r="XDB345"/>
      <c r="XDC345"/>
      <c r="XDD345"/>
      <c r="XDE345"/>
      <c r="XDF345"/>
      <c r="XDG345"/>
      <c r="XDH345"/>
      <c r="XDI345"/>
      <c r="XDJ345"/>
      <c r="XDK345"/>
      <c r="XDL345"/>
      <c r="XDM345"/>
      <c r="XDN345"/>
      <c r="XDO345"/>
      <c r="XDP345"/>
      <c r="XDQ345"/>
      <c r="XDR345"/>
      <c r="XDS345"/>
      <c r="XDT345"/>
      <c r="XDU345"/>
      <c r="XDV345"/>
      <c r="XDW345"/>
      <c r="XDX345"/>
      <c r="XDY345"/>
      <c r="XDZ345"/>
      <c r="XEA345"/>
      <c r="XEB345"/>
      <c r="XEC345"/>
      <c r="XED345"/>
      <c r="XEE345"/>
      <c r="XEF345"/>
      <c r="XEG345"/>
      <c r="XEH345"/>
      <c r="XEI345"/>
      <c r="XEJ345"/>
      <c r="XEK345"/>
      <c r="XEL345"/>
      <c r="XEM345"/>
      <c r="XEN345"/>
      <c r="XEO345"/>
      <c r="XEP345"/>
      <c r="XEQ345"/>
      <c r="XER345"/>
      <c r="XES345"/>
      <c r="XET345"/>
      <c r="XEU345"/>
      <c r="XEV345"/>
      <c r="XEW345"/>
      <c r="XEX345"/>
      <c r="XEY345"/>
      <c r="XEZ345"/>
      <c r="XFA345"/>
      <c r="XFB345"/>
      <c r="XFC345"/>
      <c r="XFD345"/>
    </row>
    <row r="346" spans="1:18 16327:16384" s="26" customFormat="1" ht="29.1" customHeight="1" outlineLevel="2" x14ac:dyDescent="0.25">
      <c r="A346" s="34" t="s">
        <v>599</v>
      </c>
      <c r="B346" s="35"/>
      <c r="C346" s="65" t="s">
        <v>600</v>
      </c>
      <c r="D346" s="65"/>
      <c r="E346" s="35"/>
      <c r="F346" s="36"/>
      <c r="G346" s="35" t="s">
        <v>31</v>
      </c>
      <c r="H346" s="37"/>
      <c r="I346" s="38">
        <f>80</f>
        <v>80</v>
      </c>
      <c r="J346" s="23"/>
      <c r="K346" s="39"/>
      <c r="L346" s="40"/>
      <c r="M346" s="41">
        <f>K346+L346</f>
        <v>0</v>
      </c>
      <c r="N346" s="41">
        <f t="shared" si="11"/>
        <v>0</v>
      </c>
      <c r="O346" s="41">
        <f>ROUND((I346*L346),2)</f>
        <v>0</v>
      </c>
      <c r="P346" s="41">
        <f>ROUND((I346*M346),2)</f>
        <v>0</v>
      </c>
      <c r="Q346" s="41"/>
      <c r="R346" s="23"/>
      <c r="XCY346"/>
      <c r="XCZ346"/>
      <c r="XDA346"/>
      <c r="XDB346"/>
      <c r="XDC346"/>
      <c r="XDD346"/>
      <c r="XDE346"/>
      <c r="XDF346"/>
      <c r="XDG346"/>
      <c r="XDH346"/>
      <c r="XDI346"/>
      <c r="XDJ346"/>
      <c r="XDK346"/>
      <c r="XDL346"/>
      <c r="XDM346"/>
      <c r="XDN346"/>
      <c r="XDO346"/>
      <c r="XDP346"/>
      <c r="XDQ346"/>
      <c r="XDR346"/>
      <c r="XDS346"/>
      <c r="XDT346"/>
      <c r="XDU346"/>
      <c r="XDV346"/>
      <c r="XDW346"/>
      <c r="XDX346"/>
      <c r="XDY346"/>
      <c r="XDZ346"/>
      <c r="XEA346"/>
      <c r="XEB346"/>
      <c r="XEC346"/>
      <c r="XED346"/>
      <c r="XEE346"/>
      <c r="XEF346"/>
      <c r="XEG346"/>
      <c r="XEH346"/>
      <c r="XEI346"/>
      <c r="XEJ346"/>
      <c r="XEK346"/>
      <c r="XEL346"/>
      <c r="XEM346"/>
      <c r="XEN346"/>
      <c r="XEO346"/>
      <c r="XEP346"/>
      <c r="XEQ346"/>
      <c r="XER346"/>
      <c r="XES346"/>
      <c r="XET346"/>
      <c r="XEU346"/>
      <c r="XEV346"/>
      <c r="XEW346"/>
      <c r="XEX346"/>
      <c r="XEY346"/>
      <c r="XEZ346"/>
      <c r="XFA346"/>
      <c r="XFB346"/>
      <c r="XFC346"/>
      <c r="XFD346"/>
    </row>
    <row r="347" spans="1:18 16327:16384" s="26" customFormat="1" ht="29.1" customHeight="1" outlineLevel="3" x14ac:dyDescent="0.25">
      <c r="A347" s="42" t="s">
        <v>601</v>
      </c>
      <c r="B347" s="43"/>
      <c r="C347" s="66" t="s">
        <v>602</v>
      </c>
      <c r="D347" s="66"/>
      <c r="E347" s="43" t="s">
        <v>34</v>
      </c>
      <c r="F347" s="44"/>
      <c r="G347" s="43" t="s">
        <v>65</v>
      </c>
      <c r="H347" s="45">
        <v>1</v>
      </c>
      <c r="I347" s="46">
        <f>20</f>
        <v>20</v>
      </c>
      <c r="J347" s="23"/>
      <c r="K347" s="47"/>
      <c r="L347" s="48"/>
      <c r="M347" s="49"/>
      <c r="N347" s="49">
        <f t="shared" si="11"/>
        <v>0</v>
      </c>
      <c r="O347" s="49"/>
      <c r="P347" s="49"/>
      <c r="Q347" s="49"/>
      <c r="R347" s="23"/>
      <c r="XCY347"/>
      <c r="XCZ347"/>
      <c r="XDA347"/>
      <c r="XDB347"/>
      <c r="XDC347"/>
      <c r="XDD347"/>
      <c r="XDE347"/>
      <c r="XDF347"/>
      <c r="XDG347"/>
      <c r="XDH347"/>
      <c r="XDI347"/>
      <c r="XDJ347"/>
      <c r="XDK347"/>
      <c r="XDL347"/>
      <c r="XDM347"/>
      <c r="XDN347"/>
      <c r="XDO347"/>
      <c r="XDP347"/>
      <c r="XDQ347"/>
      <c r="XDR347"/>
      <c r="XDS347"/>
      <c r="XDT347"/>
      <c r="XDU347"/>
      <c r="XDV347"/>
      <c r="XDW347"/>
      <c r="XDX347"/>
      <c r="XDY347"/>
      <c r="XDZ347"/>
      <c r="XEA347"/>
      <c r="XEB347"/>
      <c r="XEC347"/>
      <c r="XED347"/>
      <c r="XEE347"/>
      <c r="XEF347"/>
      <c r="XEG347"/>
      <c r="XEH347"/>
      <c r="XEI347"/>
      <c r="XEJ347"/>
      <c r="XEK347"/>
      <c r="XEL347"/>
      <c r="XEM347"/>
      <c r="XEN347"/>
      <c r="XEO347"/>
      <c r="XEP347"/>
      <c r="XEQ347"/>
      <c r="XER347"/>
      <c r="XES347"/>
      <c r="XET347"/>
      <c r="XEU347"/>
      <c r="XEV347"/>
      <c r="XEW347"/>
      <c r="XEX347"/>
      <c r="XEY347"/>
      <c r="XEZ347"/>
      <c r="XFA347"/>
      <c r="XFB347"/>
      <c r="XFC347"/>
      <c r="XFD347"/>
    </row>
    <row r="348" spans="1:18 16327:16384" s="26" customFormat="1" ht="29.1" customHeight="1" outlineLevel="3" x14ac:dyDescent="0.25">
      <c r="A348" s="42" t="s">
        <v>603</v>
      </c>
      <c r="B348" s="43"/>
      <c r="C348" s="66" t="s">
        <v>604</v>
      </c>
      <c r="D348" s="66"/>
      <c r="E348" s="43" t="s">
        <v>34</v>
      </c>
      <c r="F348" s="44"/>
      <c r="G348" s="43" t="s">
        <v>31</v>
      </c>
      <c r="H348" s="45">
        <v>1</v>
      </c>
      <c r="I348" s="46">
        <f>20</f>
        <v>20</v>
      </c>
      <c r="J348" s="23"/>
      <c r="K348" s="47"/>
      <c r="L348" s="48"/>
      <c r="M348" s="49"/>
      <c r="N348" s="49">
        <f t="shared" si="11"/>
        <v>0</v>
      </c>
      <c r="O348" s="49"/>
      <c r="P348" s="49"/>
      <c r="Q348" s="49"/>
      <c r="R348" s="23"/>
      <c r="XCY348"/>
      <c r="XCZ348"/>
      <c r="XDA348"/>
      <c r="XDB348"/>
      <c r="XDC348"/>
      <c r="XDD348"/>
      <c r="XDE348"/>
      <c r="XDF348"/>
      <c r="XDG348"/>
      <c r="XDH348"/>
      <c r="XDI348"/>
      <c r="XDJ348"/>
      <c r="XDK348"/>
      <c r="XDL348"/>
      <c r="XDM348"/>
      <c r="XDN348"/>
      <c r="XDO348"/>
      <c r="XDP348"/>
      <c r="XDQ348"/>
      <c r="XDR348"/>
      <c r="XDS348"/>
      <c r="XDT348"/>
      <c r="XDU348"/>
      <c r="XDV348"/>
      <c r="XDW348"/>
      <c r="XDX348"/>
      <c r="XDY348"/>
      <c r="XDZ348"/>
      <c r="XEA348"/>
      <c r="XEB348"/>
      <c r="XEC348"/>
      <c r="XED348"/>
      <c r="XEE348"/>
      <c r="XEF348"/>
      <c r="XEG348"/>
      <c r="XEH348"/>
      <c r="XEI348"/>
      <c r="XEJ348"/>
      <c r="XEK348"/>
      <c r="XEL348"/>
      <c r="XEM348"/>
      <c r="XEN348"/>
      <c r="XEO348"/>
      <c r="XEP348"/>
      <c r="XEQ348"/>
      <c r="XER348"/>
      <c r="XES348"/>
      <c r="XET348"/>
      <c r="XEU348"/>
      <c r="XEV348"/>
      <c r="XEW348"/>
      <c r="XEX348"/>
      <c r="XEY348"/>
      <c r="XEZ348"/>
      <c r="XFA348"/>
      <c r="XFB348"/>
      <c r="XFC348"/>
      <c r="XFD348"/>
    </row>
    <row r="349" spans="1:18 16327:16384" s="26" customFormat="1" ht="29.1" customHeight="1" outlineLevel="2" x14ac:dyDescent="0.25">
      <c r="A349" s="34" t="s">
        <v>605</v>
      </c>
      <c r="B349" s="35"/>
      <c r="C349" s="65" t="s">
        <v>606</v>
      </c>
      <c r="D349" s="65"/>
      <c r="E349" s="35"/>
      <c r="F349" s="36"/>
      <c r="G349" s="35" t="s">
        <v>90</v>
      </c>
      <c r="H349" s="37">
        <v>1</v>
      </c>
      <c r="I349" s="38">
        <f>1</f>
        <v>1</v>
      </c>
      <c r="J349" s="23"/>
      <c r="K349" s="39"/>
      <c r="L349" s="40"/>
      <c r="M349" s="41">
        <f>K349+L349</f>
        <v>0</v>
      </c>
      <c r="N349" s="41">
        <f t="shared" si="11"/>
        <v>0</v>
      </c>
      <c r="O349" s="41">
        <f>ROUND((I349*L349),2)</f>
        <v>0</v>
      </c>
      <c r="P349" s="41">
        <f>ROUND((I349*M349),2)</f>
        <v>0</v>
      </c>
      <c r="Q349" s="41"/>
      <c r="R349" s="23"/>
      <c r="XCY349"/>
      <c r="XCZ349"/>
      <c r="XDA349"/>
      <c r="XDB349"/>
      <c r="XDC349"/>
      <c r="XDD349"/>
      <c r="XDE349"/>
      <c r="XDF349"/>
      <c r="XDG349"/>
      <c r="XDH349"/>
      <c r="XDI349"/>
      <c r="XDJ349"/>
      <c r="XDK349"/>
      <c r="XDL349"/>
      <c r="XDM349"/>
      <c r="XDN349"/>
      <c r="XDO349"/>
      <c r="XDP349"/>
      <c r="XDQ349"/>
      <c r="XDR349"/>
      <c r="XDS349"/>
      <c r="XDT349"/>
      <c r="XDU349"/>
      <c r="XDV349"/>
      <c r="XDW349"/>
      <c r="XDX349"/>
      <c r="XDY349"/>
      <c r="XDZ349"/>
      <c r="XEA349"/>
      <c r="XEB349"/>
      <c r="XEC349"/>
      <c r="XED349"/>
      <c r="XEE349"/>
      <c r="XEF349"/>
      <c r="XEG349"/>
      <c r="XEH349"/>
      <c r="XEI349"/>
      <c r="XEJ349"/>
      <c r="XEK349"/>
      <c r="XEL349"/>
      <c r="XEM349"/>
      <c r="XEN349"/>
      <c r="XEO349"/>
      <c r="XEP349"/>
      <c r="XEQ349"/>
      <c r="XER349"/>
      <c r="XES349"/>
      <c r="XET349"/>
      <c r="XEU349"/>
      <c r="XEV349"/>
      <c r="XEW349"/>
      <c r="XEX349"/>
      <c r="XEY349"/>
      <c r="XEZ349"/>
      <c r="XFA349"/>
      <c r="XFB349"/>
      <c r="XFC349"/>
      <c r="XFD349"/>
    </row>
    <row r="350" spans="1:18 16327:16384" s="26" customFormat="1" ht="29.1" customHeight="1" outlineLevel="1" x14ac:dyDescent="0.25">
      <c r="A350" s="27" t="s">
        <v>607</v>
      </c>
      <c r="B350" s="28" t="s">
        <v>45</v>
      </c>
      <c r="C350" s="69" t="s">
        <v>608</v>
      </c>
      <c r="D350" s="69"/>
      <c r="E350" s="28"/>
      <c r="F350" s="29"/>
      <c r="G350" s="28"/>
      <c r="H350" s="30"/>
      <c r="I350" s="31"/>
      <c r="J350" s="23"/>
      <c r="K350" s="32"/>
      <c r="L350" s="32"/>
      <c r="M350" s="32"/>
      <c r="N350" s="32">
        <f>N351+N353+N355+N357+N359+N362+N364+N366+N368+N370+N372+N374+N376+N378+N380+N382+N384+N386+N388+N391+N394</f>
        <v>0</v>
      </c>
      <c r="O350" s="32">
        <f>O351+O353+O355+O357+O359+O362+O364+O366+O368+O370+O372+O374+O376+O378+O380+O382+O384+O386+O388+O391+O394</f>
        <v>0</v>
      </c>
      <c r="P350" s="32">
        <f>P351+P353+P355+P357+P359+P362+P364+P366+P368+P370+P372+P374+P376+P378+P380+P382+P384+P386+P388+P391+P394</f>
        <v>0</v>
      </c>
      <c r="Q350" s="33"/>
      <c r="R350" s="23"/>
      <c r="XCY350"/>
      <c r="XCZ350"/>
      <c r="XDA350"/>
      <c r="XDB350"/>
      <c r="XDC350"/>
      <c r="XDD350"/>
      <c r="XDE350"/>
      <c r="XDF350"/>
      <c r="XDG350"/>
      <c r="XDH350"/>
      <c r="XDI350"/>
      <c r="XDJ350"/>
      <c r="XDK350"/>
      <c r="XDL350"/>
      <c r="XDM350"/>
      <c r="XDN350"/>
      <c r="XDO350"/>
      <c r="XDP350"/>
      <c r="XDQ350"/>
      <c r="XDR350"/>
      <c r="XDS350"/>
      <c r="XDT350"/>
      <c r="XDU350"/>
      <c r="XDV350"/>
      <c r="XDW350"/>
      <c r="XDX350"/>
      <c r="XDY350"/>
      <c r="XDZ350"/>
      <c r="XEA350"/>
      <c r="XEB350"/>
      <c r="XEC350"/>
      <c r="XED350"/>
      <c r="XEE350"/>
      <c r="XEF350"/>
      <c r="XEG350"/>
      <c r="XEH350"/>
      <c r="XEI350"/>
      <c r="XEJ350"/>
      <c r="XEK350"/>
      <c r="XEL350"/>
      <c r="XEM350"/>
      <c r="XEN350"/>
      <c r="XEO350"/>
      <c r="XEP350"/>
      <c r="XEQ350"/>
      <c r="XER350"/>
      <c r="XES350"/>
      <c r="XET350"/>
      <c r="XEU350"/>
      <c r="XEV350"/>
      <c r="XEW350"/>
      <c r="XEX350"/>
      <c r="XEY350"/>
      <c r="XEZ350"/>
      <c r="XFA350"/>
      <c r="XFB350"/>
      <c r="XFC350"/>
      <c r="XFD350"/>
    </row>
    <row r="351" spans="1:18 16327:16384" s="26" customFormat="1" ht="29.1" customHeight="1" outlineLevel="2" x14ac:dyDescent="0.25">
      <c r="A351" s="34" t="s">
        <v>609</v>
      </c>
      <c r="B351" s="35"/>
      <c r="C351" s="65" t="s">
        <v>469</v>
      </c>
      <c r="D351" s="65"/>
      <c r="E351" s="35"/>
      <c r="F351" s="36"/>
      <c r="G351" s="35" t="s">
        <v>31</v>
      </c>
      <c r="H351" s="37"/>
      <c r="I351" s="38">
        <f>6</f>
        <v>6</v>
      </c>
      <c r="J351" s="23"/>
      <c r="K351" s="39"/>
      <c r="L351" s="40"/>
      <c r="M351" s="41">
        <f>K351+L351</f>
        <v>0</v>
      </c>
      <c r="N351" s="41">
        <f t="shared" ref="N351:N394" si="12">ROUND((I351*K351),2)</f>
        <v>0</v>
      </c>
      <c r="O351" s="41">
        <f>ROUND((I351*L351),2)</f>
        <v>0</v>
      </c>
      <c r="P351" s="41">
        <f>ROUND((I351*M351),2)</f>
        <v>0</v>
      </c>
      <c r="Q351" s="41"/>
      <c r="R351" s="23"/>
      <c r="XCY351"/>
      <c r="XCZ351"/>
      <c r="XDA351"/>
      <c r="XDB351"/>
      <c r="XDC351"/>
      <c r="XDD351"/>
      <c r="XDE351"/>
      <c r="XDF351"/>
      <c r="XDG351"/>
      <c r="XDH351"/>
      <c r="XDI351"/>
      <c r="XDJ351"/>
      <c r="XDK351"/>
      <c r="XDL351"/>
      <c r="XDM351"/>
      <c r="XDN351"/>
      <c r="XDO351"/>
      <c r="XDP351"/>
      <c r="XDQ351"/>
      <c r="XDR351"/>
      <c r="XDS351"/>
      <c r="XDT351"/>
      <c r="XDU351"/>
      <c r="XDV351"/>
      <c r="XDW351"/>
      <c r="XDX351"/>
      <c r="XDY351"/>
      <c r="XDZ351"/>
      <c r="XEA351"/>
      <c r="XEB351"/>
      <c r="XEC351"/>
      <c r="XED351"/>
      <c r="XEE351"/>
      <c r="XEF351"/>
      <c r="XEG351"/>
      <c r="XEH351"/>
      <c r="XEI351"/>
      <c r="XEJ351"/>
      <c r="XEK351"/>
      <c r="XEL351"/>
      <c r="XEM351"/>
      <c r="XEN351"/>
      <c r="XEO351"/>
      <c r="XEP351"/>
      <c r="XEQ351"/>
      <c r="XER351"/>
      <c r="XES351"/>
      <c r="XET351"/>
      <c r="XEU351"/>
      <c r="XEV351"/>
      <c r="XEW351"/>
      <c r="XEX351"/>
      <c r="XEY351"/>
      <c r="XEZ351"/>
      <c r="XFA351"/>
      <c r="XFB351"/>
      <c r="XFC351"/>
      <c r="XFD351"/>
    </row>
    <row r="352" spans="1:18 16327:16384" s="26" customFormat="1" ht="29.1" customHeight="1" outlineLevel="3" x14ac:dyDescent="0.25">
      <c r="A352" s="42" t="s">
        <v>610</v>
      </c>
      <c r="B352" s="43"/>
      <c r="C352" s="66" t="s">
        <v>611</v>
      </c>
      <c r="D352" s="66"/>
      <c r="E352" s="43" t="s">
        <v>34</v>
      </c>
      <c r="F352" s="44"/>
      <c r="G352" s="43" t="s">
        <v>31</v>
      </c>
      <c r="H352" s="45">
        <v>1</v>
      </c>
      <c r="I352" s="46">
        <f>6</f>
        <v>6</v>
      </c>
      <c r="J352" s="23"/>
      <c r="K352" s="47"/>
      <c r="L352" s="48"/>
      <c r="M352" s="49"/>
      <c r="N352" s="49">
        <f t="shared" si="12"/>
        <v>0</v>
      </c>
      <c r="O352" s="49"/>
      <c r="P352" s="49"/>
      <c r="Q352" s="49"/>
      <c r="R352" s="23"/>
      <c r="XCY352"/>
      <c r="XCZ352"/>
      <c r="XDA352"/>
      <c r="XDB352"/>
      <c r="XDC352"/>
      <c r="XDD352"/>
      <c r="XDE352"/>
      <c r="XDF352"/>
      <c r="XDG352"/>
      <c r="XDH352"/>
      <c r="XDI352"/>
      <c r="XDJ352"/>
      <c r="XDK352"/>
      <c r="XDL352"/>
      <c r="XDM352"/>
      <c r="XDN352"/>
      <c r="XDO352"/>
      <c r="XDP352"/>
      <c r="XDQ352"/>
      <c r="XDR352"/>
      <c r="XDS352"/>
      <c r="XDT352"/>
      <c r="XDU352"/>
      <c r="XDV352"/>
      <c r="XDW352"/>
      <c r="XDX352"/>
      <c r="XDY352"/>
      <c r="XDZ352"/>
      <c r="XEA352"/>
      <c r="XEB352"/>
      <c r="XEC352"/>
      <c r="XED352"/>
      <c r="XEE352"/>
      <c r="XEF352"/>
      <c r="XEG352"/>
      <c r="XEH352"/>
      <c r="XEI352"/>
      <c r="XEJ352"/>
      <c r="XEK352"/>
      <c r="XEL352"/>
      <c r="XEM352"/>
      <c r="XEN352"/>
      <c r="XEO352"/>
      <c r="XEP352"/>
      <c r="XEQ352"/>
      <c r="XER352"/>
      <c r="XES352"/>
      <c r="XET352"/>
      <c r="XEU352"/>
      <c r="XEV352"/>
      <c r="XEW352"/>
      <c r="XEX352"/>
      <c r="XEY352"/>
      <c r="XEZ352"/>
      <c r="XFA352"/>
      <c r="XFB352"/>
      <c r="XFC352"/>
      <c r="XFD352"/>
    </row>
    <row r="353" spans="1:18 16327:16384" s="26" customFormat="1" ht="29.1" customHeight="1" outlineLevel="2" x14ac:dyDescent="0.25">
      <c r="A353" s="34" t="s">
        <v>612</v>
      </c>
      <c r="B353" s="35"/>
      <c r="C353" s="65" t="s">
        <v>613</v>
      </c>
      <c r="D353" s="65"/>
      <c r="E353" s="35"/>
      <c r="F353" s="36"/>
      <c r="G353" s="35" t="s">
        <v>31</v>
      </c>
      <c r="H353" s="37"/>
      <c r="I353" s="38">
        <f>15</f>
        <v>15</v>
      </c>
      <c r="J353" s="23"/>
      <c r="K353" s="39"/>
      <c r="L353" s="40"/>
      <c r="M353" s="41">
        <f>K353+L353</f>
        <v>0</v>
      </c>
      <c r="N353" s="41">
        <f t="shared" si="12"/>
        <v>0</v>
      </c>
      <c r="O353" s="41">
        <f>ROUND((I353*L353),2)</f>
        <v>0</v>
      </c>
      <c r="P353" s="41">
        <f>ROUND((I353*M353),2)</f>
        <v>0</v>
      </c>
      <c r="Q353" s="41"/>
      <c r="R353" s="23"/>
      <c r="XCY353"/>
      <c r="XCZ353"/>
      <c r="XDA353"/>
      <c r="XDB353"/>
      <c r="XDC353"/>
      <c r="XDD353"/>
      <c r="XDE353"/>
      <c r="XDF353"/>
      <c r="XDG353"/>
      <c r="XDH353"/>
      <c r="XDI353"/>
      <c r="XDJ353"/>
      <c r="XDK353"/>
      <c r="XDL353"/>
      <c r="XDM353"/>
      <c r="XDN353"/>
      <c r="XDO353"/>
      <c r="XDP353"/>
      <c r="XDQ353"/>
      <c r="XDR353"/>
      <c r="XDS353"/>
      <c r="XDT353"/>
      <c r="XDU353"/>
      <c r="XDV353"/>
      <c r="XDW353"/>
      <c r="XDX353"/>
      <c r="XDY353"/>
      <c r="XDZ353"/>
      <c r="XEA353"/>
      <c r="XEB353"/>
      <c r="XEC353"/>
      <c r="XED353"/>
      <c r="XEE353"/>
      <c r="XEF353"/>
      <c r="XEG353"/>
      <c r="XEH353"/>
      <c r="XEI353"/>
      <c r="XEJ353"/>
      <c r="XEK353"/>
      <c r="XEL353"/>
      <c r="XEM353"/>
      <c r="XEN353"/>
      <c r="XEO353"/>
      <c r="XEP353"/>
      <c r="XEQ353"/>
      <c r="XER353"/>
      <c r="XES353"/>
      <c r="XET353"/>
      <c r="XEU353"/>
      <c r="XEV353"/>
      <c r="XEW353"/>
      <c r="XEX353"/>
      <c r="XEY353"/>
      <c r="XEZ353"/>
      <c r="XFA353"/>
      <c r="XFB353"/>
      <c r="XFC353"/>
      <c r="XFD353"/>
    </row>
    <row r="354" spans="1:18 16327:16384" s="26" customFormat="1" ht="29.1" customHeight="1" outlineLevel="3" x14ac:dyDescent="0.25">
      <c r="A354" s="42" t="s">
        <v>614</v>
      </c>
      <c r="B354" s="43"/>
      <c r="C354" s="66" t="s">
        <v>615</v>
      </c>
      <c r="D354" s="66"/>
      <c r="E354" s="43" t="s">
        <v>34</v>
      </c>
      <c r="F354" s="44"/>
      <c r="G354" s="43" t="s">
        <v>31</v>
      </c>
      <c r="H354" s="45">
        <v>1</v>
      </c>
      <c r="I354" s="46">
        <f>15</f>
        <v>15</v>
      </c>
      <c r="J354" s="23"/>
      <c r="K354" s="47"/>
      <c r="L354" s="48"/>
      <c r="M354" s="49"/>
      <c r="N354" s="49">
        <f t="shared" si="12"/>
        <v>0</v>
      </c>
      <c r="O354" s="49"/>
      <c r="P354" s="49"/>
      <c r="Q354" s="49"/>
      <c r="R354" s="23"/>
      <c r="XCY354"/>
      <c r="XCZ354"/>
      <c r="XDA354"/>
      <c r="XDB354"/>
      <c r="XDC354"/>
      <c r="XDD354"/>
      <c r="XDE354"/>
      <c r="XDF354"/>
      <c r="XDG354"/>
      <c r="XDH354"/>
      <c r="XDI354"/>
      <c r="XDJ354"/>
      <c r="XDK354"/>
      <c r="XDL354"/>
      <c r="XDM354"/>
      <c r="XDN354"/>
      <c r="XDO354"/>
      <c r="XDP354"/>
      <c r="XDQ354"/>
      <c r="XDR354"/>
      <c r="XDS354"/>
      <c r="XDT354"/>
      <c r="XDU354"/>
      <c r="XDV354"/>
      <c r="XDW354"/>
      <c r="XDX354"/>
      <c r="XDY354"/>
      <c r="XDZ354"/>
      <c r="XEA354"/>
      <c r="XEB354"/>
      <c r="XEC354"/>
      <c r="XED354"/>
      <c r="XEE354"/>
      <c r="XEF354"/>
      <c r="XEG354"/>
      <c r="XEH354"/>
      <c r="XEI354"/>
      <c r="XEJ354"/>
      <c r="XEK354"/>
      <c r="XEL354"/>
      <c r="XEM354"/>
      <c r="XEN354"/>
      <c r="XEO354"/>
      <c r="XEP354"/>
      <c r="XEQ354"/>
      <c r="XER354"/>
      <c r="XES354"/>
      <c r="XET354"/>
      <c r="XEU354"/>
      <c r="XEV354"/>
      <c r="XEW354"/>
      <c r="XEX354"/>
      <c r="XEY354"/>
      <c r="XEZ354"/>
      <c r="XFA354"/>
      <c r="XFB354"/>
      <c r="XFC354"/>
      <c r="XFD354"/>
    </row>
    <row r="355" spans="1:18 16327:16384" s="26" customFormat="1" ht="29.1" customHeight="1" outlineLevel="2" x14ac:dyDescent="0.25">
      <c r="A355" s="34" t="s">
        <v>616</v>
      </c>
      <c r="B355" s="35"/>
      <c r="C355" s="65" t="s">
        <v>617</v>
      </c>
      <c r="D355" s="65"/>
      <c r="E355" s="35"/>
      <c r="F355" s="36"/>
      <c r="G355" s="35" t="s">
        <v>31</v>
      </c>
      <c r="H355" s="37"/>
      <c r="I355" s="38">
        <f>6</f>
        <v>6</v>
      </c>
      <c r="J355" s="23"/>
      <c r="K355" s="39"/>
      <c r="L355" s="40"/>
      <c r="M355" s="41">
        <f>K355+L355</f>
        <v>0</v>
      </c>
      <c r="N355" s="41">
        <f t="shared" si="12"/>
        <v>0</v>
      </c>
      <c r="O355" s="41">
        <f>ROUND((I355*L355),2)</f>
        <v>0</v>
      </c>
      <c r="P355" s="41">
        <f>ROUND((I355*M355),2)</f>
        <v>0</v>
      </c>
      <c r="Q355" s="41"/>
      <c r="R355" s="23"/>
      <c r="XCY355"/>
      <c r="XCZ355"/>
      <c r="XDA355"/>
      <c r="XDB355"/>
      <c r="XDC355"/>
      <c r="XDD355"/>
      <c r="XDE355"/>
      <c r="XDF355"/>
      <c r="XDG355"/>
      <c r="XDH355"/>
      <c r="XDI355"/>
      <c r="XDJ355"/>
      <c r="XDK355"/>
      <c r="XDL355"/>
      <c r="XDM355"/>
      <c r="XDN355"/>
      <c r="XDO355"/>
      <c r="XDP355"/>
      <c r="XDQ355"/>
      <c r="XDR355"/>
      <c r="XDS355"/>
      <c r="XDT355"/>
      <c r="XDU355"/>
      <c r="XDV355"/>
      <c r="XDW355"/>
      <c r="XDX355"/>
      <c r="XDY355"/>
      <c r="XDZ355"/>
      <c r="XEA355"/>
      <c r="XEB355"/>
      <c r="XEC355"/>
      <c r="XED355"/>
      <c r="XEE355"/>
      <c r="XEF355"/>
      <c r="XEG355"/>
      <c r="XEH355"/>
      <c r="XEI355"/>
      <c r="XEJ355"/>
      <c r="XEK355"/>
      <c r="XEL355"/>
      <c r="XEM355"/>
      <c r="XEN355"/>
      <c r="XEO355"/>
      <c r="XEP355"/>
      <c r="XEQ355"/>
      <c r="XER355"/>
      <c r="XES355"/>
      <c r="XET355"/>
      <c r="XEU355"/>
      <c r="XEV355"/>
      <c r="XEW355"/>
      <c r="XEX355"/>
      <c r="XEY355"/>
      <c r="XEZ355"/>
      <c r="XFA355"/>
      <c r="XFB355"/>
      <c r="XFC355"/>
      <c r="XFD355"/>
    </row>
    <row r="356" spans="1:18 16327:16384" s="26" customFormat="1" ht="29.1" customHeight="1" outlineLevel="3" x14ac:dyDescent="0.25">
      <c r="A356" s="42" t="s">
        <v>618</v>
      </c>
      <c r="B356" s="43"/>
      <c r="C356" s="66" t="s">
        <v>619</v>
      </c>
      <c r="D356" s="66"/>
      <c r="E356" s="43" t="s">
        <v>34</v>
      </c>
      <c r="F356" s="44"/>
      <c r="G356" s="43" t="s">
        <v>31</v>
      </c>
      <c r="H356" s="45">
        <v>1</v>
      </c>
      <c r="I356" s="46">
        <f>6</f>
        <v>6</v>
      </c>
      <c r="J356" s="23"/>
      <c r="K356" s="47"/>
      <c r="L356" s="48"/>
      <c r="M356" s="49"/>
      <c r="N356" s="49">
        <f t="shared" si="12"/>
        <v>0</v>
      </c>
      <c r="O356" s="49"/>
      <c r="P356" s="49"/>
      <c r="Q356" s="49"/>
      <c r="R356" s="23"/>
      <c r="XCY356"/>
      <c r="XCZ356"/>
      <c r="XDA356"/>
      <c r="XDB356"/>
      <c r="XDC356"/>
      <c r="XDD356"/>
      <c r="XDE356"/>
      <c r="XDF356"/>
      <c r="XDG356"/>
      <c r="XDH356"/>
      <c r="XDI356"/>
      <c r="XDJ356"/>
      <c r="XDK356"/>
      <c r="XDL356"/>
      <c r="XDM356"/>
      <c r="XDN356"/>
      <c r="XDO356"/>
      <c r="XDP356"/>
      <c r="XDQ356"/>
      <c r="XDR356"/>
      <c r="XDS356"/>
      <c r="XDT356"/>
      <c r="XDU356"/>
      <c r="XDV356"/>
      <c r="XDW356"/>
      <c r="XDX356"/>
      <c r="XDY356"/>
      <c r="XDZ356"/>
      <c r="XEA356"/>
      <c r="XEB356"/>
      <c r="XEC356"/>
      <c r="XED356"/>
      <c r="XEE356"/>
      <c r="XEF356"/>
      <c r="XEG356"/>
      <c r="XEH356"/>
      <c r="XEI356"/>
      <c r="XEJ356"/>
      <c r="XEK356"/>
      <c r="XEL356"/>
      <c r="XEM356"/>
      <c r="XEN356"/>
      <c r="XEO356"/>
      <c r="XEP356"/>
      <c r="XEQ356"/>
      <c r="XER356"/>
      <c r="XES356"/>
      <c r="XET356"/>
      <c r="XEU356"/>
      <c r="XEV356"/>
      <c r="XEW356"/>
      <c r="XEX356"/>
      <c r="XEY356"/>
      <c r="XEZ356"/>
      <c r="XFA356"/>
      <c r="XFB356"/>
      <c r="XFC356"/>
      <c r="XFD356"/>
    </row>
    <row r="357" spans="1:18 16327:16384" s="26" customFormat="1" ht="29.1" customHeight="1" outlineLevel="2" x14ac:dyDescent="0.25">
      <c r="A357" s="34" t="s">
        <v>620</v>
      </c>
      <c r="B357" s="35"/>
      <c r="C357" s="65" t="s">
        <v>621</v>
      </c>
      <c r="D357" s="65"/>
      <c r="E357" s="35"/>
      <c r="F357" s="36"/>
      <c r="G357" s="35" t="s">
        <v>31</v>
      </c>
      <c r="H357" s="37"/>
      <c r="I357" s="38">
        <f>101</f>
        <v>101</v>
      </c>
      <c r="J357" s="23"/>
      <c r="K357" s="39"/>
      <c r="L357" s="40"/>
      <c r="M357" s="41">
        <f>K357+L357</f>
        <v>0</v>
      </c>
      <c r="N357" s="41">
        <f t="shared" si="12"/>
        <v>0</v>
      </c>
      <c r="O357" s="41">
        <f>ROUND((I357*L357),2)</f>
        <v>0</v>
      </c>
      <c r="P357" s="41">
        <f>ROUND((I357*M357),2)</f>
        <v>0</v>
      </c>
      <c r="Q357" s="41"/>
      <c r="R357" s="23"/>
      <c r="XCY357"/>
      <c r="XCZ357"/>
      <c r="XDA357"/>
      <c r="XDB357"/>
      <c r="XDC357"/>
      <c r="XDD357"/>
      <c r="XDE357"/>
      <c r="XDF357"/>
      <c r="XDG357"/>
      <c r="XDH357"/>
      <c r="XDI357"/>
      <c r="XDJ357"/>
      <c r="XDK357"/>
      <c r="XDL357"/>
      <c r="XDM357"/>
      <c r="XDN357"/>
      <c r="XDO357"/>
      <c r="XDP357"/>
      <c r="XDQ357"/>
      <c r="XDR357"/>
      <c r="XDS357"/>
      <c r="XDT357"/>
      <c r="XDU357"/>
      <c r="XDV357"/>
      <c r="XDW357"/>
      <c r="XDX357"/>
      <c r="XDY357"/>
      <c r="XDZ357"/>
      <c r="XEA357"/>
      <c r="XEB357"/>
      <c r="XEC357"/>
      <c r="XED357"/>
      <c r="XEE357"/>
      <c r="XEF357"/>
      <c r="XEG357"/>
      <c r="XEH357"/>
      <c r="XEI357"/>
      <c r="XEJ357"/>
      <c r="XEK357"/>
      <c r="XEL357"/>
      <c r="XEM357"/>
      <c r="XEN357"/>
      <c r="XEO357"/>
      <c r="XEP357"/>
      <c r="XEQ357"/>
      <c r="XER357"/>
      <c r="XES357"/>
      <c r="XET357"/>
      <c r="XEU357"/>
      <c r="XEV357"/>
      <c r="XEW357"/>
      <c r="XEX357"/>
      <c r="XEY357"/>
      <c r="XEZ357"/>
      <c r="XFA357"/>
      <c r="XFB357"/>
      <c r="XFC357"/>
      <c r="XFD357"/>
    </row>
    <row r="358" spans="1:18 16327:16384" s="26" customFormat="1" ht="29.1" customHeight="1" outlineLevel="3" x14ac:dyDescent="0.25">
      <c r="A358" s="42" t="s">
        <v>622</v>
      </c>
      <c r="B358" s="43"/>
      <c r="C358" s="66" t="s">
        <v>623</v>
      </c>
      <c r="D358" s="66"/>
      <c r="E358" s="43" t="s">
        <v>34</v>
      </c>
      <c r="F358" s="44"/>
      <c r="G358" s="43" t="s">
        <v>31</v>
      </c>
      <c r="H358" s="45">
        <v>1</v>
      </c>
      <c r="I358" s="46">
        <f>101</f>
        <v>101</v>
      </c>
      <c r="J358" s="23"/>
      <c r="K358" s="47"/>
      <c r="L358" s="48"/>
      <c r="M358" s="49"/>
      <c r="N358" s="49">
        <f t="shared" si="12"/>
        <v>0</v>
      </c>
      <c r="O358" s="49"/>
      <c r="P358" s="49"/>
      <c r="Q358" s="49"/>
      <c r="R358" s="23"/>
      <c r="XCY358"/>
      <c r="XCZ358"/>
      <c r="XDA358"/>
      <c r="XDB358"/>
      <c r="XDC358"/>
      <c r="XDD358"/>
      <c r="XDE358"/>
      <c r="XDF358"/>
      <c r="XDG358"/>
      <c r="XDH358"/>
      <c r="XDI358"/>
      <c r="XDJ358"/>
      <c r="XDK358"/>
      <c r="XDL358"/>
      <c r="XDM358"/>
      <c r="XDN358"/>
      <c r="XDO358"/>
      <c r="XDP358"/>
      <c r="XDQ358"/>
      <c r="XDR358"/>
      <c r="XDS358"/>
      <c r="XDT358"/>
      <c r="XDU358"/>
      <c r="XDV358"/>
      <c r="XDW358"/>
      <c r="XDX358"/>
      <c r="XDY358"/>
      <c r="XDZ358"/>
      <c r="XEA358"/>
      <c r="XEB358"/>
      <c r="XEC358"/>
      <c r="XED358"/>
      <c r="XEE358"/>
      <c r="XEF358"/>
      <c r="XEG358"/>
      <c r="XEH358"/>
      <c r="XEI358"/>
      <c r="XEJ358"/>
      <c r="XEK358"/>
      <c r="XEL358"/>
      <c r="XEM358"/>
      <c r="XEN358"/>
      <c r="XEO358"/>
      <c r="XEP358"/>
      <c r="XEQ358"/>
      <c r="XER358"/>
      <c r="XES358"/>
      <c r="XET358"/>
      <c r="XEU358"/>
      <c r="XEV358"/>
      <c r="XEW358"/>
      <c r="XEX358"/>
      <c r="XEY358"/>
      <c r="XEZ358"/>
      <c r="XFA358"/>
      <c r="XFB358"/>
      <c r="XFC358"/>
      <c r="XFD358"/>
    </row>
    <row r="359" spans="1:18 16327:16384" s="26" customFormat="1" ht="29.1" customHeight="1" outlineLevel="2" x14ac:dyDescent="0.25">
      <c r="A359" s="34" t="s">
        <v>624</v>
      </c>
      <c r="B359" s="35"/>
      <c r="C359" s="65" t="s">
        <v>50</v>
      </c>
      <c r="D359" s="65"/>
      <c r="E359" s="35"/>
      <c r="F359" s="36"/>
      <c r="G359" s="35" t="s">
        <v>31</v>
      </c>
      <c r="H359" s="37"/>
      <c r="I359" s="38">
        <f>12</f>
        <v>12</v>
      </c>
      <c r="J359" s="23"/>
      <c r="K359" s="39"/>
      <c r="L359" s="40"/>
      <c r="M359" s="41">
        <f>K359+L359</f>
        <v>0</v>
      </c>
      <c r="N359" s="41">
        <f t="shared" si="12"/>
        <v>0</v>
      </c>
      <c r="O359" s="41">
        <f>ROUND((I359*L359),2)</f>
        <v>0</v>
      </c>
      <c r="P359" s="41">
        <f>ROUND((I359*M359),2)</f>
        <v>0</v>
      </c>
      <c r="Q359" s="41"/>
      <c r="R359" s="23"/>
      <c r="XCY359"/>
      <c r="XCZ359"/>
      <c r="XDA359"/>
      <c r="XDB359"/>
      <c r="XDC359"/>
      <c r="XDD359"/>
      <c r="XDE359"/>
      <c r="XDF359"/>
      <c r="XDG359"/>
      <c r="XDH359"/>
      <c r="XDI359"/>
      <c r="XDJ359"/>
      <c r="XDK359"/>
      <c r="XDL359"/>
      <c r="XDM359"/>
      <c r="XDN359"/>
      <c r="XDO359"/>
      <c r="XDP359"/>
      <c r="XDQ359"/>
      <c r="XDR359"/>
      <c r="XDS359"/>
      <c r="XDT359"/>
      <c r="XDU359"/>
      <c r="XDV359"/>
      <c r="XDW359"/>
      <c r="XDX359"/>
      <c r="XDY359"/>
      <c r="XDZ359"/>
      <c r="XEA359"/>
      <c r="XEB359"/>
      <c r="XEC359"/>
      <c r="XED359"/>
      <c r="XEE359"/>
      <c r="XEF359"/>
      <c r="XEG359"/>
      <c r="XEH359"/>
      <c r="XEI359"/>
      <c r="XEJ359"/>
      <c r="XEK359"/>
      <c r="XEL359"/>
      <c r="XEM359"/>
      <c r="XEN359"/>
      <c r="XEO359"/>
      <c r="XEP359"/>
      <c r="XEQ359"/>
      <c r="XER359"/>
      <c r="XES359"/>
      <c r="XET359"/>
      <c r="XEU359"/>
      <c r="XEV359"/>
      <c r="XEW359"/>
      <c r="XEX359"/>
      <c r="XEY359"/>
      <c r="XEZ359"/>
      <c r="XFA359"/>
      <c r="XFB359"/>
      <c r="XFC359"/>
      <c r="XFD359"/>
    </row>
    <row r="360" spans="1:18 16327:16384" s="26" customFormat="1" ht="29.1" customHeight="1" outlineLevel="3" x14ac:dyDescent="0.25">
      <c r="A360" s="42" t="s">
        <v>625</v>
      </c>
      <c r="B360" s="43"/>
      <c r="C360" s="66" t="s">
        <v>626</v>
      </c>
      <c r="D360" s="66"/>
      <c r="E360" s="43" t="s">
        <v>34</v>
      </c>
      <c r="F360" s="44"/>
      <c r="G360" s="43" t="s">
        <v>31</v>
      </c>
      <c r="H360" s="45">
        <v>1</v>
      </c>
      <c r="I360" s="46">
        <f>6</f>
        <v>6</v>
      </c>
      <c r="J360" s="23"/>
      <c r="K360" s="47"/>
      <c r="L360" s="48"/>
      <c r="M360" s="49"/>
      <c r="N360" s="49">
        <f t="shared" si="12"/>
        <v>0</v>
      </c>
      <c r="O360" s="49"/>
      <c r="P360" s="49"/>
      <c r="Q360" s="49"/>
      <c r="R360" s="23"/>
      <c r="XCY360"/>
      <c r="XCZ360"/>
      <c r="XDA360"/>
      <c r="XDB360"/>
      <c r="XDC360"/>
      <c r="XDD360"/>
      <c r="XDE360"/>
      <c r="XDF360"/>
      <c r="XDG360"/>
      <c r="XDH360"/>
      <c r="XDI360"/>
      <c r="XDJ360"/>
      <c r="XDK360"/>
      <c r="XDL360"/>
      <c r="XDM360"/>
      <c r="XDN360"/>
      <c r="XDO360"/>
      <c r="XDP360"/>
      <c r="XDQ360"/>
      <c r="XDR360"/>
      <c r="XDS360"/>
      <c r="XDT360"/>
      <c r="XDU360"/>
      <c r="XDV360"/>
      <c r="XDW360"/>
      <c r="XDX360"/>
      <c r="XDY360"/>
      <c r="XDZ360"/>
      <c r="XEA360"/>
      <c r="XEB360"/>
      <c r="XEC360"/>
      <c r="XED360"/>
      <c r="XEE360"/>
      <c r="XEF360"/>
      <c r="XEG360"/>
      <c r="XEH360"/>
      <c r="XEI360"/>
      <c r="XEJ360"/>
      <c r="XEK360"/>
      <c r="XEL360"/>
      <c r="XEM360"/>
      <c r="XEN360"/>
      <c r="XEO360"/>
      <c r="XEP360"/>
      <c r="XEQ360"/>
      <c r="XER360"/>
      <c r="XES360"/>
      <c r="XET360"/>
      <c r="XEU360"/>
      <c r="XEV360"/>
      <c r="XEW360"/>
      <c r="XEX360"/>
      <c r="XEY360"/>
      <c r="XEZ360"/>
      <c r="XFA360"/>
      <c r="XFB360"/>
      <c r="XFC360"/>
      <c r="XFD360"/>
    </row>
    <row r="361" spans="1:18 16327:16384" s="26" customFormat="1" ht="29.1" customHeight="1" outlineLevel="3" x14ac:dyDescent="0.25">
      <c r="A361" s="42" t="s">
        <v>627</v>
      </c>
      <c r="B361" s="43"/>
      <c r="C361" s="66" t="s">
        <v>628</v>
      </c>
      <c r="D361" s="66"/>
      <c r="E361" s="43" t="s">
        <v>34</v>
      </c>
      <c r="F361" s="44"/>
      <c r="G361" s="43" t="s">
        <v>31</v>
      </c>
      <c r="H361" s="45">
        <v>1</v>
      </c>
      <c r="I361" s="46">
        <f>6</f>
        <v>6</v>
      </c>
      <c r="J361" s="23"/>
      <c r="K361" s="47"/>
      <c r="L361" s="48"/>
      <c r="M361" s="49"/>
      <c r="N361" s="49">
        <f t="shared" si="12"/>
        <v>0</v>
      </c>
      <c r="O361" s="49"/>
      <c r="P361" s="49"/>
      <c r="Q361" s="49"/>
      <c r="R361" s="23"/>
      <c r="XCY361"/>
      <c r="XCZ361"/>
      <c r="XDA361"/>
      <c r="XDB361"/>
      <c r="XDC361"/>
      <c r="XDD361"/>
      <c r="XDE361"/>
      <c r="XDF361"/>
      <c r="XDG361"/>
      <c r="XDH361"/>
      <c r="XDI361"/>
      <c r="XDJ361"/>
      <c r="XDK361"/>
      <c r="XDL361"/>
      <c r="XDM361"/>
      <c r="XDN361"/>
      <c r="XDO361"/>
      <c r="XDP361"/>
      <c r="XDQ361"/>
      <c r="XDR361"/>
      <c r="XDS361"/>
      <c r="XDT361"/>
      <c r="XDU361"/>
      <c r="XDV361"/>
      <c r="XDW361"/>
      <c r="XDX361"/>
      <c r="XDY361"/>
      <c r="XDZ361"/>
      <c r="XEA361"/>
      <c r="XEB361"/>
      <c r="XEC361"/>
      <c r="XED361"/>
      <c r="XEE361"/>
      <c r="XEF361"/>
      <c r="XEG361"/>
      <c r="XEH361"/>
      <c r="XEI361"/>
      <c r="XEJ361"/>
      <c r="XEK361"/>
      <c r="XEL361"/>
      <c r="XEM361"/>
      <c r="XEN361"/>
      <c r="XEO361"/>
      <c r="XEP361"/>
      <c r="XEQ361"/>
      <c r="XER361"/>
      <c r="XES361"/>
      <c r="XET361"/>
      <c r="XEU361"/>
      <c r="XEV361"/>
      <c r="XEW361"/>
      <c r="XEX361"/>
      <c r="XEY361"/>
      <c r="XEZ361"/>
      <c r="XFA361"/>
      <c r="XFB361"/>
      <c r="XFC361"/>
      <c r="XFD361"/>
    </row>
    <row r="362" spans="1:18 16327:16384" s="26" customFormat="1" ht="29.1" customHeight="1" outlineLevel="2" x14ac:dyDescent="0.25">
      <c r="A362" s="34" t="s">
        <v>629</v>
      </c>
      <c r="B362" s="35"/>
      <c r="C362" s="65" t="s">
        <v>50</v>
      </c>
      <c r="D362" s="65"/>
      <c r="E362" s="35"/>
      <c r="F362" s="36"/>
      <c r="G362" s="35" t="s">
        <v>31</v>
      </c>
      <c r="H362" s="37"/>
      <c r="I362" s="38">
        <f>10</f>
        <v>10</v>
      </c>
      <c r="J362" s="23"/>
      <c r="K362" s="39"/>
      <c r="L362" s="40"/>
      <c r="M362" s="41">
        <f>K362+L362</f>
        <v>0</v>
      </c>
      <c r="N362" s="41">
        <f t="shared" si="12"/>
        <v>0</v>
      </c>
      <c r="O362" s="41">
        <f>ROUND((I362*L362),2)</f>
        <v>0</v>
      </c>
      <c r="P362" s="41">
        <f>ROUND((I362*M362),2)</f>
        <v>0</v>
      </c>
      <c r="Q362" s="41"/>
      <c r="R362" s="23"/>
      <c r="XCY362"/>
      <c r="XCZ362"/>
      <c r="XDA362"/>
      <c r="XDB362"/>
      <c r="XDC362"/>
      <c r="XDD362"/>
      <c r="XDE362"/>
      <c r="XDF362"/>
      <c r="XDG362"/>
      <c r="XDH362"/>
      <c r="XDI362"/>
      <c r="XDJ362"/>
      <c r="XDK362"/>
      <c r="XDL362"/>
      <c r="XDM362"/>
      <c r="XDN362"/>
      <c r="XDO362"/>
      <c r="XDP362"/>
      <c r="XDQ362"/>
      <c r="XDR362"/>
      <c r="XDS362"/>
      <c r="XDT362"/>
      <c r="XDU362"/>
      <c r="XDV362"/>
      <c r="XDW362"/>
      <c r="XDX362"/>
      <c r="XDY362"/>
      <c r="XDZ362"/>
      <c r="XEA362"/>
      <c r="XEB362"/>
      <c r="XEC362"/>
      <c r="XED362"/>
      <c r="XEE362"/>
      <c r="XEF362"/>
      <c r="XEG362"/>
      <c r="XEH362"/>
      <c r="XEI362"/>
      <c r="XEJ362"/>
      <c r="XEK362"/>
      <c r="XEL362"/>
      <c r="XEM362"/>
      <c r="XEN362"/>
      <c r="XEO362"/>
      <c r="XEP362"/>
      <c r="XEQ362"/>
      <c r="XER362"/>
      <c r="XES362"/>
      <c r="XET362"/>
      <c r="XEU362"/>
      <c r="XEV362"/>
      <c r="XEW362"/>
      <c r="XEX362"/>
      <c r="XEY362"/>
      <c r="XEZ362"/>
      <c r="XFA362"/>
      <c r="XFB362"/>
      <c r="XFC362"/>
      <c r="XFD362"/>
    </row>
    <row r="363" spans="1:18 16327:16384" s="26" customFormat="1" ht="29.1" customHeight="1" outlineLevel="3" x14ac:dyDescent="0.25">
      <c r="A363" s="42" t="s">
        <v>630</v>
      </c>
      <c r="B363" s="43"/>
      <c r="C363" s="66" t="s">
        <v>631</v>
      </c>
      <c r="D363" s="66"/>
      <c r="E363" s="43" t="s">
        <v>34</v>
      </c>
      <c r="F363" s="44"/>
      <c r="G363" s="43" t="s">
        <v>31</v>
      </c>
      <c r="H363" s="45">
        <v>1</v>
      </c>
      <c r="I363" s="46">
        <f>10</f>
        <v>10</v>
      </c>
      <c r="J363" s="23"/>
      <c r="K363" s="47"/>
      <c r="L363" s="48"/>
      <c r="M363" s="49"/>
      <c r="N363" s="49">
        <f t="shared" si="12"/>
        <v>0</v>
      </c>
      <c r="O363" s="49"/>
      <c r="P363" s="49"/>
      <c r="Q363" s="49"/>
      <c r="R363" s="23"/>
      <c r="XCY363"/>
      <c r="XCZ363"/>
      <c r="XDA363"/>
      <c r="XDB363"/>
      <c r="XDC363"/>
      <c r="XDD363"/>
      <c r="XDE363"/>
      <c r="XDF363"/>
      <c r="XDG363"/>
      <c r="XDH363"/>
      <c r="XDI363"/>
      <c r="XDJ363"/>
      <c r="XDK363"/>
      <c r="XDL363"/>
      <c r="XDM363"/>
      <c r="XDN363"/>
      <c r="XDO363"/>
      <c r="XDP363"/>
      <c r="XDQ363"/>
      <c r="XDR363"/>
      <c r="XDS363"/>
      <c r="XDT363"/>
      <c r="XDU363"/>
      <c r="XDV363"/>
      <c r="XDW363"/>
      <c r="XDX363"/>
      <c r="XDY363"/>
      <c r="XDZ363"/>
      <c r="XEA363"/>
      <c r="XEB363"/>
      <c r="XEC363"/>
      <c r="XED363"/>
      <c r="XEE363"/>
      <c r="XEF363"/>
      <c r="XEG363"/>
      <c r="XEH363"/>
      <c r="XEI363"/>
      <c r="XEJ363"/>
      <c r="XEK363"/>
      <c r="XEL363"/>
      <c r="XEM363"/>
      <c r="XEN363"/>
      <c r="XEO363"/>
      <c r="XEP363"/>
      <c r="XEQ363"/>
      <c r="XER363"/>
      <c r="XES363"/>
      <c r="XET363"/>
      <c r="XEU363"/>
      <c r="XEV363"/>
      <c r="XEW363"/>
      <c r="XEX363"/>
      <c r="XEY363"/>
      <c r="XEZ363"/>
      <c r="XFA363"/>
      <c r="XFB363"/>
      <c r="XFC363"/>
      <c r="XFD363"/>
    </row>
    <row r="364" spans="1:18 16327:16384" s="26" customFormat="1" ht="29.1" customHeight="1" outlineLevel="2" x14ac:dyDescent="0.25">
      <c r="A364" s="34" t="s">
        <v>632</v>
      </c>
      <c r="B364" s="35"/>
      <c r="C364" s="65" t="s">
        <v>441</v>
      </c>
      <c r="D364" s="65"/>
      <c r="E364" s="35"/>
      <c r="F364" s="36"/>
      <c r="G364" s="35" t="s">
        <v>65</v>
      </c>
      <c r="H364" s="37"/>
      <c r="I364" s="38">
        <f>35</f>
        <v>35</v>
      </c>
      <c r="J364" s="23"/>
      <c r="K364" s="39"/>
      <c r="L364" s="40"/>
      <c r="M364" s="41"/>
      <c r="N364" s="41"/>
      <c r="O364" s="41"/>
      <c r="P364" s="41"/>
      <c r="Q364" s="41"/>
      <c r="R364" s="23"/>
      <c r="XCY364"/>
      <c r="XCZ364"/>
      <c r="XDA364"/>
      <c r="XDB364"/>
      <c r="XDC364"/>
      <c r="XDD364"/>
      <c r="XDE364"/>
      <c r="XDF364"/>
      <c r="XDG364"/>
      <c r="XDH364"/>
      <c r="XDI364"/>
      <c r="XDJ364"/>
      <c r="XDK364"/>
      <c r="XDL364"/>
      <c r="XDM364"/>
      <c r="XDN364"/>
      <c r="XDO364"/>
      <c r="XDP364"/>
      <c r="XDQ364"/>
      <c r="XDR364"/>
      <c r="XDS364"/>
      <c r="XDT364"/>
      <c r="XDU364"/>
      <c r="XDV364"/>
      <c r="XDW364"/>
      <c r="XDX364"/>
      <c r="XDY364"/>
      <c r="XDZ364"/>
      <c r="XEA364"/>
      <c r="XEB364"/>
      <c r="XEC364"/>
      <c r="XED364"/>
      <c r="XEE364"/>
      <c r="XEF364"/>
      <c r="XEG364"/>
      <c r="XEH364"/>
      <c r="XEI364"/>
      <c r="XEJ364"/>
      <c r="XEK364"/>
      <c r="XEL364"/>
      <c r="XEM364"/>
      <c r="XEN364"/>
      <c r="XEO364"/>
      <c r="XEP364"/>
      <c r="XEQ364"/>
      <c r="XER364"/>
      <c r="XES364"/>
      <c r="XET364"/>
      <c r="XEU364"/>
      <c r="XEV364"/>
      <c r="XEW364"/>
      <c r="XEX364"/>
      <c r="XEY364"/>
      <c r="XEZ364"/>
      <c r="XFA364"/>
      <c r="XFB364"/>
      <c r="XFC364"/>
      <c r="XFD364"/>
    </row>
    <row r="365" spans="1:18 16327:16384" s="26" customFormat="1" ht="29.1" customHeight="1" outlineLevel="3" x14ac:dyDescent="0.25">
      <c r="A365" s="42" t="s">
        <v>633</v>
      </c>
      <c r="B365" s="43"/>
      <c r="C365" s="66" t="s">
        <v>634</v>
      </c>
      <c r="D365" s="66"/>
      <c r="E365" s="43" t="s">
        <v>34</v>
      </c>
      <c r="F365" s="44"/>
      <c r="G365" s="43" t="s">
        <v>65</v>
      </c>
      <c r="H365" s="45">
        <v>1.02</v>
      </c>
      <c r="I365" s="46">
        <f>35.7</f>
        <v>35.700000000000003</v>
      </c>
      <c r="J365" s="23"/>
      <c r="K365" s="47"/>
      <c r="L365" s="48"/>
      <c r="M365" s="49"/>
      <c r="N365" s="49">
        <f t="shared" si="12"/>
        <v>0</v>
      </c>
      <c r="O365" s="49"/>
      <c r="P365" s="49"/>
      <c r="Q365" s="49"/>
      <c r="R365" s="23"/>
      <c r="XCY365"/>
      <c r="XCZ365"/>
      <c r="XDA365"/>
      <c r="XDB365"/>
      <c r="XDC365"/>
      <c r="XDD365"/>
      <c r="XDE365"/>
      <c r="XDF365"/>
      <c r="XDG365"/>
      <c r="XDH365"/>
      <c r="XDI365"/>
      <c r="XDJ365"/>
      <c r="XDK365"/>
      <c r="XDL365"/>
      <c r="XDM365"/>
      <c r="XDN365"/>
      <c r="XDO365"/>
      <c r="XDP365"/>
      <c r="XDQ365"/>
      <c r="XDR365"/>
      <c r="XDS365"/>
      <c r="XDT365"/>
      <c r="XDU365"/>
      <c r="XDV365"/>
      <c r="XDW365"/>
      <c r="XDX365"/>
      <c r="XDY365"/>
      <c r="XDZ365"/>
      <c r="XEA365"/>
      <c r="XEB365"/>
      <c r="XEC365"/>
      <c r="XED365"/>
      <c r="XEE365"/>
      <c r="XEF365"/>
      <c r="XEG365"/>
      <c r="XEH365"/>
      <c r="XEI365"/>
      <c r="XEJ365"/>
      <c r="XEK365"/>
      <c r="XEL365"/>
      <c r="XEM365"/>
      <c r="XEN365"/>
      <c r="XEO365"/>
      <c r="XEP365"/>
      <c r="XEQ365"/>
      <c r="XER365"/>
      <c r="XES365"/>
      <c r="XET365"/>
      <c r="XEU365"/>
      <c r="XEV365"/>
      <c r="XEW365"/>
      <c r="XEX365"/>
      <c r="XEY365"/>
      <c r="XEZ365"/>
      <c r="XFA365"/>
      <c r="XFB365"/>
      <c r="XFC365"/>
      <c r="XFD365"/>
    </row>
    <row r="366" spans="1:18 16327:16384" s="26" customFormat="1" ht="29.1" customHeight="1" outlineLevel="2" x14ac:dyDescent="0.25">
      <c r="A366" s="34" t="s">
        <v>635</v>
      </c>
      <c r="B366" s="35"/>
      <c r="C366" s="65" t="s">
        <v>64</v>
      </c>
      <c r="D366" s="65"/>
      <c r="E366" s="35"/>
      <c r="F366" s="36"/>
      <c r="G366" s="35" t="s">
        <v>65</v>
      </c>
      <c r="H366" s="37"/>
      <c r="I366" s="38">
        <f>137</f>
        <v>137</v>
      </c>
      <c r="J366" s="23"/>
      <c r="K366" s="39"/>
      <c r="L366" s="40"/>
      <c r="M366" s="41"/>
      <c r="N366" s="41"/>
      <c r="O366" s="41"/>
      <c r="P366" s="41"/>
      <c r="Q366" s="41"/>
      <c r="R366" s="23"/>
      <c r="XCY366"/>
      <c r="XCZ366"/>
      <c r="XDA366"/>
      <c r="XDB366"/>
      <c r="XDC366"/>
      <c r="XDD366"/>
      <c r="XDE366"/>
      <c r="XDF366"/>
      <c r="XDG366"/>
      <c r="XDH366"/>
      <c r="XDI366"/>
      <c r="XDJ366"/>
      <c r="XDK366"/>
      <c r="XDL366"/>
      <c r="XDM366"/>
      <c r="XDN366"/>
      <c r="XDO366"/>
      <c r="XDP366"/>
      <c r="XDQ366"/>
      <c r="XDR366"/>
      <c r="XDS366"/>
      <c r="XDT366"/>
      <c r="XDU366"/>
      <c r="XDV366"/>
      <c r="XDW366"/>
      <c r="XDX366"/>
      <c r="XDY366"/>
      <c r="XDZ366"/>
      <c r="XEA366"/>
      <c r="XEB366"/>
      <c r="XEC366"/>
      <c r="XED366"/>
      <c r="XEE366"/>
      <c r="XEF366"/>
      <c r="XEG366"/>
      <c r="XEH366"/>
      <c r="XEI366"/>
      <c r="XEJ366"/>
      <c r="XEK366"/>
      <c r="XEL366"/>
      <c r="XEM366"/>
      <c r="XEN366"/>
      <c r="XEO366"/>
      <c r="XEP366"/>
      <c r="XEQ366"/>
      <c r="XER366"/>
      <c r="XES366"/>
      <c r="XET366"/>
      <c r="XEU366"/>
      <c r="XEV366"/>
      <c r="XEW366"/>
      <c r="XEX366"/>
      <c r="XEY366"/>
      <c r="XEZ366"/>
      <c r="XFA366"/>
      <c r="XFB366"/>
      <c r="XFC366"/>
      <c r="XFD366"/>
    </row>
    <row r="367" spans="1:18 16327:16384" s="26" customFormat="1" ht="29.1" customHeight="1" outlineLevel="3" x14ac:dyDescent="0.25">
      <c r="A367" s="42" t="s">
        <v>636</v>
      </c>
      <c r="B367" s="43"/>
      <c r="C367" s="66" t="s">
        <v>446</v>
      </c>
      <c r="D367" s="66"/>
      <c r="E367" s="43" t="s">
        <v>34</v>
      </c>
      <c r="F367" s="44"/>
      <c r="G367" s="43" t="s">
        <v>65</v>
      </c>
      <c r="H367" s="45">
        <v>1.02</v>
      </c>
      <c r="I367" s="46">
        <f>139.74</f>
        <v>139.74</v>
      </c>
      <c r="J367" s="23"/>
      <c r="K367" s="47"/>
      <c r="L367" s="48"/>
      <c r="M367" s="49"/>
      <c r="N367" s="49">
        <f t="shared" si="12"/>
        <v>0</v>
      </c>
      <c r="O367" s="49"/>
      <c r="P367" s="49"/>
      <c r="Q367" s="49"/>
      <c r="R367" s="23"/>
      <c r="XCY367"/>
      <c r="XCZ367"/>
      <c r="XDA367"/>
      <c r="XDB367"/>
      <c r="XDC367"/>
      <c r="XDD367"/>
      <c r="XDE367"/>
      <c r="XDF367"/>
      <c r="XDG367"/>
      <c r="XDH367"/>
      <c r="XDI367"/>
      <c r="XDJ367"/>
      <c r="XDK367"/>
      <c r="XDL367"/>
      <c r="XDM367"/>
      <c r="XDN367"/>
      <c r="XDO367"/>
      <c r="XDP367"/>
      <c r="XDQ367"/>
      <c r="XDR367"/>
      <c r="XDS367"/>
      <c r="XDT367"/>
      <c r="XDU367"/>
      <c r="XDV367"/>
      <c r="XDW367"/>
      <c r="XDX367"/>
      <c r="XDY367"/>
      <c r="XDZ367"/>
      <c r="XEA367"/>
      <c r="XEB367"/>
      <c r="XEC367"/>
      <c r="XED367"/>
      <c r="XEE367"/>
      <c r="XEF367"/>
      <c r="XEG367"/>
      <c r="XEH367"/>
      <c r="XEI367"/>
      <c r="XEJ367"/>
      <c r="XEK367"/>
      <c r="XEL367"/>
      <c r="XEM367"/>
      <c r="XEN367"/>
      <c r="XEO367"/>
      <c r="XEP367"/>
      <c r="XEQ367"/>
      <c r="XER367"/>
      <c r="XES367"/>
      <c r="XET367"/>
      <c r="XEU367"/>
      <c r="XEV367"/>
      <c r="XEW367"/>
      <c r="XEX367"/>
      <c r="XEY367"/>
      <c r="XEZ367"/>
      <c r="XFA367"/>
      <c r="XFB367"/>
      <c r="XFC367"/>
      <c r="XFD367"/>
    </row>
    <row r="368" spans="1:18 16327:16384" s="26" customFormat="1" ht="29.1" customHeight="1" outlineLevel="2" x14ac:dyDescent="0.25">
      <c r="A368" s="34" t="s">
        <v>637</v>
      </c>
      <c r="B368" s="35"/>
      <c r="C368" s="65" t="s">
        <v>255</v>
      </c>
      <c r="D368" s="65"/>
      <c r="E368" s="35"/>
      <c r="F368" s="36"/>
      <c r="G368" s="35" t="s">
        <v>65</v>
      </c>
      <c r="H368" s="37"/>
      <c r="I368" s="38">
        <f>303</f>
        <v>303</v>
      </c>
      <c r="J368" s="23"/>
      <c r="K368" s="39"/>
      <c r="L368" s="40"/>
      <c r="M368" s="41"/>
      <c r="N368" s="41"/>
      <c r="O368" s="41"/>
      <c r="P368" s="41"/>
      <c r="Q368" s="41"/>
      <c r="R368" s="23"/>
      <c r="XCY368"/>
      <c r="XCZ368"/>
      <c r="XDA368"/>
      <c r="XDB368"/>
      <c r="XDC368"/>
      <c r="XDD368"/>
      <c r="XDE368"/>
      <c r="XDF368"/>
      <c r="XDG368"/>
      <c r="XDH368"/>
      <c r="XDI368"/>
      <c r="XDJ368"/>
      <c r="XDK368"/>
      <c r="XDL368"/>
      <c r="XDM368"/>
      <c r="XDN368"/>
      <c r="XDO368"/>
      <c r="XDP368"/>
      <c r="XDQ368"/>
      <c r="XDR368"/>
      <c r="XDS368"/>
      <c r="XDT368"/>
      <c r="XDU368"/>
      <c r="XDV368"/>
      <c r="XDW368"/>
      <c r="XDX368"/>
      <c r="XDY368"/>
      <c r="XDZ368"/>
      <c r="XEA368"/>
      <c r="XEB368"/>
      <c r="XEC368"/>
      <c r="XED368"/>
      <c r="XEE368"/>
      <c r="XEF368"/>
      <c r="XEG368"/>
      <c r="XEH368"/>
      <c r="XEI368"/>
      <c r="XEJ368"/>
      <c r="XEK368"/>
      <c r="XEL368"/>
      <c r="XEM368"/>
      <c r="XEN368"/>
      <c r="XEO368"/>
      <c r="XEP368"/>
      <c r="XEQ368"/>
      <c r="XER368"/>
      <c r="XES368"/>
      <c r="XET368"/>
      <c r="XEU368"/>
      <c r="XEV368"/>
      <c r="XEW368"/>
      <c r="XEX368"/>
      <c r="XEY368"/>
      <c r="XEZ368"/>
      <c r="XFA368"/>
      <c r="XFB368"/>
      <c r="XFC368"/>
      <c r="XFD368"/>
    </row>
    <row r="369" spans="1:18 16327:16384" s="26" customFormat="1" ht="29.1" customHeight="1" outlineLevel="3" x14ac:dyDescent="0.25">
      <c r="A369" s="42" t="s">
        <v>638</v>
      </c>
      <c r="B369" s="43"/>
      <c r="C369" s="66" t="s">
        <v>446</v>
      </c>
      <c r="D369" s="66"/>
      <c r="E369" s="43" t="s">
        <v>34</v>
      </c>
      <c r="F369" s="44"/>
      <c r="G369" s="43" t="s">
        <v>65</v>
      </c>
      <c r="H369" s="45">
        <v>1.02</v>
      </c>
      <c r="I369" s="46">
        <f>309.06</f>
        <v>309.06</v>
      </c>
      <c r="J369" s="23"/>
      <c r="K369" s="47"/>
      <c r="L369" s="48"/>
      <c r="M369" s="49"/>
      <c r="N369" s="49">
        <f t="shared" si="12"/>
        <v>0</v>
      </c>
      <c r="O369" s="49"/>
      <c r="P369" s="49"/>
      <c r="Q369" s="49"/>
      <c r="R369" s="23"/>
      <c r="XCY369"/>
      <c r="XCZ369"/>
      <c r="XDA369"/>
      <c r="XDB369"/>
      <c r="XDC369"/>
      <c r="XDD369"/>
      <c r="XDE369"/>
      <c r="XDF369"/>
      <c r="XDG369"/>
      <c r="XDH369"/>
      <c r="XDI369"/>
      <c r="XDJ369"/>
      <c r="XDK369"/>
      <c r="XDL369"/>
      <c r="XDM369"/>
      <c r="XDN369"/>
      <c r="XDO369"/>
      <c r="XDP369"/>
      <c r="XDQ369"/>
      <c r="XDR369"/>
      <c r="XDS369"/>
      <c r="XDT369"/>
      <c r="XDU369"/>
      <c r="XDV369"/>
      <c r="XDW369"/>
      <c r="XDX369"/>
      <c r="XDY369"/>
      <c r="XDZ369"/>
      <c r="XEA369"/>
      <c r="XEB369"/>
      <c r="XEC369"/>
      <c r="XED369"/>
      <c r="XEE369"/>
      <c r="XEF369"/>
      <c r="XEG369"/>
      <c r="XEH369"/>
      <c r="XEI369"/>
      <c r="XEJ369"/>
      <c r="XEK369"/>
      <c r="XEL369"/>
      <c r="XEM369"/>
      <c r="XEN369"/>
      <c r="XEO369"/>
      <c r="XEP369"/>
      <c r="XEQ369"/>
      <c r="XER369"/>
      <c r="XES369"/>
      <c r="XET369"/>
      <c r="XEU369"/>
      <c r="XEV369"/>
      <c r="XEW369"/>
      <c r="XEX369"/>
      <c r="XEY369"/>
      <c r="XEZ369"/>
      <c r="XFA369"/>
      <c r="XFB369"/>
      <c r="XFC369"/>
      <c r="XFD369"/>
    </row>
    <row r="370" spans="1:18 16327:16384" s="26" customFormat="1" ht="29.1" customHeight="1" outlineLevel="2" x14ac:dyDescent="0.25">
      <c r="A370" s="34" t="s">
        <v>639</v>
      </c>
      <c r="B370" s="35"/>
      <c r="C370" s="65" t="s">
        <v>69</v>
      </c>
      <c r="D370" s="65"/>
      <c r="E370" s="35"/>
      <c r="F370" s="36"/>
      <c r="G370" s="35" t="s">
        <v>65</v>
      </c>
      <c r="H370" s="37"/>
      <c r="I370" s="38">
        <f>175</f>
        <v>175</v>
      </c>
      <c r="J370" s="23"/>
      <c r="K370" s="39"/>
      <c r="L370" s="40"/>
      <c r="M370" s="41"/>
      <c r="N370" s="41"/>
      <c r="O370" s="41"/>
      <c r="P370" s="41"/>
      <c r="Q370" s="41"/>
      <c r="R370" s="23"/>
      <c r="XCY370"/>
      <c r="XCZ370"/>
      <c r="XDA370"/>
      <c r="XDB370"/>
      <c r="XDC370"/>
      <c r="XDD370"/>
      <c r="XDE370"/>
      <c r="XDF370"/>
      <c r="XDG370"/>
      <c r="XDH370"/>
      <c r="XDI370"/>
      <c r="XDJ370"/>
      <c r="XDK370"/>
      <c r="XDL370"/>
      <c r="XDM370"/>
      <c r="XDN370"/>
      <c r="XDO370"/>
      <c r="XDP370"/>
      <c r="XDQ370"/>
      <c r="XDR370"/>
      <c r="XDS370"/>
      <c r="XDT370"/>
      <c r="XDU370"/>
      <c r="XDV370"/>
      <c r="XDW370"/>
      <c r="XDX370"/>
      <c r="XDY370"/>
      <c r="XDZ370"/>
      <c r="XEA370"/>
      <c r="XEB370"/>
      <c r="XEC370"/>
      <c r="XED370"/>
      <c r="XEE370"/>
      <c r="XEF370"/>
      <c r="XEG370"/>
      <c r="XEH370"/>
      <c r="XEI370"/>
      <c r="XEJ370"/>
      <c r="XEK370"/>
      <c r="XEL370"/>
      <c r="XEM370"/>
      <c r="XEN370"/>
      <c r="XEO370"/>
      <c r="XEP370"/>
      <c r="XEQ370"/>
      <c r="XER370"/>
      <c r="XES370"/>
      <c r="XET370"/>
      <c r="XEU370"/>
      <c r="XEV370"/>
      <c r="XEW370"/>
      <c r="XEX370"/>
      <c r="XEY370"/>
      <c r="XEZ370"/>
      <c r="XFA370"/>
      <c r="XFB370"/>
      <c r="XFC370"/>
      <c r="XFD370"/>
    </row>
    <row r="371" spans="1:18 16327:16384" s="26" customFormat="1" ht="29.1" customHeight="1" outlineLevel="3" x14ac:dyDescent="0.25">
      <c r="A371" s="42" t="s">
        <v>640</v>
      </c>
      <c r="B371" s="43"/>
      <c r="C371" s="66" t="s">
        <v>641</v>
      </c>
      <c r="D371" s="66"/>
      <c r="E371" s="43" t="s">
        <v>34</v>
      </c>
      <c r="F371" s="44"/>
      <c r="G371" s="43" t="s">
        <v>65</v>
      </c>
      <c r="H371" s="45">
        <v>1.02</v>
      </c>
      <c r="I371" s="46">
        <f>178.5</f>
        <v>178.5</v>
      </c>
      <c r="J371" s="23"/>
      <c r="K371" s="47"/>
      <c r="L371" s="48"/>
      <c r="M371" s="49"/>
      <c r="N371" s="49">
        <f t="shared" si="12"/>
        <v>0</v>
      </c>
      <c r="O371" s="49"/>
      <c r="P371" s="49"/>
      <c r="Q371" s="49"/>
      <c r="R371" s="23"/>
      <c r="XCY371"/>
      <c r="XCZ371"/>
      <c r="XDA371"/>
      <c r="XDB371"/>
      <c r="XDC371"/>
      <c r="XDD371"/>
      <c r="XDE371"/>
      <c r="XDF371"/>
      <c r="XDG371"/>
      <c r="XDH371"/>
      <c r="XDI371"/>
      <c r="XDJ371"/>
      <c r="XDK371"/>
      <c r="XDL371"/>
      <c r="XDM371"/>
      <c r="XDN371"/>
      <c r="XDO371"/>
      <c r="XDP371"/>
      <c r="XDQ371"/>
      <c r="XDR371"/>
      <c r="XDS371"/>
      <c r="XDT371"/>
      <c r="XDU371"/>
      <c r="XDV371"/>
      <c r="XDW371"/>
      <c r="XDX371"/>
      <c r="XDY371"/>
      <c r="XDZ371"/>
      <c r="XEA371"/>
      <c r="XEB371"/>
      <c r="XEC371"/>
      <c r="XED371"/>
      <c r="XEE371"/>
      <c r="XEF371"/>
      <c r="XEG371"/>
      <c r="XEH371"/>
      <c r="XEI371"/>
      <c r="XEJ371"/>
      <c r="XEK371"/>
      <c r="XEL371"/>
      <c r="XEM371"/>
      <c r="XEN371"/>
      <c r="XEO371"/>
      <c r="XEP371"/>
      <c r="XEQ371"/>
      <c r="XER371"/>
      <c r="XES371"/>
      <c r="XET371"/>
      <c r="XEU371"/>
      <c r="XEV371"/>
      <c r="XEW371"/>
      <c r="XEX371"/>
      <c r="XEY371"/>
      <c r="XEZ371"/>
      <c r="XFA371"/>
      <c r="XFB371"/>
      <c r="XFC371"/>
      <c r="XFD371"/>
    </row>
    <row r="372" spans="1:18 16327:16384" s="26" customFormat="1" ht="29.1" customHeight="1" outlineLevel="2" x14ac:dyDescent="0.25">
      <c r="A372" s="34" t="s">
        <v>642</v>
      </c>
      <c r="B372" s="35"/>
      <c r="C372" s="65" t="s">
        <v>64</v>
      </c>
      <c r="D372" s="65"/>
      <c r="E372" s="35"/>
      <c r="F372" s="36"/>
      <c r="G372" s="35" t="s">
        <v>65</v>
      </c>
      <c r="H372" s="37"/>
      <c r="I372" s="38">
        <f>148</f>
        <v>148</v>
      </c>
      <c r="J372" s="23"/>
      <c r="K372" s="39"/>
      <c r="L372" s="40"/>
      <c r="M372" s="41"/>
      <c r="N372" s="41"/>
      <c r="O372" s="41"/>
      <c r="P372" s="41"/>
      <c r="Q372" s="41"/>
      <c r="R372" s="23"/>
      <c r="XCY372"/>
      <c r="XCZ372"/>
      <c r="XDA372"/>
      <c r="XDB372"/>
      <c r="XDC372"/>
      <c r="XDD372"/>
      <c r="XDE372"/>
      <c r="XDF372"/>
      <c r="XDG372"/>
      <c r="XDH372"/>
      <c r="XDI372"/>
      <c r="XDJ372"/>
      <c r="XDK372"/>
      <c r="XDL372"/>
      <c r="XDM372"/>
      <c r="XDN372"/>
      <c r="XDO372"/>
      <c r="XDP372"/>
      <c r="XDQ372"/>
      <c r="XDR372"/>
      <c r="XDS372"/>
      <c r="XDT372"/>
      <c r="XDU372"/>
      <c r="XDV372"/>
      <c r="XDW372"/>
      <c r="XDX372"/>
      <c r="XDY372"/>
      <c r="XDZ372"/>
      <c r="XEA372"/>
      <c r="XEB372"/>
      <c r="XEC372"/>
      <c r="XED372"/>
      <c r="XEE372"/>
      <c r="XEF372"/>
      <c r="XEG372"/>
      <c r="XEH372"/>
      <c r="XEI372"/>
      <c r="XEJ372"/>
      <c r="XEK372"/>
      <c r="XEL372"/>
      <c r="XEM372"/>
      <c r="XEN372"/>
      <c r="XEO372"/>
      <c r="XEP372"/>
      <c r="XEQ372"/>
      <c r="XER372"/>
      <c r="XES372"/>
      <c r="XET372"/>
      <c r="XEU372"/>
      <c r="XEV372"/>
      <c r="XEW372"/>
      <c r="XEX372"/>
      <c r="XEY372"/>
      <c r="XEZ372"/>
      <c r="XFA372"/>
      <c r="XFB372"/>
      <c r="XFC372"/>
      <c r="XFD372"/>
    </row>
    <row r="373" spans="1:18 16327:16384" s="26" customFormat="1" ht="29.1" customHeight="1" outlineLevel="3" x14ac:dyDescent="0.25">
      <c r="A373" s="42" t="s">
        <v>643</v>
      </c>
      <c r="B373" s="43"/>
      <c r="C373" s="66" t="s">
        <v>644</v>
      </c>
      <c r="D373" s="66"/>
      <c r="E373" s="43" t="s">
        <v>34</v>
      </c>
      <c r="F373" s="44"/>
      <c r="G373" s="43" t="s">
        <v>65</v>
      </c>
      <c r="H373" s="45">
        <v>1.02</v>
      </c>
      <c r="I373" s="46">
        <f>150.96</f>
        <v>150.96</v>
      </c>
      <c r="J373" s="23"/>
      <c r="K373" s="47"/>
      <c r="L373" s="48"/>
      <c r="M373" s="49"/>
      <c r="N373" s="49">
        <f t="shared" si="12"/>
        <v>0</v>
      </c>
      <c r="O373" s="49"/>
      <c r="P373" s="49"/>
      <c r="Q373" s="49"/>
      <c r="R373" s="23"/>
      <c r="XCY373"/>
      <c r="XCZ373"/>
      <c r="XDA373"/>
      <c r="XDB373"/>
      <c r="XDC373"/>
      <c r="XDD373"/>
      <c r="XDE373"/>
      <c r="XDF373"/>
      <c r="XDG373"/>
      <c r="XDH373"/>
      <c r="XDI373"/>
      <c r="XDJ373"/>
      <c r="XDK373"/>
      <c r="XDL373"/>
      <c r="XDM373"/>
      <c r="XDN373"/>
      <c r="XDO373"/>
      <c r="XDP373"/>
      <c r="XDQ373"/>
      <c r="XDR373"/>
      <c r="XDS373"/>
      <c r="XDT373"/>
      <c r="XDU373"/>
      <c r="XDV373"/>
      <c r="XDW373"/>
      <c r="XDX373"/>
      <c r="XDY373"/>
      <c r="XDZ373"/>
      <c r="XEA373"/>
      <c r="XEB373"/>
      <c r="XEC373"/>
      <c r="XED373"/>
      <c r="XEE373"/>
      <c r="XEF373"/>
      <c r="XEG373"/>
      <c r="XEH373"/>
      <c r="XEI373"/>
      <c r="XEJ373"/>
      <c r="XEK373"/>
      <c r="XEL373"/>
      <c r="XEM373"/>
      <c r="XEN373"/>
      <c r="XEO373"/>
      <c r="XEP373"/>
      <c r="XEQ373"/>
      <c r="XER373"/>
      <c r="XES373"/>
      <c r="XET373"/>
      <c r="XEU373"/>
      <c r="XEV373"/>
      <c r="XEW373"/>
      <c r="XEX373"/>
      <c r="XEY373"/>
      <c r="XEZ373"/>
      <c r="XFA373"/>
      <c r="XFB373"/>
      <c r="XFC373"/>
      <c r="XFD373"/>
    </row>
    <row r="374" spans="1:18 16327:16384" s="26" customFormat="1" ht="29.1" customHeight="1" outlineLevel="2" x14ac:dyDescent="0.25">
      <c r="A374" s="34" t="s">
        <v>645</v>
      </c>
      <c r="B374" s="35"/>
      <c r="C374" s="65" t="s">
        <v>255</v>
      </c>
      <c r="D374" s="65"/>
      <c r="E374" s="35"/>
      <c r="F374" s="36"/>
      <c r="G374" s="35" t="s">
        <v>65</v>
      </c>
      <c r="H374" s="37"/>
      <c r="I374" s="38">
        <f>225</f>
        <v>225</v>
      </c>
      <c r="J374" s="23"/>
      <c r="K374" s="39"/>
      <c r="L374" s="40"/>
      <c r="M374" s="41"/>
      <c r="N374" s="41"/>
      <c r="O374" s="41"/>
      <c r="P374" s="41"/>
      <c r="Q374" s="41"/>
      <c r="R374" s="23"/>
      <c r="XCY374"/>
      <c r="XCZ374"/>
      <c r="XDA374"/>
      <c r="XDB374"/>
      <c r="XDC374"/>
      <c r="XDD374"/>
      <c r="XDE374"/>
      <c r="XDF374"/>
      <c r="XDG374"/>
      <c r="XDH374"/>
      <c r="XDI374"/>
      <c r="XDJ374"/>
      <c r="XDK374"/>
      <c r="XDL374"/>
      <c r="XDM374"/>
      <c r="XDN374"/>
      <c r="XDO374"/>
      <c r="XDP374"/>
      <c r="XDQ374"/>
      <c r="XDR374"/>
      <c r="XDS374"/>
      <c r="XDT374"/>
      <c r="XDU374"/>
      <c r="XDV374"/>
      <c r="XDW374"/>
      <c r="XDX374"/>
      <c r="XDY374"/>
      <c r="XDZ374"/>
      <c r="XEA374"/>
      <c r="XEB374"/>
      <c r="XEC374"/>
      <c r="XED374"/>
      <c r="XEE374"/>
      <c r="XEF374"/>
      <c r="XEG374"/>
      <c r="XEH374"/>
      <c r="XEI374"/>
      <c r="XEJ374"/>
      <c r="XEK374"/>
      <c r="XEL374"/>
      <c r="XEM374"/>
      <c r="XEN374"/>
      <c r="XEO374"/>
      <c r="XEP374"/>
      <c r="XEQ374"/>
      <c r="XER374"/>
      <c r="XES374"/>
      <c r="XET374"/>
      <c r="XEU374"/>
      <c r="XEV374"/>
      <c r="XEW374"/>
      <c r="XEX374"/>
      <c r="XEY374"/>
      <c r="XEZ374"/>
      <c r="XFA374"/>
      <c r="XFB374"/>
      <c r="XFC374"/>
      <c r="XFD374"/>
    </row>
    <row r="375" spans="1:18 16327:16384" s="26" customFormat="1" ht="29.1" customHeight="1" outlineLevel="3" x14ac:dyDescent="0.25">
      <c r="A375" s="42" t="s">
        <v>646</v>
      </c>
      <c r="B375" s="43"/>
      <c r="C375" s="66" t="s">
        <v>644</v>
      </c>
      <c r="D375" s="66"/>
      <c r="E375" s="43" t="s">
        <v>34</v>
      </c>
      <c r="F375" s="44"/>
      <c r="G375" s="43" t="s">
        <v>65</v>
      </c>
      <c r="H375" s="45">
        <v>1.02</v>
      </c>
      <c r="I375" s="46">
        <f>229.5</f>
        <v>229.5</v>
      </c>
      <c r="J375" s="23"/>
      <c r="K375" s="47"/>
      <c r="L375" s="48"/>
      <c r="M375" s="49"/>
      <c r="N375" s="49">
        <f t="shared" si="12"/>
        <v>0</v>
      </c>
      <c r="O375" s="49"/>
      <c r="P375" s="49"/>
      <c r="Q375" s="49"/>
      <c r="R375" s="23"/>
      <c r="XCY375"/>
      <c r="XCZ375"/>
      <c r="XDA375"/>
      <c r="XDB375"/>
      <c r="XDC375"/>
      <c r="XDD375"/>
      <c r="XDE375"/>
      <c r="XDF375"/>
      <c r="XDG375"/>
      <c r="XDH375"/>
      <c r="XDI375"/>
      <c r="XDJ375"/>
      <c r="XDK375"/>
      <c r="XDL375"/>
      <c r="XDM375"/>
      <c r="XDN375"/>
      <c r="XDO375"/>
      <c r="XDP375"/>
      <c r="XDQ375"/>
      <c r="XDR375"/>
      <c r="XDS375"/>
      <c r="XDT375"/>
      <c r="XDU375"/>
      <c r="XDV375"/>
      <c r="XDW375"/>
      <c r="XDX375"/>
      <c r="XDY375"/>
      <c r="XDZ375"/>
      <c r="XEA375"/>
      <c r="XEB375"/>
      <c r="XEC375"/>
      <c r="XED375"/>
      <c r="XEE375"/>
      <c r="XEF375"/>
      <c r="XEG375"/>
      <c r="XEH375"/>
      <c r="XEI375"/>
      <c r="XEJ375"/>
      <c r="XEK375"/>
      <c r="XEL375"/>
      <c r="XEM375"/>
      <c r="XEN375"/>
      <c r="XEO375"/>
      <c r="XEP375"/>
      <c r="XEQ375"/>
      <c r="XER375"/>
      <c r="XES375"/>
      <c r="XET375"/>
      <c r="XEU375"/>
      <c r="XEV375"/>
      <c r="XEW375"/>
      <c r="XEX375"/>
      <c r="XEY375"/>
      <c r="XEZ375"/>
      <c r="XFA375"/>
      <c r="XFB375"/>
      <c r="XFC375"/>
      <c r="XFD375"/>
    </row>
    <row r="376" spans="1:18 16327:16384" s="26" customFormat="1" ht="29.1" customHeight="1" outlineLevel="2" x14ac:dyDescent="0.25">
      <c r="A376" s="34" t="s">
        <v>647</v>
      </c>
      <c r="B376" s="35"/>
      <c r="C376" s="65" t="s">
        <v>69</v>
      </c>
      <c r="D376" s="65"/>
      <c r="E376" s="35"/>
      <c r="F376" s="36"/>
      <c r="G376" s="35" t="s">
        <v>65</v>
      </c>
      <c r="H376" s="37"/>
      <c r="I376" s="38">
        <f>39</f>
        <v>39</v>
      </c>
      <c r="J376" s="23"/>
      <c r="K376" s="39"/>
      <c r="L376" s="40"/>
      <c r="M376" s="41"/>
      <c r="N376" s="41"/>
      <c r="O376" s="41"/>
      <c r="P376" s="41"/>
      <c r="Q376" s="41"/>
      <c r="R376" s="23"/>
      <c r="XCY376"/>
      <c r="XCZ376"/>
      <c r="XDA376"/>
      <c r="XDB376"/>
      <c r="XDC376"/>
      <c r="XDD376"/>
      <c r="XDE376"/>
      <c r="XDF376"/>
      <c r="XDG376"/>
      <c r="XDH376"/>
      <c r="XDI376"/>
      <c r="XDJ376"/>
      <c r="XDK376"/>
      <c r="XDL376"/>
      <c r="XDM376"/>
      <c r="XDN376"/>
      <c r="XDO376"/>
      <c r="XDP376"/>
      <c r="XDQ376"/>
      <c r="XDR376"/>
      <c r="XDS376"/>
      <c r="XDT376"/>
      <c r="XDU376"/>
      <c r="XDV376"/>
      <c r="XDW376"/>
      <c r="XDX376"/>
      <c r="XDY376"/>
      <c r="XDZ376"/>
      <c r="XEA376"/>
      <c r="XEB376"/>
      <c r="XEC376"/>
      <c r="XED376"/>
      <c r="XEE376"/>
      <c r="XEF376"/>
      <c r="XEG376"/>
      <c r="XEH376"/>
      <c r="XEI376"/>
      <c r="XEJ376"/>
      <c r="XEK376"/>
      <c r="XEL376"/>
      <c r="XEM376"/>
      <c r="XEN376"/>
      <c r="XEO376"/>
      <c r="XEP376"/>
      <c r="XEQ376"/>
      <c r="XER376"/>
      <c r="XES376"/>
      <c r="XET376"/>
      <c r="XEU376"/>
      <c r="XEV376"/>
      <c r="XEW376"/>
      <c r="XEX376"/>
      <c r="XEY376"/>
      <c r="XEZ376"/>
      <c r="XFA376"/>
      <c r="XFB376"/>
      <c r="XFC376"/>
      <c r="XFD376"/>
    </row>
    <row r="377" spans="1:18 16327:16384" s="26" customFormat="1" ht="29.1" customHeight="1" outlineLevel="3" x14ac:dyDescent="0.25">
      <c r="A377" s="42" t="s">
        <v>648</v>
      </c>
      <c r="B377" s="43"/>
      <c r="C377" s="66" t="s">
        <v>649</v>
      </c>
      <c r="D377" s="66"/>
      <c r="E377" s="43" t="s">
        <v>34</v>
      </c>
      <c r="F377" s="44"/>
      <c r="G377" s="43" t="s">
        <v>65</v>
      </c>
      <c r="H377" s="45">
        <v>1.02</v>
      </c>
      <c r="I377" s="46">
        <f>39.78</f>
        <v>39.78</v>
      </c>
      <c r="J377" s="23"/>
      <c r="K377" s="47"/>
      <c r="L377" s="48"/>
      <c r="M377" s="49"/>
      <c r="N377" s="49">
        <f t="shared" si="12"/>
        <v>0</v>
      </c>
      <c r="O377" s="49"/>
      <c r="P377" s="49"/>
      <c r="Q377" s="49"/>
      <c r="R377" s="23"/>
      <c r="XCY377"/>
      <c r="XCZ377"/>
      <c r="XDA377"/>
      <c r="XDB377"/>
      <c r="XDC377"/>
      <c r="XDD377"/>
      <c r="XDE377"/>
      <c r="XDF377"/>
      <c r="XDG377"/>
      <c r="XDH377"/>
      <c r="XDI377"/>
      <c r="XDJ377"/>
      <c r="XDK377"/>
      <c r="XDL377"/>
      <c r="XDM377"/>
      <c r="XDN377"/>
      <c r="XDO377"/>
      <c r="XDP377"/>
      <c r="XDQ377"/>
      <c r="XDR377"/>
      <c r="XDS377"/>
      <c r="XDT377"/>
      <c r="XDU377"/>
      <c r="XDV377"/>
      <c r="XDW377"/>
      <c r="XDX377"/>
      <c r="XDY377"/>
      <c r="XDZ377"/>
      <c r="XEA377"/>
      <c r="XEB377"/>
      <c r="XEC377"/>
      <c r="XED377"/>
      <c r="XEE377"/>
      <c r="XEF377"/>
      <c r="XEG377"/>
      <c r="XEH377"/>
      <c r="XEI377"/>
      <c r="XEJ377"/>
      <c r="XEK377"/>
      <c r="XEL377"/>
      <c r="XEM377"/>
      <c r="XEN377"/>
      <c r="XEO377"/>
      <c r="XEP377"/>
      <c r="XEQ377"/>
      <c r="XER377"/>
      <c r="XES377"/>
      <c r="XET377"/>
      <c r="XEU377"/>
      <c r="XEV377"/>
      <c r="XEW377"/>
      <c r="XEX377"/>
      <c r="XEY377"/>
      <c r="XEZ377"/>
      <c r="XFA377"/>
      <c r="XFB377"/>
      <c r="XFC377"/>
      <c r="XFD377"/>
    </row>
    <row r="378" spans="1:18 16327:16384" s="26" customFormat="1" ht="29.1" customHeight="1" outlineLevel="2" x14ac:dyDescent="0.25">
      <c r="A378" s="34" t="s">
        <v>650</v>
      </c>
      <c r="B378" s="35"/>
      <c r="C378" s="65" t="s">
        <v>64</v>
      </c>
      <c r="D378" s="65"/>
      <c r="E378" s="35"/>
      <c r="F378" s="36"/>
      <c r="G378" s="35" t="s">
        <v>65</v>
      </c>
      <c r="H378" s="37"/>
      <c r="I378" s="38">
        <f>94</f>
        <v>94</v>
      </c>
      <c r="J378" s="23"/>
      <c r="K378" s="39"/>
      <c r="L378" s="40"/>
      <c r="M378" s="41"/>
      <c r="N378" s="41"/>
      <c r="O378" s="41"/>
      <c r="P378" s="41"/>
      <c r="Q378" s="41"/>
      <c r="R378" s="23"/>
      <c r="XCY378"/>
      <c r="XCZ378"/>
      <c r="XDA378"/>
      <c r="XDB378"/>
      <c r="XDC378"/>
      <c r="XDD378"/>
      <c r="XDE378"/>
      <c r="XDF378"/>
      <c r="XDG378"/>
      <c r="XDH378"/>
      <c r="XDI378"/>
      <c r="XDJ378"/>
      <c r="XDK378"/>
      <c r="XDL378"/>
      <c r="XDM378"/>
      <c r="XDN378"/>
      <c r="XDO378"/>
      <c r="XDP378"/>
      <c r="XDQ378"/>
      <c r="XDR378"/>
      <c r="XDS378"/>
      <c r="XDT378"/>
      <c r="XDU378"/>
      <c r="XDV378"/>
      <c r="XDW378"/>
      <c r="XDX378"/>
      <c r="XDY378"/>
      <c r="XDZ378"/>
      <c r="XEA378"/>
      <c r="XEB378"/>
      <c r="XEC378"/>
      <c r="XED378"/>
      <c r="XEE378"/>
      <c r="XEF378"/>
      <c r="XEG378"/>
      <c r="XEH378"/>
      <c r="XEI378"/>
      <c r="XEJ378"/>
      <c r="XEK378"/>
      <c r="XEL378"/>
      <c r="XEM378"/>
      <c r="XEN378"/>
      <c r="XEO378"/>
      <c r="XEP378"/>
      <c r="XEQ378"/>
      <c r="XER378"/>
      <c r="XES378"/>
      <c r="XET378"/>
      <c r="XEU378"/>
      <c r="XEV378"/>
      <c r="XEW378"/>
      <c r="XEX378"/>
      <c r="XEY378"/>
      <c r="XEZ378"/>
      <c r="XFA378"/>
      <c r="XFB378"/>
      <c r="XFC378"/>
      <c r="XFD378"/>
    </row>
    <row r="379" spans="1:18 16327:16384" s="26" customFormat="1" ht="29.1" customHeight="1" outlineLevel="3" x14ac:dyDescent="0.25">
      <c r="A379" s="42" t="s">
        <v>651</v>
      </c>
      <c r="B379" s="43"/>
      <c r="C379" s="66" t="s">
        <v>652</v>
      </c>
      <c r="D379" s="66"/>
      <c r="E379" s="43" t="s">
        <v>34</v>
      </c>
      <c r="F379" s="44"/>
      <c r="G379" s="43" t="s">
        <v>65</v>
      </c>
      <c r="H379" s="45">
        <v>1.02</v>
      </c>
      <c r="I379" s="46">
        <f>95.88</f>
        <v>95.88</v>
      </c>
      <c r="J379" s="23"/>
      <c r="K379" s="47"/>
      <c r="L379" s="48"/>
      <c r="M379" s="49"/>
      <c r="N379" s="49">
        <f t="shared" si="12"/>
        <v>0</v>
      </c>
      <c r="O379" s="49"/>
      <c r="P379" s="49"/>
      <c r="Q379" s="49"/>
      <c r="R379" s="23"/>
      <c r="XCY379"/>
      <c r="XCZ379"/>
      <c r="XDA379"/>
      <c r="XDB379"/>
      <c r="XDC379"/>
      <c r="XDD379"/>
      <c r="XDE379"/>
      <c r="XDF379"/>
      <c r="XDG379"/>
      <c r="XDH379"/>
      <c r="XDI379"/>
      <c r="XDJ379"/>
      <c r="XDK379"/>
      <c r="XDL379"/>
      <c r="XDM379"/>
      <c r="XDN379"/>
      <c r="XDO379"/>
      <c r="XDP379"/>
      <c r="XDQ379"/>
      <c r="XDR379"/>
      <c r="XDS379"/>
      <c r="XDT379"/>
      <c r="XDU379"/>
      <c r="XDV379"/>
      <c r="XDW379"/>
      <c r="XDX379"/>
      <c r="XDY379"/>
      <c r="XDZ379"/>
      <c r="XEA379"/>
      <c r="XEB379"/>
      <c r="XEC379"/>
      <c r="XED379"/>
      <c r="XEE379"/>
      <c r="XEF379"/>
      <c r="XEG379"/>
      <c r="XEH379"/>
      <c r="XEI379"/>
      <c r="XEJ379"/>
      <c r="XEK379"/>
      <c r="XEL379"/>
      <c r="XEM379"/>
      <c r="XEN379"/>
      <c r="XEO379"/>
      <c r="XEP379"/>
      <c r="XEQ379"/>
      <c r="XER379"/>
      <c r="XES379"/>
      <c r="XET379"/>
      <c r="XEU379"/>
      <c r="XEV379"/>
      <c r="XEW379"/>
      <c r="XEX379"/>
      <c r="XEY379"/>
      <c r="XEZ379"/>
      <c r="XFA379"/>
      <c r="XFB379"/>
      <c r="XFC379"/>
      <c r="XFD379"/>
    </row>
    <row r="380" spans="1:18 16327:16384" s="26" customFormat="1" ht="29.1" customHeight="1" outlineLevel="2" x14ac:dyDescent="0.25">
      <c r="A380" s="34" t="s">
        <v>653</v>
      </c>
      <c r="B380" s="35"/>
      <c r="C380" s="65" t="s">
        <v>255</v>
      </c>
      <c r="D380" s="65"/>
      <c r="E380" s="35"/>
      <c r="F380" s="36"/>
      <c r="G380" s="35" t="s">
        <v>65</v>
      </c>
      <c r="H380" s="37"/>
      <c r="I380" s="38">
        <f>30</f>
        <v>30</v>
      </c>
      <c r="J380" s="23"/>
      <c r="K380" s="39"/>
      <c r="L380" s="40"/>
      <c r="M380" s="41"/>
      <c r="N380" s="41"/>
      <c r="O380" s="41"/>
      <c r="P380" s="41"/>
      <c r="Q380" s="41"/>
      <c r="R380" s="23"/>
      <c r="XCY380"/>
      <c r="XCZ380"/>
      <c r="XDA380"/>
      <c r="XDB380"/>
      <c r="XDC380"/>
      <c r="XDD380"/>
      <c r="XDE380"/>
      <c r="XDF380"/>
      <c r="XDG380"/>
      <c r="XDH380"/>
      <c r="XDI380"/>
      <c r="XDJ380"/>
      <c r="XDK380"/>
      <c r="XDL380"/>
      <c r="XDM380"/>
      <c r="XDN380"/>
      <c r="XDO380"/>
      <c r="XDP380"/>
      <c r="XDQ380"/>
      <c r="XDR380"/>
      <c r="XDS380"/>
      <c r="XDT380"/>
      <c r="XDU380"/>
      <c r="XDV380"/>
      <c r="XDW380"/>
      <c r="XDX380"/>
      <c r="XDY380"/>
      <c r="XDZ380"/>
      <c r="XEA380"/>
      <c r="XEB380"/>
      <c r="XEC380"/>
      <c r="XED380"/>
      <c r="XEE380"/>
      <c r="XEF380"/>
      <c r="XEG380"/>
      <c r="XEH380"/>
      <c r="XEI380"/>
      <c r="XEJ380"/>
      <c r="XEK380"/>
      <c r="XEL380"/>
      <c r="XEM380"/>
      <c r="XEN380"/>
      <c r="XEO380"/>
      <c r="XEP380"/>
      <c r="XEQ380"/>
      <c r="XER380"/>
      <c r="XES380"/>
      <c r="XET380"/>
      <c r="XEU380"/>
      <c r="XEV380"/>
      <c r="XEW380"/>
      <c r="XEX380"/>
      <c r="XEY380"/>
      <c r="XEZ380"/>
      <c r="XFA380"/>
      <c r="XFB380"/>
      <c r="XFC380"/>
      <c r="XFD380"/>
    </row>
    <row r="381" spans="1:18 16327:16384" s="26" customFormat="1" ht="29.1" customHeight="1" outlineLevel="3" x14ac:dyDescent="0.25">
      <c r="A381" s="42" t="s">
        <v>654</v>
      </c>
      <c r="B381" s="43"/>
      <c r="C381" s="66" t="s">
        <v>652</v>
      </c>
      <c r="D381" s="66"/>
      <c r="E381" s="43" t="s">
        <v>34</v>
      </c>
      <c r="F381" s="44"/>
      <c r="G381" s="43" t="s">
        <v>65</v>
      </c>
      <c r="H381" s="45">
        <v>1.02</v>
      </c>
      <c r="I381" s="46">
        <f>30.6</f>
        <v>30.6</v>
      </c>
      <c r="J381" s="23"/>
      <c r="K381" s="47"/>
      <c r="L381" s="48"/>
      <c r="M381" s="49"/>
      <c r="N381" s="49">
        <f t="shared" si="12"/>
        <v>0</v>
      </c>
      <c r="O381" s="49"/>
      <c r="P381" s="49"/>
      <c r="Q381" s="49"/>
      <c r="R381" s="23"/>
      <c r="XCY381"/>
      <c r="XCZ381"/>
      <c r="XDA381"/>
      <c r="XDB381"/>
      <c r="XDC381"/>
      <c r="XDD381"/>
      <c r="XDE381"/>
      <c r="XDF381"/>
      <c r="XDG381"/>
      <c r="XDH381"/>
      <c r="XDI381"/>
      <c r="XDJ381"/>
      <c r="XDK381"/>
      <c r="XDL381"/>
      <c r="XDM381"/>
      <c r="XDN381"/>
      <c r="XDO381"/>
      <c r="XDP381"/>
      <c r="XDQ381"/>
      <c r="XDR381"/>
      <c r="XDS381"/>
      <c r="XDT381"/>
      <c r="XDU381"/>
      <c r="XDV381"/>
      <c r="XDW381"/>
      <c r="XDX381"/>
      <c r="XDY381"/>
      <c r="XDZ381"/>
      <c r="XEA381"/>
      <c r="XEB381"/>
      <c r="XEC381"/>
      <c r="XED381"/>
      <c r="XEE381"/>
      <c r="XEF381"/>
      <c r="XEG381"/>
      <c r="XEH381"/>
      <c r="XEI381"/>
      <c r="XEJ381"/>
      <c r="XEK381"/>
      <c r="XEL381"/>
      <c r="XEM381"/>
      <c r="XEN381"/>
      <c r="XEO381"/>
      <c r="XEP381"/>
      <c r="XEQ381"/>
      <c r="XER381"/>
      <c r="XES381"/>
      <c r="XET381"/>
      <c r="XEU381"/>
      <c r="XEV381"/>
      <c r="XEW381"/>
      <c r="XEX381"/>
      <c r="XEY381"/>
      <c r="XEZ381"/>
      <c r="XFA381"/>
      <c r="XFB381"/>
      <c r="XFC381"/>
      <c r="XFD381"/>
    </row>
    <row r="382" spans="1:18 16327:16384" s="26" customFormat="1" ht="29.1" customHeight="1" outlineLevel="2" x14ac:dyDescent="0.25">
      <c r="A382" s="34" t="s">
        <v>655</v>
      </c>
      <c r="B382" s="35"/>
      <c r="C382" s="65" t="s">
        <v>69</v>
      </c>
      <c r="D382" s="65"/>
      <c r="E382" s="35"/>
      <c r="F382" s="36"/>
      <c r="G382" s="35" t="s">
        <v>65</v>
      </c>
      <c r="H382" s="37"/>
      <c r="I382" s="38">
        <f>106</f>
        <v>106</v>
      </c>
      <c r="J382" s="23"/>
      <c r="K382" s="39"/>
      <c r="L382" s="40"/>
      <c r="M382" s="41"/>
      <c r="N382" s="41"/>
      <c r="O382" s="41"/>
      <c r="P382" s="41"/>
      <c r="Q382" s="41"/>
      <c r="R382" s="23"/>
      <c r="XCY382"/>
      <c r="XCZ382"/>
      <c r="XDA382"/>
      <c r="XDB382"/>
      <c r="XDC382"/>
      <c r="XDD382"/>
      <c r="XDE382"/>
      <c r="XDF382"/>
      <c r="XDG382"/>
      <c r="XDH382"/>
      <c r="XDI382"/>
      <c r="XDJ382"/>
      <c r="XDK382"/>
      <c r="XDL382"/>
      <c r="XDM382"/>
      <c r="XDN382"/>
      <c r="XDO382"/>
      <c r="XDP382"/>
      <c r="XDQ382"/>
      <c r="XDR382"/>
      <c r="XDS382"/>
      <c r="XDT382"/>
      <c r="XDU382"/>
      <c r="XDV382"/>
      <c r="XDW382"/>
      <c r="XDX382"/>
      <c r="XDY382"/>
      <c r="XDZ382"/>
      <c r="XEA382"/>
      <c r="XEB382"/>
      <c r="XEC382"/>
      <c r="XED382"/>
      <c r="XEE382"/>
      <c r="XEF382"/>
      <c r="XEG382"/>
      <c r="XEH382"/>
      <c r="XEI382"/>
      <c r="XEJ382"/>
      <c r="XEK382"/>
      <c r="XEL382"/>
      <c r="XEM382"/>
      <c r="XEN382"/>
      <c r="XEO382"/>
      <c r="XEP382"/>
      <c r="XEQ382"/>
      <c r="XER382"/>
      <c r="XES382"/>
      <c r="XET382"/>
      <c r="XEU382"/>
      <c r="XEV382"/>
      <c r="XEW382"/>
      <c r="XEX382"/>
      <c r="XEY382"/>
      <c r="XEZ382"/>
      <c r="XFA382"/>
      <c r="XFB382"/>
      <c r="XFC382"/>
      <c r="XFD382"/>
    </row>
    <row r="383" spans="1:18 16327:16384" s="26" customFormat="1" ht="29.1" customHeight="1" outlineLevel="3" x14ac:dyDescent="0.25">
      <c r="A383" s="42" t="s">
        <v>656</v>
      </c>
      <c r="B383" s="43"/>
      <c r="C383" s="66" t="s">
        <v>657</v>
      </c>
      <c r="D383" s="66"/>
      <c r="E383" s="43" t="s">
        <v>34</v>
      </c>
      <c r="F383" s="44"/>
      <c r="G383" s="43" t="s">
        <v>65</v>
      </c>
      <c r="H383" s="45">
        <v>1.02</v>
      </c>
      <c r="I383" s="46">
        <f>108.12</f>
        <v>108.12</v>
      </c>
      <c r="J383" s="23"/>
      <c r="K383" s="47"/>
      <c r="L383" s="48"/>
      <c r="M383" s="49"/>
      <c r="N383" s="49">
        <f t="shared" si="12"/>
        <v>0</v>
      </c>
      <c r="O383" s="49"/>
      <c r="P383" s="49"/>
      <c r="Q383" s="49"/>
      <c r="R383" s="23"/>
      <c r="XCY383"/>
      <c r="XCZ383"/>
      <c r="XDA383"/>
      <c r="XDB383"/>
      <c r="XDC383"/>
      <c r="XDD383"/>
      <c r="XDE383"/>
      <c r="XDF383"/>
      <c r="XDG383"/>
      <c r="XDH383"/>
      <c r="XDI383"/>
      <c r="XDJ383"/>
      <c r="XDK383"/>
      <c r="XDL383"/>
      <c r="XDM383"/>
      <c r="XDN383"/>
      <c r="XDO383"/>
      <c r="XDP383"/>
      <c r="XDQ383"/>
      <c r="XDR383"/>
      <c r="XDS383"/>
      <c r="XDT383"/>
      <c r="XDU383"/>
      <c r="XDV383"/>
      <c r="XDW383"/>
      <c r="XDX383"/>
      <c r="XDY383"/>
      <c r="XDZ383"/>
      <c r="XEA383"/>
      <c r="XEB383"/>
      <c r="XEC383"/>
      <c r="XED383"/>
      <c r="XEE383"/>
      <c r="XEF383"/>
      <c r="XEG383"/>
      <c r="XEH383"/>
      <c r="XEI383"/>
      <c r="XEJ383"/>
      <c r="XEK383"/>
      <c r="XEL383"/>
      <c r="XEM383"/>
      <c r="XEN383"/>
      <c r="XEO383"/>
      <c r="XEP383"/>
      <c r="XEQ383"/>
      <c r="XER383"/>
      <c r="XES383"/>
      <c r="XET383"/>
      <c r="XEU383"/>
      <c r="XEV383"/>
      <c r="XEW383"/>
      <c r="XEX383"/>
      <c r="XEY383"/>
      <c r="XEZ383"/>
      <c r="XFA383"/>
      <c r="XFB383"/>
      <c r="XFC383"/>
      <c r="XFD383"/>
    </row>
    <row r="384" spans="1:18 16327:16384" s="26" customFormat="1" ht="29.1" customHeight="1" outlineLevel="2" x14ac:dyDescent="0.25">
      <c r="A384" s="34" t="s">
        <v>658</v>
      </c>
      <c r="B384" s="35"/>
      <c r="C384" s="65" t="s">
        <v>69</v>
      </c>
      <c r="D384" s="65"/>
      <c r="E384" s="35"/>
      <c r="F384" s="36"/>
      <c r="G384" s="35" t="s">
        <v>65</v>
      </c>
      <c r="H384" s="37"/>
      <c r="I384" s="38">
        <f>80</f>
        <v>80</v>
      </c>
      <c r="J384" s="23"/>
      <c r="K384" s="39"/>
      <c r="L384" s="40"/>
      <c r="M384" s="41"/>
      <c r="N384" s="41"/>
      <c r="O384" s="41"/>
      <c r="P384" s="41"/>
      <c r="Q384" s="41"/>
      <c r="R384" s="23"/>
      <c r="XCY384"/>
      <c r="XCZ384"/>
      <c r="XDA384"/>
      <c r="XDB384"/>
      <c r="XDC384"/>
      <c r="XDD384"/>
      <c r="XDE384"/>
      <c r="XDF384"/>
      <c r="XDG384"/>
      <c r="XDH384"/>
      <c r="XDI384"/>
      <c r="XDJ384"/>
      <c r="XDK384"/>
      <c r="XDL384"/>
      <c r="XDM384"/>
      <c r="XDN384"/>
      <c r="XDO384"/>
      <c r="XDP384"/>
      <c r="XDQ384"/>
      <c r="XDR384"/>
      <c r="XDS384"/>
      <c r="XDT384"/>
      <c r="XDU384"/>
      <c r="XDV384"/>
      <c r="XDW384"/>
      <c r="XDX384"/>
      <c r="XDY384"/>
      <c r="XDZ384"/>
      <c r="XEA384"/>
      <c r="XEB384"/>
      <c r="XEC384"/>
      <c r="XED384"/>
      <c r="XEE384"/>
      <c r="XEF384"/>
      <c r="XEG384"/>
      <c r="XEH384"/>
      <c r="XEI384"/>
      <c r="XEJ384"/>
      <c r="XEK384"/>
      <c r="XEL384"/>
      <c r="XEM384"/>
      <c r="XEN384"/>
      <c r="XEO384"/>
      <c r="XEP384"/>
      <c r="XEQ384"/>
      <c r="XER384"/>
      <c r="XES384"/>
      <c r="XET384"/>
      <c r="XEU384"/>
      <c r="XEV384"/>
      <c r="XEW384"/>
      <c r="XEX384"/>
      <c r="XEY384"/>
      <c r="XEZ384"/>
      <c r="XFA384"/>
      <c r="XFB384"/>
      <c r="XFC384"/>
      <c r="XFD384"/>
    </row>
    <row r="385" spans="1:18 16327:16384" s="26" customFormat="1" ht="29.1" customHeight="1" outlineLevel="3" x14ac:dyDescent="0.25">
      <c r="A385" s="42" t="s">
        <v>659</v>
      </c>
      <c r="B385" s="43"/>
      <c r="C385" s="66" t="s">
        <v>660</v>
      </c>
      <c r="D385" s="66"/>
      <c r="E385" s="43" t="s">
        <v>34</v>
      </c>
      <c r="F385" s="44"/>
      <c r="G385" s="43" t="s">
        <v>65</v>
      </c>
      <c r="H385" s="45">
        <v>1.02</v>
      </c>
      <c r="I385" s="46">
        <f>81.6</f>
        <v>81.599999999999994</v>
      </c>
      <c r="J385" s="23"/>
      <c r="K385" s="47"/>
      <c r="L385" s="48"/>
      <c r="M385" s="49"/>
      <c r="N385" s="49">
        <f t="shared" si="12"/>
        <v>0</v>
      </c>
      <c r="O385" s="49"/>
      <c r="P385" s="49"/>
      <c r="Q385" s="49"/>
      <c r="R385" s="23"/>
      <c r="XCY385"/>
      <c r="XCZ385"/>
      <c r="XDA385"/>
      <c r="XDB385"/>
      <c r="XDC385"/>
      <c r="XDD385"/>
      <c r="XDE385"/>
      <c r="XDF385"/>
      <c r="XDG385"/>
      <c r="XDH385"/>
      <c r="XDI385"/>
      <c r="XDJ385"/>
      <c r="XDK385"/>
      <c r="XDL385"/>
      <c r="XDM385"/>
      <c r="XDN385"/>
      <c r="XDO385"/>
      <c r="XDP385"/>
      <c r="XDQ385"/>
      <c r="XDR385"/>
      <c r="XDS385"/>
      <c r="XDT385"/>
      <c r="XDU385"/>
      <c r="XDV385"/>
      <c r="XDW385"/>
      <c r="XDX385"/>
      <c r="XDY385"/>
      <c r="XDZ385"/>
      <c r="XEA385"/>
      <c r="XEB385"/>
      <c r="XEC385"/>
      <c r="XED385"/>
      <c r="XEE385"/>
      <c r="XEF385"/>
      <c r="XEG385"/>
      <c r="XEH385"/>
      <c r="XEI385"/>
      <c r="XEJ385"/>
      <c r="XEK385"/>
      <c r="XEL385"/>
      <c r="XEM385"/>
      <c r="XEN385"/>
      <c r="XEO385"/>
      <c r="XEP385"/>
      <c r="XEQ385"/>
      <c r="XER385"/>
      <c r="XES385"/>
      <c r="XET385"/>
      <c r="XEU385"/>
      <c r="XEV385"/>
      <c r="XEW385"/>
      <c r="XEX385"/>
      <c r="XEY385"/>
      <c r="XEZ385"/>
      <c r="XFA385"/>
      <c r="XFB385"/>
      <c r="XFC385"/>
      <c r="XFD385"/>
    </row>
    <row r="386" spans="1:18 16327:16384" s="26" customFormat="1" ht="29.1" customHeight="1" outlineLevel="2" x14ac:dyDescent="0.25">
      <c r="A386" s="34" t="s">
        <v>661</v>
      </c>
      <c r="B386" s="35"/>
      <c r="C386" s="65" t="s">
        <v>69</v>
      </c>
      <c r="D386" s="65"/>
      <c r="E386" s="35"/>
      <c r="F386" s="36"/>
      <c r="G386" s="35" t="s">
        <v>65</v>
      </c>
      <c r="H386" s="37"/>
      <c r="I386" s="38">
        <f>1395</f>
        <v>1395</v>
      </c>
      <c r="J386" s="23"/>
      <c r="K386" s="39"/>
      <c r="L386" s="40"/>
      <c r="M386" s="41"/>
      <c r="N386" s="41"/>
      <c r="O386" s="41"/>
      <c r="P386" s="41"/>
      <c r="Q386" s="41"/>
      <c r="R386" s="23"/>
      <c r="XCY386"/>
      <c r="XCZ386"/>
      <c r="XDA386"/>
      <c r="XDB386"/>
      <c r="XDC386"/>
      <c r="XDD386"/>
      <c r="XDE386"/>
      <c r="XDF386"/>
      <c r="XDG386"/>
      <c r="XDH386"/>
      <c r="XDI386"/>
      <c r="XDJ386"/>
      <c r="XDK386"/>
      <c r="XDL386"/>
      <c r="XDM386"/>
      <c r="XDN386"/>
      <c r="XDO386"/>
      <c r="XDP386"/>
      <c r="XDQ386"/>
      <c r="XDR386"/>
      <c r="XDS386"/>
      <c r="XDT386"/>
      <c r="XDU386"/>
      <c r="XDV386"/>
      <c r="XDW386"/>
      <c r="XDX386"/>
      <c r="XDY386"/>
      <c r="XDZ386"/>
      <c r="XEA386"/>
      <c r="XEB386"/>
      <c r="XEC386"/>
      <c r="XED386"/>
      <c r="XEE386"/>
      <c r="XEF386"/>
      <c r="XEG386"/>
      <c r="XEH386"/>
      <c r="XEI386"/>
      <c r="XEJ386"/>
      <c r="XEK386"/>
      <c r="XEL386"/>
      <c r="XEM386"/>
      <c r="XEN386"/>
      <c r="XEO386"/>
      <c r="XEP386"/>
      <c r="XEQ386"/>
      <c r="XER386"/>
      <c r="XES386"/>
      <c r="XET386"/>
      <c r="XEU386"/>
      <c r="XEV386"/>
      <c r="XEW386"/>
      <c r="XEX386"/>
      <c r="XEY386"/>
      <c r="XEZ386"/>
      <c r="XFA386"/>
      <c r="XFB386"/>
      <c r="XFC386"/>
      <c r="XFD386"/>
    </row>
    <row r="387" spans="1:18 16327:16384" s="26" customFormat="1" ht="29.1" customHeight="1" outlineLevel="3" x14ac:dyDescent="0.25">
      <c r="A387" s="42" t="s">
        <v>662</v>
      </c>
      <c r="B387" s="43"/>
      <c r="C387" s="66" t="s">
        <v>663</v>
      </c>
      <c r="D387" s="66"/>
      <c r="E387" s="43" t="s">
        <v>34</v>
      </c>
      <c r="F387" s="44"/>
      <c r="G387" s="43" t="s">
        <v>65</v>
      </c>
      <c r="H387" s="45">
        <v>1.02</v>
      </c>
      <c r="I387" s="46">
        <f>1422.9</f>
        <v>1422.9</v>
      </c>
      <c r="J387" s="23"/>
      <c r="K387" s="47"/>
      <c r="L387" s="48"/>
      <c r="M387" s="49"/>
      <c r="N387" s="49">
        <f t="shared" si="12"/>
        <v>0</v>
      </c>
      <c r="O387" s="49"/>
      <c r="P387" s="49"/>
      <c r="Q387" s="49"/>
      <c r="R387" s="23"/>
      <c r="XCY387"/>
      <c r="XCZ387"/>
      <c r="XDA387"/>
      <c r="XDB387"/>
      <c r="XDC387"/>
      <c r="XDD387"/>
      <c r="XDE387"/>
      <c r="XDF387"/>
      <c r="XDG387"/>
      <c r="XDH387"/>
      <c r="XDI387"/>
      <c r="XDJ387"/>
      <c r="XDK387"/>
      <c r="XDL387"/>
      <c r="XDM387"/>
      <c r="XDN387"/>
      <c r="XDO387"/>
      <c r="XDP387"/>
      <c r="XDQ387"/>
      <c r="XDR387"/>
      <c r="XDS387"/>
      <c r="XDT387"/>
      <c r="XDU387"/>
      <c r="XDV387"/>
      <c r="XDW387"/>
      <c r="XDX387"/>
      <c r="XDY387"/>
      <c r="XDZ387"/>
      <c r="XEA387"/>
      <c r="XEB387"/>
      <c r="XEC387"/>
      <c r="XED387"/>
      <c r="XEE387"/>
      <c r="XEF387"/>
      <c r="XEG387"/>
      <c r="XEH387"/>
      <c r="XEI387"/>
      <c r="XEJ387"/>
      <c r="XEK387"/>
      <c r="XEL387"/>
      <c r="XEM387"/>
      <c r="XEN387"/>
      <c r="XEO387"/>
      <c r="XEP387"/>
      <c r="XEQ387"/>
      <c r="XER387"/>
      <c r="XES387"/>
      <c r="XET387"/>
      <c r="XEU387"/>
      <c r="XEV387"/>
      <c r="XEW387"/>
      <c r="XEX387"/>
      <c r="XEY387"/>
      <c r="XEZ387"/>
      <c r="XFA387"/>
      <c r="XFB387"/>
      <c r="XFC387"/>
      <c r="XFD387"/>
    </row>
    <row r="388" spans="1:18 16327:16384" s="26" customFormat="1" ht="29.1" customHeight="1" outlineLevel="2" x14ac:dyDescent="0.25">
      <c r="A388" s="34" t="s">
        <v>664</v>
      </c>
      <c r="B388" s="35"/>
      <c r="C388" s="65" t="s">
        <v>454</v>
      </c>
      <c r="D388" s="65"/>
      <c r="E388" s="35"/>
      <c r="F388" s="36"/>
      <c r="G388" s="35" t="s">
        <v>65</v>
      </c>
      <c r="H388" s="37"/>
      <c r="I388" s="38">
        <f>1795</f>
        <v>1795</v>
      </c>
      <c r="J388" s="23"/>
      <c r="K388" s="39"/>
      <c r="L388" s="40"/>
      <c r="M388" s="41">
        <f>K388+L388</f>
        <v>0</v>
      </c>
      <c r="N388" s="41">
        <f t="shared" si="12"/>
        <v>0</v>
      </c>
      <c r="O388" s="41">
        <f>ROUND((I388*L388),2)</f>
        <v>0</v>
      </c>
      <c r="P388" s="41">
        <f>ROUND((I388*M388),2)</f>
        <v>0</v>
      </c>
      <c r="Q388" s="41"/>
      <c r="R388" s="23"/>
      <c r="XCY388"/>
      <c r="XCZ388"/>
      <c r="XDA388"/>
      <c r="XDB388"/>
      <c r="XDC388"/>
      <c r="XDD388"/>
      <c r="XDE388"/>
      <c r="XDF388"/>
      <c r="XDG388"/>
      <c r="XDH388"/>
      <c r="XDI388"/>
      <c r="XDJ388"/>
      <c r="XDK388"/>
      <c r="XDL388"/>
      <c r="XDM388"/>
      <c r="XDN388"/>
      <c r="XDO388"/>
      <c r="XDP388"/>
      <c r="XDQ388"/>
      <c r="XDR388"/>
      <c r="XDS388"/>
      <c r="XDT388"/>
      <c r="XDU388"/>
      <c r="XDV388"/>
      <c r="XDW388"/>
      <c r="XDX388"/>
      <c r="XDY388"/>
      <c r="XDZ388"/>
      <c r="XEA388"/>
      <c r="XEB388"/>
      <c r="XEC388"/>
      <c r="XED388"/>
      <c r="XEE388"/>
      <c r="XEF388"/>
      <c r="XEG388"/>
      <c r="XEH388"/>
      <c r="XEI388"/>
      <c r="XEJ388"/>
      <c r="XEK388"/>
      <c r="XEL388"/>
      <c r="XEM388"/>
      <c r="XEN388"/>
      <c r="XEO388"/>
      <c r="XEP388"/>
      <c r="XEQ388"/>
      <c r="XER388"/>
      <c r="XES388"/>
      <c r="XET388"/>
      <c r="XEU388"/>
      <c r="XEV388"/>
      <c r="XEW388"/>
      <c r="XEX388"/>
      <c r="XEY388"/>
      <c r="XEZ388"/>
      <c r="XFA388"/>
      <c r="XFB388"/>
      <c r="XFC388"/>
      <c r="XFD388"/>
    </row>
    <row r="389" spans="1:18 16327:16384" s="26" customFormat="1" ht="29.1" customHeight="1" outlineLevel="3" x14ac:dyDescent="0.25">
      <c r="A389" s="42" t="s">
        <v>665</v>
      </c>
      <c r="B389" s="43"/>
      <c r="C389" s="66" t="s">
        <v>666</v>
      </c>
      <c r="D389" s="66"/>
      <c r="E389" s="43" t="s">
        <v>34</v>
      </c>
      <c r="F389" s="44"/>
      <c r="G389" s="43" t="s">
        <v>65</v>
      </c>
      <c r="H389" s="45">
        <v>1.012</v>
      </c>
      <c r="I389" s="46">
        <f>1816.54</f>
        <v>1816.54</v>
      </c>
      <c r="J389" s="23"/>
      <c r="K389" s="47"/>
      <c r="L389" s="48"/>
      <c r="M389" s="49"/>
      <c r="N389" s="49">
        <f t="shared" si="12"/>
        <v>0</v>
      </c>
      <c r="O389" s="49"/>
      <c r="P389" s="49"/>
      <c r="Q389" s="49"/>
      <c r="R389" s="23"/>
      <c r="XCY389"/>
      <c r="XCZ389"/>
      <c r="XDA389"/>
      <c r="XDB389"/>
      <c r="XDC389"/>
      <c r="XDD389"/>
      <c r="XDE389"/>
      <c r="XDF389"/>
      <c r="XDG389"/>
      <c r="XDH389"/>
      <c r="XDI389"/>
      <c r="XDJ389"/>
      <c r="XDK389"/>
      <c r="XDL389"/>
      <c r="XDM389"/>
      <c r="XDN389"/>
      <c r="XDO389"/>
      <c r="XDP389"/>
      <c r="XDQ389"/>
      <c r="XDR389"/>
      <c r="XDS389"/>
      <c r="XDT389"/>
      <c r="XDU389"/>
      <c r="XDV389"/>
      <c r="XDW389"/>
      <c r="XDX389"/>
      <c r="XDY389"/>
      <c r="XDZ389"/>
      <c r="XEA389"/>
      <c r="XEB389"/>
      <c r="XEC389"/>
      <c r="XED389"/>
      <c r="XEE389"/>
      <c r="XEF389"/>
      <c r="XEG389"/>
      <c r="XEH389"/>
      <c r="XEI389"/>
      <c r="XEJ389"/>
      <c r="XEK389"/>
      <c r="XEL389"/>
      <c r="XEM389"/>
      <c r="XEN389"/>
      <c r="XEO389"/>
      <c r="XEP389"/>
      <c r="XEQ389"/>
      <c r="XER389"/>
      <c r="XES389"/>
      <c r="XET389"/>
      <c r="XEU389"/>
      <c r="XEV389"/>
      <c r="XEW389"/>
      <c r="XEX389"/>
      <c r="XEY389"/>
      <c r="XEZ389"/>
      <c r="XFA389"/>
      <c r="XFB389"/>
      <c r="XFC389"/>
      <c r="XFD389"/>
    </row>
    <row r="390" spans="1:18 16327:16384" s="26" customFormat="1" ht="29.1" customHeight="1" outlineLevel="3" x14ac:dyDescent="0.25">
      <c r="A390" s="42" t="s">
        <v>667</v>
      </c>
      <c r="B390" s="43"/>
      <c r="C390" s="66" t="s">
        <v>668</v>
      </c>
      <c r="D390" s="66"/>
      <c r="E390" s="43" t="s">
        <v>34</v>
      </c>
      <c r="F390" s="44"/>
      <c r="G390" s="43" t="s">
        <v>31</v>
      </c>
      <c r="H390" s="45">
        <v>1</v>
      </c>
      <c r="I390" s="46">
        <f>3590</f>
        <v>3590</v>
      </c>
      <c r="J390" s="23"/>
      <c r="K390" s="47"/>
      <c r="L390" s="48"/>
      <c r="M390" s="49"/>
      <c r="N390" s="49">
        <f t="shared" si="12"/>
        <v>0</v>
      </c>
      <c r="O390" s="49"/>
      <c r="P390" s="49"/>
      <c r="Q390" s="49"/>
      <c r="R390" s="23"/>
      <c r="XCY390"/>
      <c r="XCZ390"/>
      <c r="XDA390"/>
      <c r="XDB390"/>
      <c r="XDC390"/>
      <c r="XDD390"/>
      <c r="XDE390"/>
      <c r="XDF390"/>
      <c r="XDG390"/>
      <c r="XDH390"/>
      <c r="XDI390"/>
      <c r="XDJ390"/>
      <c r="XDK390"/>
      <c r="XDL390"/>
      <c r="XDM390"/>
      <c r="XDN390"/>
      <c r="XDO390"/>
      <c r="XDP390"/>
      <c r="XDQ390"/>
      <c r="XDR390"/>
      <c r="XDS390"/>
      <c r="XDT390"/>
      <c r="XDU390"/>
      <c r="XDV390"/>
      <c r="XDW390"/>
      <c r="XDX390"/>
      <c r="XDY390"/>
      <c r="XDZ390"/>
      <c r="XEA390"/>
      <c r="XEB390"/>
      <c r="XEC390"/>
      <c r="XED390"/>
      <c r="XEE390"/>
      <c r="XEF390"/>
      <c r="XEG390"/>
      <c r="XEH390"/>
      <c r="XEI390"/>
      <c r="XEJ390"/>
      <c r="XEK390"/>
      <c r="XEL390"/>
      <c r="XEM390"/>
      <c r="XEN390"/>
      <c r="XEO390"/>
      <c r="XEP390"/>
      <c r="XEQ390"/>
      <c r="XER390"/>
      <c r="XES390"/>
      <c r="XET390"/>
      <c r="XEU390"/>
      <c r="XEV390"/>
      <c r="XEW390"/>
      <c r="XEX390"/>
      <c r="XEY390"/>
      <c r="XEZ390"/>
      <c r="XFA390"/>
      <c r="XFB390"/>
      <c r="XFC390"/>
      <c r="XFD390"/>
    </row>
    <row r="391" spans="1:18 16327:16384" s="26" customFormat="1" ht="29.1" customHeight="1" outlineLevel="2" x14ac:dyDescent="0.25">
      <c r="A391" s="34" t="s">
        <v>669</v>
      </c>
      <c r="B391" s="35"/>
      <c r="C391" s="65" t="s">
        <v>278</v>
      </c>
      <c r="D391" s="65"/>
      <c r="E391" s="35"/>
      <c r="F391" s="36"/>
      <c r="G391" s="35" t="s">
        <v>31</v>
      </c>
      <c r="H391" s="37"/>
      <c r="I391" s="38">
        <f>12</f>
        <v>12</v>
      </c>
      <c r="J391" s="23"/>
      <c r="K391" s="39"/>
      <c r="L391" s="40"/>
      <c r="M391" s="41">
        <f>K391+L391</f>
        <v>0</v>
      </c>
      <c r="N391" s="41">
        <f t="shared" si="12"/>
        <v>0</v>
      </c>
      <c r="O391" s="41">
        <f>ROUND((I391*L391),2)</f>
        <v>0</v>
      </c>
      <c r="P391" s="41">
        <f>ROUND((I391*M391),2)</f>
        <v>0</v>
      </c>
      <c r="Q391" s="41"/>
      <c r="R391" s="23"/>
      <c r="XCY391"/>
      <c r="XCZ391"/>
      <c r="XDA391"/>
      <c r="XDB391"/>
      <c r="XDC391"/>
      <c r="XDD391"/>
      <c r="XDE391"/>
      <c r="XDF391"/>
      <c r="XDG391"/>
      <c r="XDH391"/>
      <c r="XDI391"/>
      <c r="XDJ391"/>
      <c r="XDK391"/>
      <c r="XDL391"/>
      <c r="XDM391"/>
      <c r="XDN391"/>
      <c r="XDO391"/>
      <c r="XDP391"/>
      <c r="XDQ391"/>
      <c r="XDR391"/>
      <c r="XDS391"/>
      <c r="XDT391"/>
      <c r="XDU391"/>
      <c r="XDV391"/>
      <c r="XDW391"/>
      <c r="XDX391"/>
      <c r="XDY391"/>
      <c r="XDZ391"/>
      <c r="XEA391"/>
      <c r="XEB391"/>
      <c r="XEC391"/>
      <c r="XED391"/>
      <c r="XEE391"/>
      <c r="XEF391"/>
      <c r="XEG391"/>
      <c r="XEH391"/>
      <c r="XEI391"/>
      <c r="XEJ391"/>
      <c r="XEK391"/>
      <c r="XEL391"/>
      <c r="XEM391"/>
      <c r="XEN391"/>
      <c r="XEO391"/>
      <c r="XEP391"/>
      <c r="XEQ391"/>
      <c r="XER391"/>
      <c r="XES391"/>
      <c r="XET391"/>
      <c r="XEU391"/>
      <c r="XEV391"/>
      <c r="XEW391"/>
      <c r="XEX391"/>
      <c r="XEY391"/>
      <c r="XEZ391"/>
      <c r="XFA391"/>
      <c r="XFB391"/>
      <c r="XFC391"/>
      <c r="XFD391"/>
    </row>
    <row r="392" spans="1:18 16327:16384" s="26" customFormat="1" ht="29.1" customHeight="1" outlineLevel="3" x14ac:dyDescent="0.25">
      <c r="A392" s="42" t="s">
        <v>670</v>
      </c>
      <c r="B392" s="43"/>
      <c r="C392" s="66" t="s">
        <v>671</v>
      </c>
      <c r="D392" s="66"/>
      <c r="E392" s="43" t="s">
        <v>34</v>
      </c>
      <c r="F392" s="44"/>
      <c r="G392" s="43" t="s">
        <v>65</v>
      </c>
      <c r="H392" s="45">
        <v>1</v>
      </c>
      <c r="I392" s="46">
        <f>3</f>
        <v>3</v>
      </c>
      <c r="J392" s="23"/>
      <c r="K392" s="47"/>
      <c r="L392" s="48"/>
      <c r="M392" s="49"/>
      <c r="N392" s="49">
        <f t="shared" si="12"/>
        <v>0</v>
      </c>
      <c r="O392" s="49"/>
      <c r="P392" s="49"/>
      <c r="Q392" s="49"/>
      <c r="R392" s="23"/>
      <c r="XCY392"/>
      <c r="XCZ392"/>
      <c r="XDA392"/>
      <c r="XDB392"/>
      <c r="XDC392"/>
      <c r="XDD392"/>
      <c r="XDE392"/>
      <c r="XDF392"/>
      <c r="XDG392"/>
      <c r="XDH392"/>
      <c r="XDI392"/>
      <c r="XDJ392"/>
      <c r="XDK392"/>
      <c r="XDL392"/>
      <c r="XDM392"/>
      <c r="XDN392"/>
      <c r="XDO392"/>
      <c r="XDP392"/>
      <c r="XDQ392"/>
      <c r="XDR392"/>
      <c r="XDS392"/>
      <c r="XDT392"/>
      <c r="XDU392"/>
      <c r="XDV392"/>
      <c r="XDW392"/>
      <c r="XDX392"/>
      <c r="XDY392"/>
      <c r="XDZ392"/>
      <c r="XEA392"/>
      <c r="XEB392"/>
      <c r="XEC392"/>
      <c r="XED392"/>
      <c r="XEE392"/>
      <c r="XEF392"/>
      <c r="XEG392"/>
      <c r="XEH392"/>
      <c r="XEI392"/>
      <c r="XEJ392"/>
      <c r="XEK392"/>
      <c r="XEL392"/>
      <c r="XEM392"/>
      <c r="XEN392"/>
      <c r="XEO392"/>
      <c r="XEP392"/>
      <c r="XEQ392"/>
      <c r="XER392"/>
      <c r="XES392"/>
      <c r="XET392"/>
      <c r="XEU392"/>
      <c r="XEV392"/>
      <c r="XEW392"/>
      <c r="XEX392"/>
      <c r="XEY392"/>
      <c r="XEZ392"/>
      <c r="XFA392"/>
      <c r="XFB392"/>
      <c r="XFC392"/>
      <c r="XFD392"/>
    </row>
    <row r="393" spans="1:18 16327:16384" s="26" customFormat="1" ht="29.1" customHeight="1" outlineLevel="3" x14ac:dyDescent="0.25">
      <c r="A393" s="42" t="s">
        <v>672</v>
      </c>
      <c r="B393" s="43"/>
      <c r="C393" s="66" t="s">
        <v>673</v>
      </c>
      <c r="D393" s="66"/>
      <c r="E393" s="43" t="s">
        <v>34</v>
      </c>
      <c r="F393" s="44"/>
      <c r="G393" s="43" t="s">
        <v>31</v>
      </c>
      <c r="H393" s="45">
        <v>1</v>
      </c>
      <c r="I393" s="46">
        <f>2</f>
        <v>2</v>
      </c>
      <c r="J393" s="23"/>
      <c r="K393" s="47"/>
      <c r="L393" s="48"/>
      <c r="M393" s="49"/>
      <c r="N393" s="49">
        <f t="shared" si="12"/>
        <v>0</v>
      </c>
      <c r="O393" s="49"/>
      <c r="P393" s="49"/>
      <c r="Q393" s="49"/>
      <c r="R393" s="23"/>
      <c r="XCY393"/>
      <c r="XCZ393"/>
      <c r="XDA393"/>
      <c r="XDB393"/>
      <c r="XDC393"/>
      <c r="XDD393"/>
      <c r="XDE393"/>
      <c r="XDF393"/>
      <c r="XDG393"/>
      <c r="XDH393"/>
      <c r="XDI393"/>
      <c r="XDJ393"/>
      <c r="XDK393"/>
      <c r="XDL393"/>
      <c r="XDM393"/>
      <c r="XDN393"/>
      <c r="XDO393"/>
      <c r="XDP393"/>
      <c r="XDQ393"/>
      <c r="XDR393"/>
      <c r="XDS393"/>
      <c r="XDT393"/>
      <c r="XDU393"/>
      <c r="XDV393"/>
      <c r="XDW393"/>
      <c r="XDX393"/>
      <c r="XDY393"/>
      <c r="XDZ393"/>
      <c r="XEA393"/>
      <c r="XEB393"/>
      <c r="XEC393"/>
      <c r="XED393"/>
      <c r="XEE393"/>
      <c r="XEF393"/>
      <c r="XEG393"/>
      <c r="XEH393"/>
      <c r="XEI393"/>
      <c r="XEJ393"/>
      <c r="XEK393"/>
      <c r="XEL393"/>
      <c r="XEM393"/>
      <c r="XEN393"/>
      <c r="XEO393"/>
      <c r="XEP393"/>
      <c r="XEQ393"/>
      <c r="XER393"/>
      <c r="XES393"/>
      <c r="XET393"/>
      <c r="XEU393"/>
      <c r="XEV393"/>
      <c r="XEW393"/>
      <c r="XEX393"/>
      <c r="XEY393"/>
      <c r="XEZ393"/>
      <c r="XFA393"/>
      <c r="XFB393"/>
      <c r="XFC393"/>
      <c r="XFD393"/>
    </row>
    <row r="394" spans="1:18 16327:16384" s="26" customFormat="1" ht="29.1" customHeight="1" outlineLevel="2" x14ac:dyDescent="0.25">
      <c r="A394" s="34" t="s">
        <v>674</v>
      </c>
      <c r="B394" s="35"/>
      <c r="C394" s="65" t="s">
        <v>675</v>
      </c>
      <c r="D394" s="65"/>
      <c r="E394" s="35"/>
      <c r="F394" s="36"/>
      <c r="G394" s="35" t="s">
        <v>90</v>
      </c>
      <c r="H394" s="37">
        <v>1</v>
      </c>
      <c r="I394" s="38">
        <f>1</f>
        <v>1</v>
      </c>
      <c r="J394" s="23"/>
      <c r="K394" s="39"/>
      <c r="L394" s="40"/>
      <c r="M394" s="41">
        <f>K394+L394</f>
        <v>0</v>
      </c>
      <c r="N394" s="41">
        <f t="shared" si="12"/>
        <v>0</v>
      </c>
      <c r="O394" s="41">
        <f>ROUND((I394*L394),2)</f>
        <v>0</v>
      </c>
      <c r="P394" s="41">
        <f>ROUND((I394*M394),2)</f>
        <v>0</v>
      </c>
      <c r="Q394" s="41"/>
      <c r="R394" s="23"/>
      <c r="XCY394"/>
      <c r="XCZ394"/>
      <c r="XDA394"/>
      <c r="XDB394"/>
      <c r="XDC394"/>
      <c r="XDD394"/>
      <c r="XDE394"/>
      <c r="XDF394"/>
      <c r="XDG394"/>
      <c r="XDH394"/>
      <c r="XDI394"/>
      <c r="XDJ394"/>
      <c r="XDK394"/>
      <c r="XDL394"/>
      <c r="XDM394"/>
      <c r="XDN394"/>
      <c r="XDO394"/>
      <c r="XDP394"/>
      <c r="XDQ394"/>
      <c r="XDR394"/>
      <c r="XDS394"/>
      <c r="XDT394"/>
      <c r="XDU394"/>
      <c r="XDV394"/>
      <c r="XDW394"/>
      <c r="XDX394"/>
      <c r="XDY394"/>
      <c r="XDZ394"/>
      <c r="XEA394"/>
      <c r="XEB394"/>
      <c r="XEC394"/>
      <c r="XED394"/>
      <c r="XEE394"/>
      <c r="XEF394"/>
      <c r="XEG394"/>
      <c r="XEH394"/>
      <c r="XEI394"/>
      <c r="XEJ394"/>
      <c r="XEK394"/>
      <c r="XEL394"/>
      <c r="XEM394"/>
      <c r="XEN394"/>
      <c r="XEO394"/>
      <c r="XEP394"/>
      <c r="XEQ394"/>
      <c r="XER394"/>
      <c r="XES394"/>
      <c r="XET394"/>
      <c r="XEU394"/>
      <c r="XEV394"/>
      <c r="XEW394"/>
      <c r="XEX394"/>
      <c r="XEY394"/>
      <c r="XEZ394"/>
      <c r="XFA394"/>
      <c r="XFB394"/>
      <c r="XFC394"/>
      <c r="XFD394"/>
    </row>
    <row r="395" spans="1:18 16327:16384" s="26" customFormat="1" ht="29.1" customHeight="1" outlineLevel="1" x14ac:dyDescent="0.25">
      <c r="A395" s="27" t="s">
        <v>676</v>
      </c>
      <c r="B395" s="28" t="s">
        <v>47</v>
      </c>
      <c r="C395" s="69" t="s">
        <v>677</v>
      </c>
      <c r="D395" s="69"/>
      <c r="E395" s="28"/>
      <c r="F395" s="29"/>
      <c r="G395" s="28"/>
      <c r="H395" s="30"/>
      <c r="I395" s="31"/>
      <c r="J395" s="23"/>
      <c r="K395" s="32"/>
      <c r="L395" s="32"/>
      <c r="M395" s="32"/>
      <c r="N395" s="32">
        <f>N396+N398+N400+N402+N404+N406+N408+N410+N413+N415+N417+N419+N421+N423+N425+N427+N430+N433</f>
        <v>0</v>
      </c>
      <c r="O395" s="32">
        <f>O396+O398+O400+O402+O404+O406+O408+O410+O413+O415+O417+O419+O421+O423+O425+O427+O430+O433</f>
        <v>0</v>
      </c>
      <c r="P395" s="32">
        <f>P396+P398+P400+P402+P404+P406+P408+P410+P413+P415+P417+P419+P421+P423+P425+P427+P430+P433</f>
        <v>0</v>
      </c>
      <c r="Q395" s="33"/>
      <c r="R395" s="23"/>
      <c r="XCY395"/>
      <c r="XCZ395"/>
      <c r="XDA395"/>
      <c r="XDB395"/>
      <c r="XDC395"/>
      <c r="XDD395"/>
      <c r="XDE395"/>
      <c r="XDF395"/>
      <c r="XDG395"/>
      <c r="XDH395"/>
      <c r="XDI395"/>
      <c r="XDJ395"/>
      <c r="XDK395"/>
      <c r="XDL395"/>
      <c r="XDM395"/>
      <c r="XDN395"/>
      <c r="XDO395"/>
      <c r="XDP395"/>
      <c r="XDQ395"/>
      <c r="XDR395"/>
      <c r="XDS395"/>
      <c r="XDT395"/>
      <c r="XDU395"/>
      <c r="XDV395"/>
      <c r="XDW395"/>
      <c r="XDX395"/>
      <c r="XDY395"/>
      <c r="XDZ395"/>
      <c r="XEA395"/>
      <c r="XEB395"/>
      <c r="XEC395"/>
      <c r="XED395"/>
      <c r="XEE395"/>
      <c r="XEF395"/>
      <c r="XEG395"/>
      <c r="XEH395"/>
      <c r="XEI395"/>
      <c r="XEJ395"/>
      <c r="XEK395"/>
      <c r="XEL395"/>
      <c r="XEM395"/>
      <c r="XEN395"/>
      <c r="XEO395"/>
      <c r="XEP395"/>
      <c r="XEQ395"/>
      <c r="XER395"/>
      <c r="XES395"/>
      <c r="XET395"/>
      <c r="XEU395"/>
      <c r="XEV395"/>
      <c r="XEW395"/>
      <c r="XEX395"/>
      <c r="XEY395"/>
      <c r="XEZ395"/>
      <c r="XFA395"/>
      <c r="XFB395"/>
      <c r="XFC395"/>
      <c r="XFD395"/>
    </row>
    <row r="396" spans="1:18 16327:16384" s="26" customFormat="1" ht="29.1" customHeight="1" outlineLevel="2" x14ac:dyDescent="0.25">
      <c r="A396" s="34" t="s">
        <v>678</v>
      </c>
      <c r="B396" s="35"/>
      <c r="C396" s="65" t="s">
        <v>469</v>
      </c>
      <c r="D396" s="65"/>
      <c r="E396" s="35"/>
      <c r="F396" s="36"/>
      <c r="G396" s="35" t="s">
        <v>31</v>
      </c>
      <c r="H396" s="37"/>
      <c r="I396" s="38">
        <f>6</f>
        <v>6</v>
      </c>
      <c r="J396" s="23"/>
      <c r="K396" s="39"/>
      <c r="L396" s="40"/>
      <c r="M396" s="41">
        <f>K396+L396</f>
        <v>0</v>
      </c>
      <c r="N396" s="41">
        <f t="shared" ref="N396:N433" si="13">ROUND((I396*K396),2)</f>
        <v>0</v>
      </c>
      <c r="O396" s="41">
        <f>ROUND((I396*L396),2)</f>
        <v>0</v>
      </c>
      <c r="P396" s="41">
        <f>ROUND((I396*M396),2)</f>
        <v>0</v>
      </c>
      <c r="Q396" s="41"/>
      <c r="R396" s="23"/>
      <c r="XCY396"/>
      <c r="XCZ396"/>
      <c r="XDA396"/>
      <c r="XDB396"/>
      <c r="XDC396"/>
      <c r="XDD396"/>
      <c r="XDE396"/>
      <c r="XDF396"/>
      <c r="XDG396"/>
      <c r="XDH396"/>
      <c r="XDI396"/>
      <c r="XDJ396"/>
      <c r="XDK396"/>
      <c r="XDL396"/>
      <c r="XDM396"/>
      <c r="XDN396"/>
      <c r="XDO396"/>
      <c r="XDP396"/>
      <c r="XDQ396"/>
      <c r="XDR396"/>
      <c r="XDS396"/>
      <c r="XDT396"/>
      <c r="XDU396"/>
      <c r="XDV396"/>
      <c r="XDW396"/>
      <c r="XDX396"/>
      <c r="XDY396"/>
      <c r="XDZ396"/>
      <c r="XEA396"/>
      <c r="XEB396"/>
      <c r="XEC396"/>
      <c r="XED396"/>
      <c r="XEE396"/>
      <c r="XEF396"/>
      <c r="XEG396"/>
      <c r="XEH396"/>
      <c r="XEI396"/>
      <c r="XEJ396"/>
      <c r="XEK396"/>
      <c r="XEL396"/>
      <c r="XEM396"/>
      <c r="XEN396"/>
      <c r="XEO396"/>
      <c r="XEP396"/>
      <c r="XEQ396"/>
      <c r="XER396"/>
      <c r="XES396"/>
      <c r="XET396"/>
      <c r="XEU396"/>
      <c r="XEV396"/>
      <c r="XEW396"/>
      <c r="XEX396"/>
      <c r="XEY396"/>
      <c r="XEZ396"/>
      <c r="XFA396"/>
      <c r="XFB396"/>
      <c r="XFC396"/>
      <c r="XFD396"/>
    </row>
    <row r="397" spans="1:18 16327:16384" s="26" customFormat="1" ht="29.1" customHeight="1" outlineLevel="3" x14ac:dyDescent="0.25">
      <c r="A397" s="42" t="s">
        <v>679</v>
      </c>
      <c r="B397" s="43"/>
      <c r="C397" s="66" t="s">
        <v>680</v>
      </c>
      <c r="D397" s="66"/>
      <c r="E397" s="43" t="s">
        <v>34</v>
      </c>
      <c r="F397" s="44"/>
      <c r="G397" s="43" t="s">
        <v>31</v>
      </c>
      <c r="H397" s="45">
        <v>1</v>
      </c>
      <c r="I397" s="46">
        <f>6</f>
        <v>6</v>
      </c>
      <c r="J397" s="23"/>
      <c r="K397" s="47"/>
      <c r="L397" s="48"/>
      <c r="M397" s="49"/>
      <c r="N397" s="49">
        <f t="shared" si="13"/>
        <v>0</v>
      </c>
      <c r="O397" s="49"/>
      <c r="P397" s="49"/>
      <c r="Q397" s="49"/>
      <c r="R397" s="23"/>
      <c r="XCY397"/>
      <c r="XCZ397"/>
      <c r="XDA397"/>
      <c r="XDB397"/>
      <c r="XDC397"/>
      <c r="XDD397"/>
      <c r="XDE397"/>
      <c r="XDF397"/>
      <c r="XDG397"/>
      <c r="XDH397"/>
      <c r="XDI397"/>
      <c r="XDJ397"/>
      <c r="XDK397"/>
      <c r="XDL397"/>
      <c r="XDM397"/>
      <c r="XDN397"/>
      <c r="XDO397"/>
      <c r="XDP397"/>
      <c r="XDQ397"/>
      <c r="XDR397"/>
      <c r="XDS397"/>
      <c r="XDT397"/>
      <c r="XDU397"/>
      <c r="XDV397"/>
      <c r="XDW397"/>
      <c r="XDX397"/>
      <c r="XDY397"/>
      <c r="XDZ397"/>
      <c r="XEA397"/>
      <c r="XEB397"/>
      <c r="XEC397"/>
      <c r="XED397"/>
      <c r="XEE397"/>
      <c r="XEF397"/>
      <c r="XEG397"/>
      <c r="XEH397"/>
      <c r="XEI397"/>
      <c r="XEJ397"/>
      <c r="XEK397"/>
      <c r="XEL397"/>
      <c r="XEM397"/>
      <c r="XEN397"/>
      <c r="XEO397"/>
      <c r="XEP397"/>
      <c r="XEQ397"/>
      <c r="XER397"/>
      <c r="XES397"/>
      <c r="XET397"/>
      <c r="XEU397"/>
      <c r="XEV397"/>
      <c r="XEW397"/>
      <c r="XEX397"/>
      <c r="XEY397"/>
      <c r="XEZ397"/>
      <c r="XFA397"/>
      <c r="XFB397"/>
      <c r="XFC397"/>
      <c r="XFD397"/>
    </row>
    <row r="398" spans="1:18 16327:16384" s="26" customFormat="1" ht="29.1" customHeight="1" outlineLevel="2" x14ac:dyDescent="0.25">
      <c r="A398" s="34" t="s">
        <v>681</v>
      </c>
      <c r="B398" s="35"/>
      <c r="C398" s="65" t="s">
        <v>617</v>
      </c>
      <c r="D398" s="65"/>
      <c r="E398" s="35"/>
      <c r="F398" s="36"/>
      <c r="G398" s="35" t="s">
        <v>31</v>
      </c>
      <c r="H398" s="37"/>
      <c r="I398" s="38">
        <f>6</f>
        <v>6</v>
      </c>
      <c r="J398" s="23"/>
      <c r="K398" s="39"/>
      <c r="L398" s="40"/>
      <c r="M398" s="41">
        <f>K398+L398</f>
        <v>0</v>
      </c>
      <c r="N398" s="41">
        <f t="shared" si="13"/>
        <v>0</v>
      </c>
      <c r="O398" s="41">
        <f>ROUND((I398*L398),2)</f>
        <v>0</v>
      </c>
      <c r="P398" s="41">
        <f>ROUND((I398*M398),2)</f>
        <v>0</v>
      </c>
      <c r="Q398" s="41"/>
      <c r="R398" s="23"/>
      <c r="XCY398"/>
      <c r="XCZ398"/>
      <c r="XDA398"/>
      <c r="XDB398"/>
      <c r="XDC398"/>
      <c r="XDD398"/>
      <c r="XDE398"/>
      <c r="XDF398"/>
      <c r="XDG398"/>
      <c r="XDH398"/>
      <c r="XDI398"/>
      <c r="XDJ398"/>
      <c r="XDK398"/>
      <c r="XDL398"/>
      <c r="XDM398"/>
      <c r="XDN398"/>
      <c r="XDO398"/>
      <c r="XDP398"/>
      <c r="XDQ398"/>
      <c r="XDR398"/>
      <c r="XDS398"/>
      <c r="XDT398"/>
      <c r="XDU398"/>
      <c r="XDV398"/>
      <c r="XDW398"/>
      <c r="XDX398"/>
      <c r="XDY398"/>
      <c r="XDZ398"/>
      <c r="XEA398"/>
      <c r="XEB398"/>
      <c r="XEC398"/>
      <c r="XED398"/>
      <c r="XEE398"/>
      <c r="XEF398"/>
      <c r="XEG398"/>
      <c r="XEH398"/>
      <c r="XEI398"/>
      <c r="XEJ398"/>
      <c r="XEK398"/>
      <c r="XEL398"/>
      <c r="XEM398"/>
      <c r="XEN398"/>
      <c r="XEO398"/>
      <c r="XEP398"/>
      <c r="XEQ398"/>
      <c r="XER398"/>
      <c r="XES398"/>
      <c r="XET398"/>
      <c r="XEU398"/>
      <c r="XEV398"/>
      <c r="XEW398"/>
      <c r="XEX398"/>
      <c r="XEY398"/>
      <c r="XEZ398"/>
      <c r="XFA398"/>
      <c r="XFB398"/>
      <c r="XFC398"/>
      <c r="XFD398"/>
    </row>
    <row r="399" spans="1:18 16327:16384" s="26" customFormat="1" ht="29.1" customHeight="1" outlineLevel="3" x14ac:dyDescent="0.25">
      <c r="A399" s="42" t="s">
        <v>682</v>
      </c>
      <c r="B399" s="43"/>
      <c r="C399" s="66" t="s">
        <v>619</v>
      </c>
      <c r="D399" s="66"/>
      <c r="E399" s="43" t="s">
        <v>34</v>
      </c>
      <c r="F399" s="44"/>
      <c r="G399" s="43" t="s">
        <v>31</v>
      </c>
      <c r="H399" s="45">
        <v>1</v>
      </c>
      <c r="I399" s="46">
        <f>6</f>
        <v>6</v>
      </c>
      <c r="J399" s="23"/>
      <c r="K399" s="47"/>
      <c r="L399" s="48"/>
      <c r="M399" s="49"/>
      <c r="N399" s="49">
        <f t="shared" si="13"/>
        <v>0</v>
      </c>
      <c r="O399" s="49"/>
      <c r="P399" s="49"/>
      <c r="Q399" s="49"/>
      <c r="R399" s="23"/>
      <c r="XCY399"/>
      <c r="XCZ399"/>
      <c r="XDA399"/>
      <c r="XDB399"/>
      <c r="XDC399"/>
      <c r="XDD399"/>
      <c r="XDE399"/>
      <c r="XDF399"/>
      <c r="XDG399"/>
      <c r="XDH399"/>
      <c r="XDI399"/>
      <c r="XDJ399"/>
      <c r="XDK399"/>
      <c r="XDL399"/>
      <c r="XDM399"/>
      <c r="XDN399"/>
      <c r="XDO399"/>
      <c r="XDP399"/>
      <c r="XDQ399"/>
      <c r="XDR399"/>
      <c r="XDS399"/>
      <c r="XDT399"/>
      <c r="XDU399"/>
      <c r="XDV399"/>
      <c r="XDW399"/>
      <c r="XDX399"/>
      <c r="XDY399"/>
      <c r="XDZ399"/>
      <c r="XEA399"/>
      <c r="XEB399"/>
      <c r="XEC399"/>
      <c r="XED399"/>
      <c r="XEE399"/>
      <c r="XEF399"/>
      <c r="XEG399"/>
      <c r="XEH399"/>
      <c r="XEI399"/>
      <c r="XEJ399"/>
      <c r="XEK399"/>
      <c r="XEL399"/>
      <c r="XEM399"/>
      <c r="XEN399"/>
      <c r="XEO399"/>
      <c r="XEP399"/>
      <c r="XEQ399"/>
      <c r="XER399"/>
      <c r="XES399"/>
      <c r="XET399"/>
      <c r="XEU399"/>
      <c r="XEV399"/>
      <c r="XEW399"/>
      <c r="XEX399"/>
      <c r="XEY399"/>
      <c r="XEZ399"/>
      <c r="XFA399"/>
      <c r="XFB399"/>
      <c r="XFC399"/>
      <c r="XFD399"/>
    </row>
    <row r="400" spans="1:18 16327:16384" s="26" customFormat="1" ht="29.1" customHeight="1" outlineLevel="2" x14ac:dyDescent="0.25">
      <c r="A400" s="34" t="s">
        <v>683</v>
      </c>
      <c r="B400" s="35"/>
      <c r="C400" s="65" t="s">
        <v>684</v>
      </c>
      <c r="D400" s="65"/>
      <c r="E400" s="35"/>
      <c r="F400" s="36"/>
      <c r="G400" s="35" t="s">
        <v>31</v>
      </c>
      <c r="H400" s="37"/>
      <c r="I400" s="38">
        <f>1</f>
        <v>1</v>
      </c>
      <c r="J400" s="23"/>
      <c r="K400" s="39"/>
      <c r="L400" s="40"/>
      <c r="M400" s="41">
        <f>K400+L400</f>
        <v>0</v>
      </c>
      <c r="N400" s="41">
        <f t="shared" si="13"/>
        <v>0</v>
      </c>
      <c r="O400" s="41">
        <f>ROUND((I400*L400),2)</f>
        <v>0</v>
      </c>
      <c r="P400" s="41">
        <f>ROUND((I400*M400),2)</f>
        <v>0</v>
      </c>
      <c r="Q400" s="41"/>
      <c r="R400" s="23"/>
      <c r="XCY400"/>
      <c r="XCZ400"/>
      <c r="XDA400"/>
      <c r="XDB400"/>
      <c r="XDC400"/>
      <c r="XDD400"/>
      <c r="XDE400"/>
      <c r="XDF400"/>
      <c r="XDG400"/>
      <c r="XDH400"/>
      <c r="XDI400"/>
      <c r="XDJ400"/>
      <c r="XDK400"/>
      <c r="XDL400"/>
      <c r="XDM400"/>
      <c r="XDN400"/>
      <c r="XDO400"/>
      <c r="XDP400"/>
      <c r="XDQ400"/>
      <c r="XDR400"/>
      <c r="XDS400"/>
      <c r="XDT400"/>
      <c r="XDU400"/>
      <c r="XDV400"/>
      <c r="XDW400"/>
      <c r="XDX400"/>
      <c r="XDY400"/>
      <c r="XDZ400"/>
      <c r="XEA400"/>
      <c r="XEB400"/>
      <c r="XEC400"/>
      <c r="XED400"/>
      <c r="XEE400"/>
      <c r="XEF400"/>
      <c r="XEG400"/>
      <c r="XEH400"/>
      <c r="XEI400"/>
      <c r="XEJ400"/>
      <c r="XEK400"/>
      <c r="XEL400"/>
      <c r="XEM400"/>
      <c r="XEN400"/>
      <c r="XEO400"/>
      <c r="XEP400"/>
      <c r="XEQ400"/>
      <c r="XER400"/>
      <c r="XES400"/>
      <c r="XET400"/>
      <c r="XEU400"/>
      <c r="XEV400"/>
      <c r="XEW400"/>
      <c r="XEX400"/>
      <c r="XEY400"/>
      <c r="XEZ400"/>
      <c r="XFA400"/>
      <c r="XFB400"/>
      <c r="XFC400"/>
      <c r="XFD400"/>
    </row>
    <row r="401" spans="1:18 16327:16384" s="26" customFormat="1" ht="29.1" customHeight="1" outlineLevel="3" x14ac:dyDescent="0.25">
      <c r="A401" s="42" t="s">
        <v>685</v>
      </c>
      <c r="B401" s="43"/>
      <c r="C401" s="66" t="s">
        <v>686</v>
      </c>
      <c r="D401" s="66"/>
      <c r="E401" s="43" t="s">
        <v>34</v>
      </c>
      <c r="F401" s="44"/>
      <c r="G401" s="43" t="s">
        <v>31</v>
      </c>
      <c r="H401" s="45">
        <v>1</v>
      </c>
      <c r="I401" s="46">
        <f>1</f>
        <v>1</v>
      </c>
      <c r="J401" s="23"/>
      <c r="K401" s="47"/>
      <c r="L401" s="48"/>
      <c r="M401" s="49"/>
      <c r="N401" s="49">
        <f t="shared" si="13"/>
        <v>0</v>
      </c>
      <c r="O401" s="49"/>
      <c r="P401" s="49"/>
      <c r="Q401" s="49"/>
      <c r="R401" s="23"/>
      <c r="XCY401"/>
      <c r="XCZ401"/>
      <c r="XDA401"/>
      <c r="XDB401"/>
      <c r="XDC401"/>
      <c r="XDD401"/>
      <c r="XDE401"/>
      <c r="XDF401"/>
      <c r="XDG401"/>
      <c r="XDH401"/>
      <c r="XDI401"/>
      <c r="XDJ401"/>
      <c r="XDK401"/>
      <c r="XDL401"/>
      <c r="XDM401"/>
      <c r="XDN401"/>
      <c r="XDO401"/>
      <c r="XDP401"/>
      <c r="XDQ401"/>
      <c r="XDR401"/>
      <c r="XDS401"/>
      <c r="XDT401"/>
      <c r="XDU401"/>
      <c r="XDV401"/>
      <c r="XDW401"/>
      <c r="XDX401"/>
      <c r="XDY401"/>
      <c r="XDZ401"/>
      <c r="XEA401"/>
      <c r="XEB401"/>
      <c r="XEC401"/>
      <c r="XED401"/>
      <c r="XEE401"/>
      <c r="XEF401"/>
      <c r="XEG401"/>
      <c r="XEH401"/>
      <c r="XEI401"/>
      <c r="XEJ401"/>
      <c r="XEK401"/>
      <c r="XEL401"/>
      <c r="XEM401"/>
      <c r="XEN401"/>
      <c r="XEO401"/>
      <c r="XEP401"/>
      <c r="XEQ401"/>
      <c r="XER401"/>
      <c r="XES401"/>
      <c r="XET401"/>
      <c r="XEU401"/>
      <c r="XEV401"/>
      <c r="XEW401"/>
      <c r="XEX401"/>
      <c r="XEY401"/>
      <c r="XEZ401"/>
      <c r="XFA401"/>
      <c r="XFB401"/>
      <c r="XFC401"/>
      <c r="XFD401"/>
    </row>
    <row r="402" spans="1:18 16327:16384" s="26" customFormat="1" ht="29.1" customHeight="1" outlineLevel="2" x14ac:dyDescent="0.25">
      <c r="A402" s="34" t="s">
        <v>687</v>
      </c>
      <c r="B402" s="35"/>
      <c r="C402" s="65" t="s">
        <v>621</v>
      </c>
      <c r="D402" s="65"/>
      <c r="E402" s="35"/>
      <c r="F402" s="36"/>
      <c r="G402" s="35" t="s">
        <v>31</v>
      </c>
      <c r="H402" s="37"/>
      <c r="I402" s="38">
        <f>99</f>
        <v>99</v>
      </c>
      <c r="J402" s="23"/>
      <c r="K402" s="39"/>
      <c r="L402" s="40"/>
      <c r="M402" s="41">
        <f>K402+L402</f>
        <v>0</v>
      </c>
      <c r="N402" s="41">
        <f t="shared" si="13"/>
        <v>0</v>
      </c>
      <c r="O402" s="41">
        <f>ROUND((I402*L402),2)</f>
        <v>0</v>
      </c>
      <c r="P402" s="41">
        <f>ROUND((I402*M402),2)</f>
        <v>0</v>
      </c>
      <c r="Q402" s="41"/>
      <c r="R402" s="23"/>
      <c r="XCY402"/>
      <c r="XCZ402"/>
      <c r="XDA402"/>
      <c r="XDB402"/>
      <c r="XDC402"/>
      <c r="XDD402"/>
      <c r="XDE402"/>
      <c r="XDF402"/>
      <c r="XDG402"/>
      <c r="XDH402"/>
      <c r="XDI402"/>
      <c r="XDJ402"/>
      <c r="XDK402"/>
      <c r="XDL402"/>
      <c r="XDM402"/>
      <c r="XDN402"/>
      <c r="XDO402"/>
      <c r="XDP402"/>
      <c r="XDQ402"/>
      <c r="XDR402"/>
      <c r="XDS402"/>
      <c r="XDT402"/>
      <c r="XDU402"/>
      <c r="XDV402"/>
      <c r="XDW402"/>
      <c r="XDX402"/>
      <c r="XDY402"/>
      <c r="XDZ402"/>
      <c r="XEA402"/>
      <c r="XEB402"/>
      <c r="XEC402"/>
      <c r="XED402"/>
      <c r="XEE402"/>
      <c r="XEF402"/>
      <c r="XEG402"/>
      <c r="XEH402"/>
      <c r="XEI402"/>
      <c r="XEJ402"/>
      <c r="XEK402"/>
      <c r="XEL402"/>
      <c r="XEM402"/>
      <c r="XEN402"/>
      <c r="XEO402"/>
      <c r="XEP402"/>
      <c r="XEQ402"/>
      <c r="XER402"/>
      <c r="XES402"/>
      <c r="XET402"/>
      <c r="XEU402"/>
      <c r="XEV402"/>
      <c r="XEW402"/>
      <c r="XEX402"/>
      <c r="XEY402"/>
      <c r="XEZ402"/>
      <c r="XFA402"/>
      <c r="XFB402"/>
      <c r="XFC402"/>
      <c r="XFD402"/>
    </row>
    <row r="403" spans="1:18 16327:16384" s="26" customFormat="1" ht="29.1" customHeight="1" outlineLevel="3" x14ac:dyDescent="0.25">
      <c r="A403" s="42" t="s">
        <v>688</v>
      </c>
      <c r="B403" s="43"/>
      <c r="C403" s="66" t="s">
        <v>623</v>
      </c>
      <c r="D403" s="66"/>
      <c r="E403" s="43" t="s">
        <v>34</v>
      </c>
      <c r="F403" s="44"/>
      <c r="G403" s="43" t="s">
        <v>31</v>
      </c>
      <c r="H403" s="45">
        <v>1</v>
      </c>
      <c r="I403" s="46">
        <f>99</f>
        <v>99</v>
      </c>
      <c r="J403" s="23"/>
      <c r="K403" s="47"/>
      <c r="L403" s="48"/>
      <c r="M403" s="49"/>
      <c r="N403" s="49">
        <f t="shared" si="13"/>
        <v>0</v>
      </c>
      <c r="O403" s="49"/>
      <c r="P403" s="49"/>
      <c r="Q403" s="49"/>
      <c r="R403" s="23"/>
      <c r="XCY403"/>
      <c r="XCZ403"/>
      <c r="XDA403"/>
      <c r="XDB403"/>
      <c r="XDC403"/>
      <c r="XDD403"/>
      <c r="XDE403"/>
      <c r="XDF403"/>
      <c r="XDG403"/>
      <c r="XDH403"/>
      <c r="XDI403"/>
      <c r="XDJ403"/>
      <c r="XDK403"/>
      <c r="XDL403"/>
      <c r="XDM403"/>
      <c r="XDN403"/>
      <c r="XDO403"/>
      <c r="XDP403"/>
      <c r="XDQ403"/>
      <c r="XDR403"/>
      <c r="XDS403"/>
      <c r="XDT403"/>
      <c r="XDU403"/>
      <c r="XDV403"/>
      <c r="XDW403"/>
      <c r="XDX403"/>
      <c r="XDY403"/>
      <c r="XDZ403"/>
      <c r="XEA403"/>
      <c r="XEB403"/>
      <c r="XEC403"/>
      <c r="XED403"/>
      <c r="XEE403"/>
      <c r="XEF403"/>
      <c r="XEG403"/>
      <c r="XEH403"/>
      <c r="XEI403"/>
      <c r="XEJ403"/>
      <c r="XEK403"/>
      <c r="XEL403"/>
      <c r="XEM403"/>
      <c r="XEN403"/>
      <c r="XEO403"/>
      <c r="XEP403"/>
      <c r="XEQ403"/>
      <c r="XER403"/>
      <c r="XES403"/>
      <c r="XET403"/>
      <c r="XEU403"/>
      <c r="XEV403"/>
      <c r="XEW403"/>
      <c r="XEX403"/>
      <c r="XEY403"/>
      <c r="XEZ403"/>
      <c r="XFA403"/>
      <c r="XFB403"/>
      <c r="XFC403"/>
      <c r="XFD403"/>
    </row>
    <row r="404" spans="1:18 16327:16384" s="26" customFormat="1" ht="29.1" customHeight="1" outlineLevel="2" x14ac:dyDescent="0.25">
      <c r="A404" s="34" t="s">
        <v>689</v>
      </c>
      <c r="B404" s="35"/>
      <c r="C404" s="65" t="s">
        <v>621</v>
      </c>
      <c r="D404" s="65"/>
      <c r="E404" s="35"/>
      <c r="F404" s="36"/>
      <c r="G404" s="35" t="s">
        <v>31</v>
      </c>
      <c r="H404" s="37"/>
      <c r="I404" s="38">
        <f>452</f>
        <v>452</v>
      </c>
      <c r="J404" s="23"/>
      <c r="K404" s="39"/>
      <c r="L404" s="40"/>
      <c r="M404" s="41">
        <f>K404+L404</f>
        <v>0</v>
      </c>
      <c r="N404" s="41">
        <f t="shared" si="13"/>
        <v>0</v>
      </c>
      <c r="O404" s="41">
        <f>ROUND((I404*L404),2)</f>
        <v>0</v>
      </c>
      <c r="P404" s="41">
        <f>ROUND((I404*M404),2)</f>
        <v>0</v>
      </c>
      <c r="Q404" s="41"/>
      <c r="R404" s="23"/>
      <c r="XCY404"/>
      <c r="XCZ404"/>
      <c r="XDA404"/>
      <c r="XDB404"/>
      <c r="XDC404"/>
      <c r="XDD404"/>
      <c r="XDE404"/>
      <c r="XDF404"/>
      <c r="XDG404"/>
      <c r="XDH404"/>
      <c r="XDI404"/>
      <c r="XDJ404"/>
      <c r="XDK404"/>
      <c r="XDL404"/>
      <c r="XDM404"/>
      <c r="XDN404"/>
      <c r="XDO404"/>
      <c r="XDP404"/>
      <c r="XDQ404"/>
      <c r="XDR404"/>
      <c r="XDS404"/>
      <c r="XDT404"/>
      <c r="XDU404"/>
      <c r="XDV404"/>
      <c r="XDW404"/>
      <c r="XDX404"/>
      <c r="XDY404"/>
      <c r="XDZ404"/>
      <c r="XEA404"/>
      <c r="XEB404"/>
      <c r="XEC404"/>
      <c r="XED404"/>
      <c r="XEE404"/>
      <c r="XEF404"/>
      <c r="XEG404"/>
      <c r="XEH404"/>
      <c r="XEI404"/>
      <c r="XEJ404"/>
      <c r="XEK404"/>
      <c r="XEL404"/>
      <c r="XEM404"/>
      <c r="XEN404"/>
      <c r="XEO404"/>
      <c r="XEP404"/>
      <c r="XEQ404"/>
      <c r="XER404"/>
      <c r="XES404"/>
      <c r="XET404"/>
      <c r="XEU404"/>
      <c r="XEV404"/>
      <c r="XEW404"/>
      <c r="XEX404"/>
      <c r="XEY404"/>
      <c r="XEZ404"/>
      <c r="XFA404"/>
      <c r="XFB404"/>
      <c r="XFC404"/>
      <c r="XFD404"/>
    </row>
    <row r="405" spans="1:18 16327:16384" s="26" customFormat="1" ht="29.1" customHeight="1" outlineLevel="3" x14ac:dyDescent="0.25">
      <c r="A405" s="42" t="s">
        <v>690</v>
      </c>
      <c r="B405" s="43"/>
      <c r="C405" s="66" t="s">
        <v>691</v>
      </c>
      <c r="D405" s="66"/>
      <c r="E405" s="43" t="s">
        <v>34</v>
      </c>
      <c r="F405" s="44"/>
      <c r="G405" s="43" t="s">
        <v>31</v>
      </c>
      <c r="H405" s="45">
        <v>1</v>
      </c>
      <c r="I405" s="46">
        <f>452</f>
        <v>452</v>
      </c>
      <c r="J405" s="23"/>
      <c r="K405" s="47"/>
      <c r="L405" s="48"/>
      <c r="M405" s="49"/>
      <c r="N405" s="49">
        <f t="shared" si="13"/>
        <v>0</v>
      </c>
      <c r="O405" s="49"/>
      <c r="P405" s="49"/>
      <c r="Q405" s="49"/>
      <c r="R405" s="23"/>
      <c r="XCY405"/>
      <c r="XCZ405"/>
      <c r="XDA405"/>
      <c r="XDB405"/>
      <c r="XDC405"/>
      <c r="XDD405"/>
      <c r="XDE405"/>
      <c r="XDF405"/>
      <c r="XDG405"/>
      <c r="XDH405"/>
      <c r="XDI405"/>
      <c r="XDJ405"/>
      <c r="XDK405"/>
      <c r="XDL405"/>
      <c r="XDM405"/>
      <c r="XDN405"/>
      <c r="XDO405"/>
      <c r="XDP405"/>
      <c r="XDQ405"/>
      <c r="XDR405"/>
      <c r="XDS405"/>
      <c r="XDT405"/>
      <c r="XDU405"/>
      <c r="XDV405"/>
      <c r="XDW405"/>
      <c r="XDX405"/>
      <c r="XDY405"/>
      <c r="XDZ405"/>
      <c r="XEA405"/>
      <c r="XEB405"/>
      <c r="XEC405"/>
      <c r="XED405"/>
      <c r="XEE405"/>
      <c r="XEF405"/>
      <c r="XEG405"/>
      <c r="XEH405"/>
      <c r="XEI405"/>
      <c r="XEJ405"/>
      <c r="XEK405"/>
      <c r="XEL405"/>
      <c r="XEM405"/>
      <c r="XEN405"/>
      <c r="XEO405"/>
      <c r="XEP405"/>
      <c r="XEQ405"/>
      <c r="XER405"/>
      <c r="XES405"/>
      <c r="XET405"/>
      <c r="XEU405"/>
      <c r="XEV405"/>
      <c r="XEW405"/>
      <c r="XEX405"/>
      <c r="XEY405"/>
      <c r="XEZ405"/>
      <c r="XFA405"/>
      <c r="XFB405"/>
      <c r="XFC405"/>
      <c r="XFD405"/>
    </row>
    <row r="406" spans="1:18 16327:16384" s="26" customFormat="1" ht="29.1" customHeight="1" outlineLevel="2" x14ac:dyDescent="0.25">
      <c r="A406" s="34" t="s">
        <v>692</v>
      </c>
      <c r="B406" s="35"/>
      <c r="C406" s="65" t="s">
        <v>50</v>
      </c>
      <c r="D406" s="65"/>
      <c r="E406" s="35"/>
      <c r="F406" s="36"/>
      <c r="G406" s="35" t="s">
        <v>31</v>
      </c>
      <c r="H406" s="37"/>
      <c r="I406" s="38">
        <f>98</f>
        <v>98</v>
      </c>
      <c r="J406" s="23"/>
      <c r="K406" s="39"/>
      <c r="L406" s="40"/>
      <c r="M406" s="41">
        <f>K406+L406</f>
        <v>0</v>
      </c>
      <c r="N406" s="41">
        <f t="shared" si="13"/>
        <v>0</v>
      </c>
      <c r="O406" s="41">
        <f>ROUND((I406*L406),2)</f>
        <v>0</v>
      </c>
      <c r="P406" s="41">
        <f>ROUND((I406*M406),2)</f>
        <v>0</v>
      </c>
      <c r="Q406" s="41"/>
      <c r="R406" s="23"/>
      <c r="XCY406"/>
      <c r="XCZ406"/>
      <c r="XDA406"/>
      <c r="XDB406"/>
      <c r="XDC406"/>
      <c r="XDD406"/>
      <c r="XDE406"/>
      <c r="XDF406"/>
      <c r="XDG406"/>
      <c r="XDH406"/>
      <c r="XDI406"/>
      <c r="XDJ406"/>
      <c r="XDK406"/>
      <c r="XDL406"/>
      <c r="XDM406"/>
      <c r="XDN406"/>
      <c r="XDO406"/>
      <c r="XDP406"/>
      <c r="XDQ406"/>
      <c r="XDR406"/>
      <c r="XDS406"/>
      <c r="XDT406"/>
      <c r="XDU406"/>
      <c r="XDV406"/>
      <c r="XDW406"/>
      <c r="XDX406"/>
      <c r="XDY406"/>
      <c r="XDZ406"/>
      <c r="XEA406"/>
      <c r="XEB406"/>
      <c r="XEC406"/>
      <c r="XED406"/>
      <c r="XEE406"/>
      <c r="XEF406"/>
      <c r="XEG406"/>
      <c r="XEH406"/>
      <c r="XEI406"/>
      <c r="XEJ406"/>
      <c r="XEK406"/>
      <c r="XEL406"/>
      <c r="XEM406"/>
      <c r="XEN406"/>
      <c r="XEO406"/>
      <c r="XEP406"/>
      <c r="XEQ406"/>
      <c r="XER406"/>
      <c r="XES406"/>
      <c r="XET406"/>
      <c r="XEU406"/>
      <c r="XEV406"/>
      <c r="XEW406"/>
      <c r="XEX406"/>
      <c r="XEY406"/>
      <c r="XEZ406"/>
      <c r="XFA406"/>
      <c r="XFB406"/>
      <c r="XFC406"/>
      <c r="XFD406"/>
    </row>
    <row r="407" spans="1:18 16327:16384" s="26" customFormat="1" ht="29.1" customHeight="1" outlineLevel="3" x14ac:dyDescent="0.25">
      <c r="A407" s="42" t="s">
        <v>693</v>
      </c>
      <c r="B407" s="43"/>
      <c r="C407" s="66" t="s">
        <v>694</v>
      </c>
      <c r="D407" s="66"/>
      <c r="E407" s="43" t="s">
        <v>34</v>
      </c>
      <c r="F407" s="44"/>
      <c r="G407" s="43" t="s">
        <v>31</v>
      </c>
      <c r="H407" s="45">
        <v>1</v>
      </c>
      <c r="I407" s="46">
        <f>98</f>
        <v>98</v>
      </c>
      <c r="J407" s="23"/>
      <c r="K407" s="47"/>
      <c r="L407" s="48"/>
      <c r="M407" s="49"/>
      <c r="N407" s="49">
        <f t="shared" si="13"/>
        <v>0</v>
      </c>
      <c r="O407" s="49"/>
      <c r="P407" s="49"/>
      <c r="Q407" s="49"/>
      <c r="R407" s="23"/>
      <c r="XCY407"/>
      <c r="XCZ407"/>
      <c r="XDA407"/>
      <c r="XDB407"/>
      <c r="XDC407"/>
      <c r="XDD407"/>
      <c r="XDE407"/>
      <c r="XDF407"/>
      <c r="XDG407"/>
      <c r="XDH407"/>
      <c r="XDI407"/>
      <c r="XDJ407"/>
      <c r="XDK407"/>
      <c r="XDL407"/>
      <c r="XDM407"/>
      <c r="XDN407"/>
      <c r="XDO407"/>
      <c r="XDP407"/>
      <c r="XDQ407"/>
      <c r="XDR407"/>
      <c r="XDS407"/>
      <c r="XDT407"/>
      <c r="XDU407"/>
      <c r="XDV407"/>
      <c r="XDW407"/>
      <c r="XDX407"/>
      <c r="XDY407"/>
      <c r="XDZ407"/>
      <c r="XEA407"/>
      <c r="XEB407"/>
      <c r="XEC407"/>
      <c r="XED407"/>
      <c r="XEE407"/>
      <c r="XEF407"/>
      <c r="XEG407"/>
      <c r="XEH407"/>
      <c r="XEI407"/>
      <c r="XEJ407"/>
      <c r="XEK407"/>
      <c r="XEL407"/>
      <c r="XEM407"/>
      <c r="XEN407"/>
      <c r="XEO407"/>
      <c r="XEP407"/>
      <c r="XEQ407"/>
      <c r="XER407"/>
      <c r="XES407"/>
      <c r="XET407"/>
      <c r="XEU407"/>
      <c r="XEV407"/>
      <c r="XEW407"/>
      <c r="XEX407"/>
      <c r="XEY407"/>
      <c r="XEZ407"/>
      <c r="XFA407"/>
      <c r="XFB407"/>
      <c r="XFC407"/>
      <c r="XFD407"/>
    </row>
    <row r="408" spans="1:18 16327:16384" s="26" customFormat="1" ht="29.1" customHeight="1" outlineLevel="2" x14ac:dyDescent="0.25">
      <c r="A408" s="34" t="s">
        <v>695</v>
      </c>
      <c r="B408" s="35"/>
      <c r="C408" s="65" t="s">
        <v>50</v>
      </c>
      <c r="D408" s="65"/>
      <c r="E408" s="35"/>
      <c r="F408" s="36"/>
      <c r="G408" s="35" t="s">
        <v>31</v>
      </c>
      <c r="H408" s="37"/>
      <c r="I408" s="38">
        <f>7</f>
        <v>7</v>
      </c>
      <c r="J408" s="23"/>
      <c r="K408" s="39"/>
      <c r="L408" s="40"/>
      <c r="M408" s="41">
        <f>K408+L408</f>
        <v>0</v>
      </c>
      <c r="N408" s="41">
        <f t="shared" si="13"/>
        <v>0</v>
      </c>
      <c r="O408" s="41">
        <f>ROUND((I408*L408),2)</f>
        <v>0</v>
      </c>
      <c r="P408" s="41">
        <f>ROUND((I408*M408),2)</f>
        <v>0</v>
      </c>
      <c r="Q408" s="41"/>
      <c r="R408" s="23"/>
      <c r="XCY408"/>
      <c r="XCZ408"/>
      <c r="XDA408"/>
      <c r="XDB408"/>
      <c r="XDC408"/>
      <c r="XDD408"/>
      <c r="XDE408"/>
      <c r="XDF408"/>
      <c r="XDG408"/>
      <c r="XDH408"/>
      <c r="XDI408"/>
      <c r="XDJ408"/>
      <c r="XDK408"/>
      <c r="XDL408"/>
      <c r="XDM408"/>
      <c r="XDN408"/>
      <c r="XDO408"/>
      <c r="XDP408"/>
      <c r="XDQ408"/>
      <c r="XDR408"/>
      <c r="XDS408"/>
      <c r="XDT408"/>
      <c r="XDU408"/>
      <c r="XDV408"/>
      <c r="XDW408"/>
      <c r="XDX408"/>
      <c r="XDY408"/>
      <c r="XDZ408"/>
      <c r="XEA408"/>
      <c r="XEB408"/>
      <c r="XEC408"/>
      <c r="XED408"/>
      <c r="XEE408"/>
      <c r="XEF408"/>
      <c r="XEG408"/>
      <c r="XEH408"/>
      <c r="XEI408"/>
      <c r="XEJ408"/>
      <c r="XEK408"/>
      <c r="XEL408"/>
      <c r="XEM408"/>
      <c r="XEN408"/>
      <c r="XEO408"/>
      <c r="XEP408"/>
      <c r="XEQ408"/>
      <c r="XER408"/>
      <c r="XES408"/>
      <c r="XET408"/>
      <c r="XEU408"/>
      <c r="XEV408"/>
      <c r="XEW408"/>
      <c r="XEX408"/>
      <c r="XEY408"/>
      <c r="XEZ408"/>
      <c r="XFA408"/>
      <c r="XFB408"/>
      <c r="XFC408"/>
      <c r="XFD408"/>
    </row>
    <row r="409" spans="1:18 16327:16384" s="26" customFormat="1" ht="29.1" customHeight="1" outlineLevel="3" x14ac:dyDescent="0.25">
      <c r="A409" s="42" t="s">
        <v>696</v>
      </c>
      <c r="B409" s="43"/>
      <c r="C409" s="66" t="s">
        <v>697</v>
      </c>
      <c r="D409" s="66"/>
      <c r="E409" s="43" t="s">
        <v>34</v>
      </c>
      <c r="F409" s="44"/>
      <c r="G409" s="43" t="s">
        <v>31</v>
      </c>
      <c r="H409" s="45">
        <v>1</v>
      </c>
      <c r="I409" s="46">
        <f>7</f>
        <v>7</v>
      </c>
      <c r="J409" s="23"/>
      <c r="K409" s="47"/>
      <c r="L409" s="48"/>
      <c r="M409" s="49"/>
      <c r="N409" s="49">
        <f t="shared" si="13"/>
        <v>0</v>
      </c>
      <c r="O409" s="49"/>
      <c r="P409" s="49"/>
      <c r="Q409" s="49"/>
      <c r="R409" s="23"/>
      <c r="XCY409"/>
      <c r="XCZ409"/>
      <c r="XDA409"/>
      <c r="XDB409"/>
      <c r="XDC409"/>
      <c r="XDD409"/>
      <c r="XDE409"/>
      <c r="XDF409"/>
      <c r="XDG409"/>
      <c r="XDH409"/>
      <c r="XDI409"/>
      <c r="XDJ409"/>
      <c r="XDK409"/>
      <c r="XDL409"/>
      <c r="XDM409"/>
      <c r="XDN409"/>
      <c r="XDO409"/>
      <c r="XDP409"/>
      <c r="XDQ409"/>
      <c r="XDR409"/>
      <c r="XDS409"/>
      <c r="XDT409"/>
      <c r="XDU409"/>
      <c r="XDV409"/>
      <c r="XDW409"/>
      <c r="XDX409"/>
      <c r="XDY409"/>
      <c r="XDZ409"/>
      <c r="XEA409"/>
      <c r="XEB409"/>
      <c r="XEC409"/>
      <c r="XED409"/>
      <c r="XEE409"/>
      <c r="XEF409"/>
      <c r="XEG409"/>
      <c r="XEH409"/>
      <c r="XEI409"/>
      <c r="XEJ409"/>
      <c r="XEK409"/>
      <c r="XEL409"/>
      <c r="XEM409"/>
      <c r="XEN409"/>
      <c r="XEO409"/>
      <c r="XEP409"/>
      <c r="XEQ409"/>
      <c r="XER409"/>
      <c r="XES409"/>
      <c r="XET409"/>
      <c r="XEU409"/>
      <c r="XEV409"/>
      <c r="XEW409"/>
      <c r="XEX409"/>
      <c r="XEY409"/>
      <c r="XEZ409"/>
      <c r="XFA409"/>
      <c r="XFB409"/>
      <c r="XFC409"/>
      <c r="XFD409"/>
    </row>
    <row r="410" spans="1:18 16327:16384" s="26" customFormat="1" ht="29.1" customHeight="1" outlineLevel="2" x14ac:dyDescent="0.25">
      <c r="A410" s="34" t="s">
        <v>698</v>
      </c>
      <c r="B410" s="35"/>
      <c r="C410" s="65" t="s">
        <v>50</v>
      </c>
      <c r="D410" s="65"/>
      <c r="E410" s="35"/>
      <c r="F410" s="36"/>
      <c r="G410" s="35" t="s">
        <v>31</v>
      </c>
      <c r="H410" s="37"/>
      <c r="I410" s="38">
        <f>12</f>
        <v>12</v>
      </c>
      <c r="J410" s="23"/>
      <c r="K410" s="39"/>
      <c r="L410" s="40"/>
      <c r="M410" s="41">
        <f>K410+L410</f>
        <v>0</v>
      </c>
      <c r="N410" s="41">
        <f t="shared" si="13"/>
        <v>0</v>
      </c>
      <c r="O410" s="41">
        <f>ROUND((I410*L410),2)</f>
        <v>0</v>
      </c>
      <c r="P410" s="41">
        <f>ROUND((I410*M410),2)</f>
        <v>0</v>
      </c>
      <c r="Q410" s="41"/>
      <c r="R410" s="23"/>
      <c r="XCY410"/>
      <c r="XCZ410"/>
      <c r="XDA410"/>
      <c r="XDB410"/>
      <c r="XDC410"/>
      <c r="XDD410"/>
      <c r="XDE410"/>
      <c r="XDF410"/>
      <c r="XDG410"/>
      <c r="XDH410"/>
      <c r="XDI410"/>
      <c r="XDJ410"/>
      <c r="XDK410"/>
      <c r="XDL410"/>
      <c r="XDM410"/>
      <c r="XDN410"/>
      <c r="XDO410"/>
      <c r="XDP410"/>
      <c r="XDQ410"/>
      <c r="XDR410"/>
      <c r="XDS410"/>
      <c r="XDT410"/>
      <c r="XDU410"/>
      <c r="XDV410"/>
      <c r="XDW410"/>
      <c r="XDX410"/>
      <c r="XDY410"/>
      <c r="XDZ410"/>
      <c r="XEA410"/>
      <c r="XEB410"/>
      <c r="XEC410"/>
      <c r="XED410"/>
      <c r="XEE410"/>
      <c r="XEF410"/>
      <c r="XEG410"/>
      <c r="XEH410"/>
      <c r="XEI410"/>
      <c r="XEJ410"/>
      <c r="XEK410"/>
      <c r="XEL410"/>
      <c r="XEM410"/>
      <c r="XEN410"/>
      <c r="XEO410"/>
      <c r="XEP410"/>
      <c r="XEQ410"/>
      <c r="XER410"/>
      <c r="XES410"/>
      <c r="XET410"/>
      <c r="XEU410"/>
      <c r="XEV410"/>
      <c r="XEW410"/>
      <c r="XEX410"/>
      <c r="XEY410"/>
      <c r="XEZ410"/>
      <c r="XFA410"/>
      <c r="XFB410"/>
      <c r="XFC410"/>
      <c r="XFD410"/>
    </row>
    <row r="411" spans="1:18 16327:16384" s="26" customFormat="1" ht="29.1" customHeight="1" outlineLevel="3" x14ac:dyDescent="0.25">
      <c r="A411" s="42" t="s">
        <v>699</v>
      </c>
      <c r="B411" s="43"/>
      <c r="C411" s="66" t="s">
        <v>626</v>
      </c>
      <c r="D411" s="66"/>
      <c r="E411" s="43" t="s">
        <v>34</v>
      </c>
      <c r="F411" s="44"/>
      <c r="G411" s="43" t="s">
        <v>31</v>
      </c>
      <c r="H411" s="45">
        <v>1</v>
      </c>
      <c r="I411" s="46">
        <f>6</f>
        <v>6</v>
      </c>
      <c r="J411" s="23"/>
      <c r="K411" s="47"/>
      <c r="L411" s="48"/>
      <c r="M411" s="49"/>
      <c r="N411" s="49">
        <f t="shared" si="13"/>
        <v>0</v>
      </c>
      <c r="O411" s="49"/>
      <c r="P411" s="49"/>
      <c r="Q411" s="49"/>
      <c r="R411" s="23"/>
      <c r="XCY411"/>
      <c r="XCZ411"/>
      <c r="XDA411"/>
      <c r="XDB411"/>
      <c r="XDC411"/>
      <c r="XDD411"/>
      <c r="XDE411"/>
      <c r="XDF411"/>
      <c r="XDG411"/>
      <c r="XDH411"/>
      <c r="XDI411"/>
      <c r="XDJ411"/>
      <c r="XDK411"/>
      <c r="XDL411"/>
      <c r="XDM411"/>
      <c r="XDN411"/>
      <c r="XDO411"/>
      <c r="XDP411"/>
      <c r="XDQ411"/>
      <c r="XDR411"/>
      <c r="XDS411"/>
      <c r="XDT411"/>
      <c r="XDU411"/>
      <c r="XDV411"/>
      <c r="XDW411"/>
      <c r="XDX411"/>
      <c r="XDY411"/>
      <c r="XDZ411"/>
      <c r="XEA411"/>
      <c r="XEB411"/>
      <c r="XEC411"/>
      <c r="XED411"/>
      <c r="XEE411"/>
      <c r="XEF411"/>
      <c r="XEG411"/>
      <c r="XEH411"/>
      <c r="XEI411"/>
      <c r="XEJ411"/>
      <c r="XEK411"/>
      <c r="XEL411"/>
      <c r="XEM411"/>
      <c r="XEN411"/>
      <c r="XEO411"/>
      <c r="XEP411"/>
      <c r="XEQ411"/>
      <c r="XER411"/>
      <c r="XES411"/>
      <c r="XET411"/>
      <c r="XEU411"/>
      <c r="XEV411"/>
      <c r="XEW411"/>
      <c r="XEX411"/>
      <c r="XEY411"/>
      <c r="XEZ411"/>
      <c r="XFA411"/>
      <c r="XFB411"/>
      <c r="XFC411"/>
      <c r="XFD411"/>
    </row>
    <row r="412" spans="1:18 16327:16384" s="26" customFormat="1" ht="29.1" customHeight="1" outlineLevel="3" x14ac:dyDescent="0.25">
      <c r="A412" s="42" t="s">
        <v>700</v>
      </c>
      <c r="B412" s="43"/>
      <c r="C412" s="66" t="s">
        <v>628</v>
      </c>
      <c r="D412" s="66"/>
      <c r="E412" s="43" t="s">
        <v>34</v>
      </c>
      <c r="F412" s="44"/>
      <c r="G412" s="43" t="s">
        <v>31</v>
      </c>
      <c r="H412" s="45">
        <v>1</v>
      </c>
      <c r="I412" s="46">
        <f>6</f>
        <v>6</v>
      </c>
      <c r="J412" s="23"/>
      <c r="K412" s="47"/>
      <c r="L412" s="48"/>
      <c r="M412" s="49"/>
      <c r="N412" s="49">
        <f t="shared" si="13"/>
        <v>0</v>
      </c>
      <c r="O412" s="49"/>
      <c r="P412" s="49"/>
      <c r="Q412" s="49"/>
      <c r="R412" s="23"/>
      <c r="XCY412"/>
      <c r="XCZ412"/>
      <c r="XDA412"/>
      <c r="XDB412"/>
      <c r="XDC412"/>
      <c r="XDD412"/>
      <c r="XDE412"/>
      <c r="XDF412"/>
      <c r="XDG412"/>
      <c r="XDH412"/>
      <c r="XDI412"/>
      <c r="XDJ412"/>
      <c r="XDK412"/>
      <c r="XDL412"/>
      <c r="XDM412"/>
      <c r="XDN412"/>
      <c r="XDO412"/>
      <c r="XDP412"/>
      <c r="XDQ412"/>
      <c r="XDR412"/>
      <c r="XDS412"/>
      <c r="XDT412"/>
      <c r="XDU412"/>
      <c r="XDV412"/>
      <c r="XDW412"/>
      <c r="XDX412"/>
      <c r="XDY412"/>
      <c r="XDZ412"/>
      <c r="XEA412"/>
      <c r="XEB412"/>
      <c r="XEC412"/>
      <c r="XED412"/>
      <c r="XEE412"/>
      <c r="XEF412"/>
      <c r="XEG412"/>
      <c r="XEH412"/>
      <c r="XEI412"/>
      <c r="XEJ412"/>
      <c r="XEK412"/>
      <c r="XEL412"/>
      <c r="XEM412"/>
      <c r="XEN412"/>
      <c r="XEO412"/>
      <c r="XEP412"/>
      <c r="XEQ412"/>
      <c r="XER412"/>
      <c r="XES412"/>
      <c r="XET412"/>
      <c r="XEU412"/>
      <c r="XEV412"/>
      <c r="XEW412"/>
      <c r="XEX412"/>
      <c r="XEY412"/>
      <c r="XEZ412"/>
      <c r="XFA412"/>
      <c r="XFB412"/>
      <c r="XFC412"/>
      <c r="XFD412"/>
    </row>
    <row r="413" spans="1:18 16327:16384" s="26" customFormat="1" ht="29.1" customHeight="1" outlineLevel="2" x14ac:dyDescent="0.25">
      <c r="A413" s="34" t="s">
        <v>701</v>
      </c>
      <c r="B413" s="35"/>
      <c r="C413" s="65" t="s">
        <v>64</v>
      </c>
      <c r="D413" s="65"/>
      <c r="E413" s="35"/>
      <c r="F413" s="36"/>
      <c r="G413" s="35" t="s">
        <v>65</v>
      </c>
      <c r="H413" s="37"/>
      <c r="I413" s="38">
        <f>153</f>
        <v>153</v>
      </c>
      <c r="J413" s="23"/>
      <c r="K413" s="39"/>
      <c r="L413" s="40"/>
      <c r="M413" s="41"/>
      <c r="N413" s="41"/>
      <c r="O413" s="41"/>
      <c r="P413" s="41"/>
      <c r="Q413" s="41"/>
      <c r="R413" s="23"/>
      <c r="XCY413"/>
      <c r="XCZ413"/>
      <c r="XDA413"/>
      <c r="XDB413"/>
      <c r="XDC413"/>
      <c r="XDD413"/>
      <c r="XDE413"/>
      <c r="XDF413"/>
      <c r="XDG413"/>
      <c r="XDH413"/>
      <c r="XDI413"/>
      <c r="XDJ413"/>
      <c r="XDK413"/>
      <c r="XDL413"/>
      <c r="XDM413"/>
      <c r="XDN413"/>
      <c r="XDO413"/>
      <c r="XDP413"/>
      <c r="XDQ413"/>
      <c r="XDR413"/>
      <c r="XDS413"/>
      <c r="XDT413"/>
      <c r="XDU413"/>
      <c r="XDV413"/>
      <c r="XDW413"/>
      <c r="XDX413"/>
      <c r="XDY413"/>
      <c r="XDZ413"/>
      <c r="XEA413"/>
      <c r="XEB413"/>
      <c r="XEC413"/>
      <c r="XED413"/>
      <c r="XEE413"/>
      <c r="XEF413"/>
      <c r="XEG413"/>
      <c r="XEH413"/>
      <c r="XEI413"/>
      <c r="XEJ413"/>
      <c r="XEK413"/>
      <c r="XEL413"/>
      <c r="XEM413"/>
      <c r="XEN413"/>
      <c r="XEO413"/>
      <c r="XEP413"/>
      <c r="XEQ413"/>
      <c r="XER413"/>
      <c r="XES413"/>
      <c r="XET413"/>
      <c r="XEU413"/>
      <c r="XEV413"/>
      <c r="XEW413"/>
      <c r="XEX413"/>
      <c r="XEY413"/>
      <c r="XEZ413"/>
      <c r="XFA413"/>
      <c r="XFB413"/>
      <c r="XFC413"/>
      <c r="XFD413"/>
    </row>
    <row r="414" spans="1:18 16327:16384" s="26" customFormat="1" ht="29.1" customHeight="1" outlineLevel="3" x14ac:dyDescent="0.25">
      <c r="A414" s="42" t="s">
        <v>702</v>
      </c>
      <c r="B414" s="43"/>
      <c r="C414" s="66" t="s">
        <v>703</v>
      </c>
      <c r="D414" s="66"/>
      <c r="E414" s="43" t="s">
        <v>34</v>
      </c>
      <c r="F414" s="44"/>
      <c r="G414" s="43" t="s">
        <v>65</v>
      </c>
      <c r="H414" s="45">
        <v>1.02</v>
      </c>
      <c r="I414" s="46">
        <f>156.06</f>
        <v>156.06</v>
      </c>
      <c r="J414" s="23"/>
      <c r="K414" s="47"/>
      <c r="L414" s="48"/>
      <c r="M414" s="49"/>
      <c r="N414" s="49">
        <f t="shared" si="13"/>
        <v>0</v>
      </c>
      <c r="O414" s="49"/>
      <c r="P414" s="49"/>
      <c r="Q414" s="49"/>
      <c r="R414" s="23"/>
      <c r="XCY414"/>
      <c r="XCZ414"/>
      <c r="XDA414"/>
      <c r="XDB414"/>
      <c r="XDC414"/>
      <c r="XDD414"/>
      <c r="XDE414"/>
      <c r="XDF414"/>
      <c r="XDG414"/>
      <c r="XDH414"/>
      <c r="XDI414"/>
      <c r="XDJ414"/>
      <c r="XDK414"/>
      <c r="XDL414"/>
      <c r="XDM414"/>
      <c r="XDN414"/>
      <c r="XDO414"/>
      <c r="XDP414"/>
      <c r="XDQ414"/>
      <c r="XDR414"/>
      <c r="XDS414"/>
      <c r="XDT414"/>
      <c r="XDU414"/>
      <c r="XDV414"/>
      <c r="XDW414"/>
      <c r="XDX414"/>
      <c r="XDY414"/>
      <c r="XDZ414"/>
      <c r="XEA414"/>
      <c r="XEB414"/>
      <c r="XEC414"/>
      <c r="XED414"/>
      <c r="XEE414"/>
      <c r="XEF414"/>
      <c r="XEG414"/>
      <c r="XEH414"/>
      <c r="XEI414"/>
      <c r="XEJ414"/>
      <c r="XEK414"/>
      <c r="XEL414"/>
      <c r="XEM414"/>
      <c r="XEN414"/>
      <c r="XEO414"/>
      <c r="XEP414"/>
      <c r="XEQ414"/>
      <c r="XER414"/>
      <c r="XES414"/>
      <c r="XET414"/>
      <c r="XEU414"/>
      <c r="XEV414"/>
      <c r="XEW414"/>
      <c r="XEX414"/>
      <c r="XEY414"/>
      <c r="XEZ414"/>
      <c r="XFA414"/>
      <c r="XFB414"/>
      <c r="XFC414"/>
      <c r="XFD414"/>
    </row>
    <row r="415" spans="1:18 16327:16384" s="26" customFormat="1" ht="29.1" customHeight="1" outlineLevel="2" x14ac:dyDescent="0.25">
      <c r="A415" s="34" t="s">
        <v>704</v>
      </c>
      <c r="B415" s="35"/>
      <c r="C415" s="65" t="s">
        <v>69</v>
      </c>
      <c r="D415" s="65"/>
      <c r="E415" s="35"/>
      <c r="F415" s="36"/>
      <c r="G415" s="35" t="s">
        <v>65</v>
      </c>
      <c r="H415" s="37"/>
      <c r="I415" s="38">
        <f>3870</f>
        <v>3870</v>
      </c>
      <c r="J415" s="23"/>
      <c r="K415" s="39"/>
      <c r="L415" s="40"/>
      <c r="M415" s="41"/>
      <c r="N415" s="41"/>
      <c r="O415" s="41"/>
      <c r="P415" s="41"/>
      <c r="Q415" s="41"/>
      <c r="R415" s="23"/>
      <c r="XCY415"/>
      <c r="XCZ415"/>
      <c r="XDA415"/>
      <c r="XDB415"/>
      <c r="XDC415"/>
      <c r="XDD415"/>
      <c r="XDE415"/>
      <c r="XDF415"/>
      <c r="XDG415"/>
      <c r="XDH415"/>
      <c r="XDI415"/>
      <c r="XDJ415"/>
      <c r="XDK415"/>
      <c r="XDL415"/>
      <c r="XDM415"/>
      <c r="XDN415"/>
      <c r="XDO415"/>
      <c r="XDP415"/>
      <c r="XDQ415"/>
      <c r="XDR415"/>
      <c r="XDS415"/>
      <c r="XDT415"/>
      <c r="XDU415"/>
      <c r="XDV415"/>
      <c r="XDW415"/>
      <c r="XDX415"/>
      <c r="XDY415"/>
      <c r="XDZ415"/>
      <c r="XEA415"/>
      <c r="XEB415"/>
      <c r="XEC415"/>
      <c r="XED415"/>
      <c r="XEE415"/>
      <c r="XEF415"/>
      <c r="XEG415"/>
      <c r="XEH415"/>
      <c r="XEI415"/>
      <c r="XEJ415"/>
      <c r="XEK415"/>
      <c r="XEL415"/>
      <c r="XEM415"/>
      <c r="XEN415"/>
      <c r="XEO415"/>
      <c r="XEP415"/>
      <c r="XEQ415"/>
      <c r="XER415"/>
      <c r="XES415"/>
      <c r="XET415"/>
      <c r="XEU415"/>
      <c r="XEV415"/>
      <c r="XEW415"/>
      <c r="XEX415"/>
      <c r="XEY415"/>
      <c r="XEZ415"/>
      <c r="XFA415"/>
      <c r="XFB415"/>
      <c r="XFC415"/>
      <c r="XFD415"/>
    </row>
    <row r="416" spans="1:18 16327:16384" s="26" customFormat="1" ht="29.1" customHeight="1" outlineLevel="3" x14ac:dyDescent="0.25">
      <c r="A416" s="42" t="s">
        <v>705</v>
      </c>
      <c r="B416" s="43"/>
      <c r="C416" s="66" t="s">
        <v>706</v>
      </c>
      <c r="D416" s="66"/>
      <c r="E416" s="43" t="s">
        <v>34</v>
      </c>
      <c r="F416" s="44"/>
      <c r="G416" s="43" t="s">
        <v>65</v>
      </c>
      <c r="H416" s="45">
        <v>1.02</v>
      </c>
      <c r="I416" s="46">
        <f>3947.4</f>
        <v>3947.4</v>
      </c>
      <c r="J416" s="23"/>
      <c r="K416" s="47"/>
      <c r="L416" s="48"/>
      <c r="M416" s="49"/>
      <c r="N416" s="49">
        <f t="shared" si="13"/>
        <v>0</v>
      </c>
      <c r="O416" s="49"/>
      <c r="P416" s="49"/>
      <c r="Q416" s="49"/>
      <c r="R416" s="23"/>
      <c r="XCY416"/>
      <c r="XCZ416"/>
      <c r="XDA416"/>
      <c r="XDB416"/>
      <c r="XDC416"/>
      <c r="XDD416"/>
      <c r="XDE416"/>
      <c r="XDF416"/>
      <c r="XDG416"/>
      <c r="XDH416"/>
      <c r="XDI416"/>
      <c r="XDJ416"/>
      <c r="XDK416"/>
      <c r="XDL416"/>
      <c r="XDM416"/>
      <c r="XDN416"/>
      <c r="XDO416"/>
      <c r="XDP416"/>
      <c r="XDQ416"/>
      <c r="XDR416"/>
      <c r="XDS416"/>
      <c r="XDT416"/>
      <c r="XDU416"/>
      <c r="XDV416"/>
      <c r="XDW416"/>
      <c r="XDX416"/>
      <c r="XDY416"/>
      <c r="XDZ416"/>
      <c r="XEA416"/>
      <c r="XEB416"/>
      <c r="XEC416"/>
      <c r="XED416"/>
      <c r="XEE416"/>
      <c r="XEF416"/>
      <c r="XEG416"/>
      <c r="XEH416"/>
      <c r="XEI416"/>
      <c r="XEJ416"/>
      <c r="XEK416"/>
      <c r="XEL416"/>
      <c r="XEM416"/>
      <c r="XEN416"/>
      <c r="XEO416"/>
      <c r="XEP416"/>
      <c r="XEQ416"/>
      <c r="XER416"/>
      <c r="XES416"/>
      <c r="XET416"/>
      <c r="XEU416"/>
      <c r="XEV416"/>
      <c r="XEW416"/>
      <c r="XEX416"/>
      <c r="XEY416"/>
      <c r="XEZ416"/>
      <c r="XFA416"/>
      <c r="XFB416"/>
      <c r="XFC416"/>
      <c r="XFD416"/>
    </row>
    <row r="417" spans="1:18 16327:16384" s="26" customFormat="1" ht="29.1" customHeight="1" outlineLevel="2" x14ac:dyDescent="0.25">
      <c r="A417" s="34" t="s">
        <v>707</v>
      </c>
      <c r="B417" s="35"/>
      <c r="C417" s="65" t="s">
        <v>255</v>
      </c>
      <c r="D417" s="65"/>
      <c r="E417" s="35"/>
      <c r="F417" s="36"/>
      <c r="G417" s="35" t="s">
        <v>65</v>
      </c>
      <c r="H417" s="37"/>
      <c r="I417" s="38">
        <f>244</f>
        <v>244</v>
      </c>
      <c r="J417" s="23"/>
      <c r="K417" s="39"/>
      <c r="L417" s="40"/>
      <c r="M417" s="41"/>
      <c r="N417" s="41"/>
      <c r="O417" s="41"/>
      <c r="P417" s="41"/>
      <c r="Q417" s="41"/>
      <c r="R417" s="23"/>
      <c r="XCY417"/>
      <c r="XCZ417"/>
      <c r="XDA417"/>
      <c r="XDB417"/>
      <c r="XDC417"/>
      <c r="XDD417"/>
      <c r="XDE417"/>
      <c r="XDF417"/>
      <c r="XDG417"/>
      <c r="XDH417"/>
      <c r="XDI417"/>
      <c r="XDJ417"/>
      <c r="XDK417"/>
      <c r="XDL417"/>
      <c r="XDM417"/>
      <c r="XDN417"/>
      <c r="XDO417"/>
      <c r="XDP417"/>
      <c r="XDQ417"/>
      <c r="XDR417"/>
      <c r="XDS417"/>
      <c r="XDT417"/>
      <c r="XDU417"/>
      <c r="XDV417"/>
      <c r="XDW417"/>
      <c r="XDX417"/>
      <c r="XDY417"/>
      <c r="XDZ417"/>
      <c r="XEA417"/>
      <c r="XEB417"/>
      <c r="XEC417"/>
      <c r="XED417"/>
      <c r="XEE417"/>
      <c r="XEF417"/>
      <c r="XEG417"/>
      <c r="XEH417"/>
      <c r="XEI417"/>
      <c r="XEJ417"/>
      <c r="XEK417"/>
      <c r="XEL417"/>
      <c r="XEM417"/>
      <c r="XEN417"/>
      <c r="XEO417"/>
      <c r="XEP417"/>
      <c r="XEQ417"/>
      <c r="XER417"/>
      <c r="XES417"/>
      <c r="XET417"/>
      <c r="XEU417"/>
      <c r="XEV417"/>
      <c r="XEW417"/>
      <c r="XEX417"/>
      <c r="XEY417"/>
      <c r="XEZ417"/>
      <c r="XFA417"/>
      <c r="XFB417"/>
      <c r="XFC417"/>
      <c r="XFD417"/>
    </row>
    <row r="418" spans="1:18 16327:16384" s="26" customFormat="1" ht="29.1" customHeight="1" outlineLevel="3" x14ac:dyDescent="0.25">
      <c r="A418" s="42" t="s">
        <v>708</v>
      </c>
      <c r="B418" s="43"/>
      <c r="C418" s="66" t="s">
        <v>703</v>
      </c>
      <c r="D418" s="66"/>
      <c r="E418" s="43" t="s">
        <v>34</v>
      </c>
      <c r="F418" s="44"/>
      <c r="G418" s="43" t="s">
        <v>65</v>
      </c>
      <c r="H418" s="45">
        <v>1.02</v>
      </c>
      <c r="I418" s="46">
        <f>248.88</f>
        <v>248.88</v>
      </c>
      <c r="J418" s="23"/>
      <c r="K418" s="47"/>
      <c r="L418" s="48"/>
      <c r="M418" s="49"/>
      <c r="N418" s="49">
        <f t="shared" si="13"/>
        <v>0</v>
      </c>
      <c r="O418" s="49"/>
      <c r="P418" s="49"/>
      <c r="Q418" s="49"/>
      <c r="R418" s="23"/>
      <c r="XCY418"/>
      <c r="XCZ418"/>
      <c r="XDA418"/>
      <c r="XDB418"/>
      <c r="XDC418"/>
      <c r="XDD418"/>
      <c r="XDE418"/>
      <c r="XDF418"/>
      <c r="XDG418"/>
      <c r="XDH418"/>
      <c r="XDI418"/>
      <c r="XDJ418"/>
      <c r="XDK418"/>
      <c r="XDL418"/>
      <c r="XDM418"/>
      <c r="XDN418"/>
      <c r="XDO418"/>
      <c r="XDP418"/>
      <c r="XDQ418"/>
      <c r="XDR418"/>
      <c r="XDS418"/>
      <c r="XDT418"/>
      <c r="XDU418"/>
      <c r="XDV418"/>
      <c r="XDW418"/>
      <c r="XDX418"/>
      <c r="XDY418"/>
      <c r="XDZ418"/>
      <c r="XEA418"/>
      <c r="XEB418"/>
      <c r="XEC418"/>
      <c r="XED418"/>
      <c r="XEE418"/>
      <c r="XEF418"/>
      <c r="XEG418"/>
      <c r="XEH418"/>
      <c r="XEI418"/>
      <c r="XEJ418"/>
      <c r="XEK418"/>
      <c r="XEL418"/>
      <c r="XEM418"/>
      <c r="XEN418"/>
      <c r="XEO418"/>
      <c r="XEP418"/>
      <c r="XEQ418"/>
      <c r="XER418"/>
      <c r="XES418"/>
      <c r="XET418"/>
      <c r="XEU418"/>
      <c r="XEV418"/>
      <c r="XEW418"/>
      <c r="XEX418"/>
      <c r="XEY418"/>
      <c r="XEZ418"/>
      <c r="XFA418"/>
      <c r="XFB418"/>
      <c r="XFC418"/>
      <c r="XFD418"/>
    </row>
    <row r="419" spans="1:18 16327:16384" s="26" customFormat="1" ht="29.1" customHeight="1" outlineLevel="2" x14ac:dyDescent="0.25">
      <c r="A419" s="34" t="s">
        <v>709</v>
      </c>
      <c r="B419" s="35"/>
      <c r="C419" s="65" t="s">
        <v>64</v>
      </c>
      <c r="D419" s="65"/>
      <c r="E419" s="35"/>
      <c r="F419" s="36"/>
      <c r="G419" s="35" t="s">
        <v>65</v>
      </c>
      <c r="H419" s="37"/>
      <c r="I419" s="38">
        <f>172</f>
        <v>172</v>
      </c>
      <c r="J419" s="23"/>
      <c r="K419" s="39"/>
      <c r="L419" s="40"/>
      <c r="M419" s="41"/>
      <c r="N419" s="41"/>
      <c r="O419" s="41"/>
      <c r="P419" s="41"/>
      <c r="Q419" s="41"/>
      <c r="R419" s="23"/>
      <c r="XCY419"/>
      <c r="XCZ419"/>
      <c r="XDA419"/>
      <c r="XDB419"/>
      <c r="XDC419"/>
      <c r="XDD419"/>
      <c r="XDE419"/>
      <c r="XDF419"/>
      <c r="XDG419"/>
      <c r="XDH419"/>
      <c r="XDI419"/>
      <c r="XDJ419"/>
      <c r="XDK419"/>
      <c r="XDL419"/>
      <c r="XDM419"/>
      <c r="XDN419"/>
      <c r="XDO419"/>
      <c r="XDP419"/>
      <c r="XDQ419"/>
      <c r="XDR419"/>
      <c r="XDS419"/>
      <c r="XDT419"/>
      <c r="XDU419"/>
      <c r="XDV419"/>
      <c r="XDW419"/>
      <c r="XDX419"/>
      <c r="XDY419"/>
      <c r="XDZ419"/>
      <c r="XEA419"/>
      <c r="XEB419"/>
      <c r="XEC419"/>
      <c r="XED419"/>
      <c r="XEE419"/>
      <c r="XEF419"/>
      <c r="XEG419"/>
      <c r="XEH419"/>
      <c r="XEI419"/>
      <c r="XEJ419"/>
      <c r="XEK419"/>
      <c r="XEL419"/>
      <c r="XEM419"/>
      <c r="XEN419"/>
      <c r="XEO419"/>
      <c r="XEP419"/>
      <c r="XEQ419"/>
      <c r="XER419"/>
      <c r="XES419"/>
      <c r="XET419"/>
      <c r="XEU419"/>
      <c r="XEV419"/>
      <c r="XEW419"/>
      <c r="XEX419"/>
      <c r="XEY419"/>
      <c r="XEZ419"/>
      <c r="XFA419"/>
      <c r="XFB419"/>
      <c r="XFC419"/>
      <c r="XFD419"/>
    </row>
    <row r="420" spans="1:18 16327:16384" s="26" customFormat="1" ht="29.1" customHeight="1" outlineLevel="3" x14ac:dyDescent="0.25">
      <c r="A420" s="42" t="s">
        <v>710</v>
      </c>
      <c r="B420" s="43"/>
      <c r="C420" s="66" t="s">
        <v>652</v>
      </c>
      <c r="D420" s="66"/>
      <c r="E420" s="43" t="s">
        <v>34</v>
      </c>
      <c r="F420" s="44"/>
      <c r="G420" s="43" t="s">
        <v>65</v>
      </c>
      <c r="H420" s="45">
        <v>1.02</v>
      </c>
      <c r="I420" s="46">
        <f>175.44</f>
        <v>175.44</v>
      </c>
      <c r="J420" s="23"/>
      <c r="K420" s="47"/>
      <c r="L420" s="48"/>
      <c r="M420" s="49"/>
      <c r="N420" s="49">
        <f t="shared" si="13"/>
        <v>0</v>
      </c>
      <c r="O420" s="49"/>
      <c r="P420" s="49"/>
      <c r="Q420" s="49"/>
      <c r="R420" s="23"/>
      <c r="XCY420"/>
      <c r="XCZ420"/>
      <c r="XDA420"/>
      <c r="XDB420"/>
      <c r="XDC420"/>
      <c r="XDD420"/>
      <c r="XDE420"/>
      <c r="XDF420"/>
      <c r="XDG420"/>
      <c r="XDH420"/>
      <c r="XDI420"/>
      <c r="XDJ420"/>
      <c r="XDK420"/>
      <c r="XDL420"/>
      <c r="XDM420"/>
      <c r="XDN420"/>
      <c r="XDO420"/>
      <c r="XDP420"/>
      <c r="XDQ420"/>
      <c r="XDR420"/>
      <c r="XDS420"/>
      <c r="XDT420"/>
      <c r="XDU420"/>
      <c r="XDV420"/>
      <c r="XDW420"/>
      <c r="XDX420"/>
      <c r="XDY420"/>
      <c r="XDZ420"/>
      <c r="XEA420"/>
      <c r="XEB420"/>
      <c r="XEC420"/>
      <c r="XED420"/>
      <c r="XEE420"/>
      <c r="XEF420"/>
      <c r="XEG420"/>
      <c r="XEH420"/>
      <c r="XEI420"/>
      <c r="XEJ420"/>
      <c r="XEK420"/>
      <c r="XEL420"/>
      <c r="XEM420"/>
      <c r="XEN420"/>
      <c r="XEO420"/>
      <c r="XEP420"/>
      <c r="XEQ420"/>
      <c r="XER420"/>
      <c r="XES420"/>
      <c r="XET420"/>
      <c r="XEU420"/>
      <c r="XEV420"/>
      <c r="XEW420"/>
      <c r="XEX420"/>
      <c r="XEY420"/>
      <c r="XEZ420"/>
      <c r="XFA420"/>
      <c r="XFB420"/>
      <c r="XFC420"/>
      <c r="XFD420"/>
    </row>
    <row r="421" spans="1:18 16327:16384" s="26" customFormat="1" ht="29.1" customHeight="1" outlineLevel="2" x14ac:dyDescent="0.25">
      <c r="A421" s="34" t="s">
        <v>711</v>
      </c>
      <c r="B421" s="35"/>
      <c r="C421" s="65" t="s">
        <v>69</v>
      </c>
      <c r="D421" s="65"/>
      <c r="E421" s="35"/>
      <c r="F421" s="36"/>
      <c r="G421" s="35" t="s">
        <v>65</v>
      </c>
      <c r="H421" s="37"/>
      <c r="I421" s="38">
        <f>50</f>
        <v>50</v>
      </c>
      <c r="J421" s="23"/>
      <c r="K421" s="39"/>
      <c r="L421" s="40"/>
      <c r="M421" s="41"/>
      <c r="N421" s="41"/>
      <c r="O421" s="41"/>
      <c r="P421" s="41"/>
      <c r="Q421" s="41"/>
      <c r="R421" s="23"/>
      <c r="XCY421"/>
      <c r="XCZ421"/>
      <c r="XDA421"/>
      <c r="XDB421"/>
      <c r="XDC421"/>
      <c r="XDD421"/>
      <c r="XDE421"/>
      <c r="XDF421"/>
      <c r="XDG421"/>
      <c r="XDH421"/>
      <c r="XDI421"/>
      <c r="XDJ421"/>
      <c r="XDK421"/>
      <c r="XDL421"/>
      <c r="XDM421"/>
      <c r="XDN421"/>
      <c r="XDO421"/>
      <c r="XDP421"/>
      <c r="XDQ421"/>
      <c r="XDR421"/>
      <c r="XDS421"/>
      <c r="XDT421"/>
      <c r="XDU421"/>
      <c r="XDV421"/>
      <c r="XDW421"/>
      <c r="XDX421"/>
      <c r="XDY421"/>
      <c r="XDZ421"/>
      <c r="XEA421"/>
      <c r="XEB421"/>
      <c r="XEC421"/>
      <c r="XED421"/>
      <c r="XEE421"/>
      <c r="XEF421"/>
      <c r="XEG421"/>
      <c r="XEH421"/>
      <c r="XEI421"/>
      <c r="XEJ421"/>
      <c r="XEK421"/>
      <c r="XEL421"/>
      <c r="XEM421"/>
      <c r="XEN421"/>
      <c r="XEO421"/>
      <c r="XEP421"/>
      <c r="XEQ421"/>
      <c r="XER421"/>
      <c r="XES421"/>
      <c r="XET421"/>
      <c r="XEU421"/>
      <c r="XEV421"/>
      <c r="XEW421"/>
      <c r="XEX421"/>
      <c r="XEY421"/>
      <c r="XEZ421"/>
      <c r="XFA421"/>
      <c r="XFB421"/>
      <c r="XFC421"/>
      <c r="XFD421"/>
    </row>
    <row r="422" spans="1:18 16327:16384" s="26" customFormat="1" ht="29.1" customHeight="1" outlineLevel="3" x14ac:dyDescent="0.25">
      <c r="A422" s="42" t="s">
        <v>712</v>
      </c>
      <c r="B422" s="43"/>
      <c r="C422" s="66" t="s">
        <v>713</v>
      </c>
      <c r="D422" s="66"/>
      <c r="E422" s="43" t="s">
        <v>34</v>
      </c>
      <c r="F422" s="44"/>
      <c r="G422" s="43" t="s">
        <v>65</v>
      </c>
      <c r="H422" s="45">
        <v>1.02</v>
      </c>
      <c r="I422" s="46">
        <f>51</f>
        <v>51</v>
      </c>
      <c r="J422" s="23"/>
      <c r="K422" s="47"/>
      <c r="L422" s="48"/>
      <c r="M422" s="49"/>
      <c r="N422" s="49">
        <f t="shared" si="13"/>
        <v>0</v>
      </c>
      <c r="O422" s="49"/>
      <c r="P422" s="49"/>
      <c r="Q422" s="49"/>
      <c r="R422" s="23"/>
      <c r="XCY422"/>
      <c r="XCZ422"/>
      <c r="XDA422"/>
      <c r="XDB422"/>
      <c r="XDC422"/>
      <c r="XDD422"/>
      <c r="XDE422"/>
      <c r="XDF422"/>
      <c r="XDG422"/>
      <c r="XDH422"/>
      <c r="XDI422"/>
      <c r="XDJ422"/>
      <c r="XDK422"/>
      <c r="XDL422"/>
      <c r="XDM422"/>
      <c r="XDN422"/>
      <c r="XDO422"/>
      <c r="XDP422"/>
      <c r="XDQ422"/>
      <c r="XDR422"/>
      <c r="XDS422"/>
      <c r="XDT422"/>
      <c r="XDU422"/>
      <c r="XDV422"/>
      <c r="XDW422"/>
      <c r="XDX422"/>
      <c r="XDY422"/>
      <c r="XDZ422"/>
      <c r="XEA422"/>
      <c r="XEB422"/>
      <c r="XEC422"/>
      <c r="XED422"/>
      <c r="XEE422"/>
      <c r="XEF422"/>
      <c r="XEG422"/>
      <c r="XEH422"/>
      <c r="XEI422"/>
      <c r="XEJ422"/>
      <c r="XEK422"/>
      <c r="XEL422"/>
      <c r="XEM422"/>
      <c r="XEN422"/>
      <c r="XEO422"/>
      <c r="XEP422"/>
      <c r="XEQ422"/>
      <c r="XER422"/>
      <c r="XES422"/>
      <c r="XET422"/>
      <c r="XEU422"/>
      <c r="XEV422"/>
      <c r="XEW422"/>
      <c r="XEX422"/>
      <c r="XEY422"/>
      <c r="XEZ422"/>
      <c r="XFA422"/>
      <c r="XFB422"/>
      <c r="XFC422"/>
      <c r="XFD422"/>
    </row>
    <row r="423" spans="1:18 16327:16384" s="26" customFormat="1" ht="29.1" customHeight="1" outlineLevel="2" x14ac:dyDescent="0.25">
      <c r="A423" s="34" t="s">
        <v>714</v>
      </c>
      <c r="B423" s="35"/>
      <c r="C423" s="65" t="s">
        <v>255</v>
      </c>
      <c r="D423" s="65"/>
      <c r="E423" s="35"/>
      <c r="F423" s="36"/>
      <c r="G423" s="35" t="s">
        <v>65</v>
      </c>
      <c r="H423" s="37"/>
      <c r="I423" s="38">
        <f>32</f>
        <v>32</v>
      </c>
      <c r="J423" s="23"/>
      <c r="K423" s="39"/>
      <c r="L423" s="40"/>
      <c r="M423" s="41"/>
      <c r="N423" s="41"/>
      <c r="O423" s="41"/>
      <c r="P423" s="41"/>
      <c r="Q423" s="41"/>
      <c r="R423" s="23"/>
      <c r="XCY423"/>
      <c r="XCZ423"/>
      <c r="XDA423"/>
      <c r="XDB423"/>
      <c r="XDC423"/>
      <c r="XDD423"/>
      <c r="XDE423"/>
      <c r="XDF423"/>
      <c r="XDG423"/>
      <c r="XDH423"/>
      <c r="XDI423"/>
      <c r="XDJ423"/>
      <c r="XDK423"/>
      <c r="XDL423"/>
      <c r="XDM423"/>
      <c r="XDN423"/>
      <c r="XDO423"/>
      <c r="XDP423"/>
      <c r="XDQ423"/>
      <c r="XDR423"/>
      <c r="XDS423"/>
      <c r="XDT423"/>
      <c r="XDU423"/>
      <c r="XDV423"/>
      <c r="XDW423"/>
      <c r="XDX423"/>
      <c r="XDY423"/>
      <c r="XDZ423"/>
      <c r="XEA423"/>
      <c r="XEB423"/>
      <c r="XEC423"/>
      <c r="XED423"/>
      <c r="XEE423"/>
      <c r="XEF423"/>
      <c r="XEG423"/>
      <c r="XEH423"/>
      <c r="XEI423"/>
      <c r="XEJ423"/>
      <c r="XEK423"/>
      <c r="XEL423"/>
      <c r="XEM423"/>
      <c r="XEN423"/>
      <c r="XEO423"/>
      <c r="XEP423"/>
      <c r="XEQ423"/>
      <c r="XER423"/>
      <c r="XES423"/>
      <c r="XET423"/>
      <c r="XEU423"/>
      <c r="XEV423"/>
      <c r="XEW423"/>
      <c r="XEX423"/>
      <c r="XEY423"/>
      <c r="XEZ423"/>
      <c r="XFA423"/>
      <c r="XFB423"/>
      <c r="XFC423"/>
      <c r="XFD423"/>
    </row>
    <row r="424" spans="1:18 16327:16384" s="26" customFormat="1" ht="29.1" customHeight="1" outlineLevel="3" x14ac:dyDescent="0.25">
      <c r="A424" s="42" t="s">
        <v>715</v>
      </c>
      <c r="B424" s="43"/>
      <c r="C424" s="66" t="s">
        <v>652</v>
      </c>
      <c r="D424" s="66"/>
      <c r="E424" s="43" t="s">
        <v>34</v>
      </c>
      <c r="F424" s="44"/>
      <c r="G424" s="43" t="s">
        <v>65</v>
      </c>
      <c r="H424" s="45">
        <v>1.02</v>
      </c>
      <c r="I424" s="46">
        <f>32.64</f>
        <v>32.64</v>
      </c>
      <c r="J424" s="23"/>
      <c r="K424" s="47"/>
      <c r="L424" s="48"/>
      <c r="M424" s="49"/>
      <c r="N424" s="49">
        <f t="shared" si="13"/>
        <v>0</v>
      </c>
      <c r="O424" s="49"/>
      <c r="P424" s="49"/>
      <c r="Q424" s="49"/>
      <c r="R424" s="23"/>
      <c r="XCY424"/>
      <c r="XCZ424"/>
      <c r="XDA424"/>
      <c r="XDB424"/>
      <c r="XDC424"/>
      <c r="XDD424"/>
      <c r="XDE424"/>
      <c r="XDF424"/>
      <c r="XDG424"/>
      <c r="XDH424"/>
      <c r="XDI424"/>
      <c r="XDJ424"/>
      <c r="XDK424"/>
      <c r="XDL424"/>
      <c r="XDM424"/>
      <c r="XDN424"/>
      <c r="XDO424"/>
      <c r="XDP424"/>
      <c r="XDQ424"/>
      <c r="XDR424"/>
      <c r="XDS424"/>
      <c r="XDT424"/>
      <c r="XDU424"/>
      <c r="XDV424"/>
      <c r="XDW424"/>
      <c r="XDX424"/>
      <c r="XDY424"/>
      <c r="XDZ424"/>
      <c r="XEA424"/>
      <c r="XEB424"/>
      <c r="XEC424"/>
      <c r="XED424"/>
      <c r="XEE424"/>
      <c r="XEF424"/>
      <c r="XEG424"/>
      <c r="XEH424"/>
      <c r="XEI424"/>
      <c r="XEJ424"/>
      <c r="XEK424"/>
      <c r="XEL424"/>
      <c r="XEM424"/>
      <c r="XEN424"/>
      <c r="XEO424"/>
      <c r="XEP424"/>
      <c r="XEQ424"/>
      <c r="XER424"/>
      <c r="XES424"/>
      <c r="XET424"/>
      <c r="XEU424"/>
      <c r="XEV424"/>
      <c r="XEW424"/>
      <c r="XEX424"/>
      <c r="XEY424"/>
      <c r="XEZ424"/>
      <c r="XFA424"/>
      <c r="XFB424"/>
      <c r="XFC424"/>
      <c r="XFD424"/>
    </row>
    <row r="425" spans="1:18 16327:16384" s="26" customFormat="1" ht="29.1" customHeight="1" outlineLevel="2" x14ac:dyDescent="0.25">
      <c r="A425" s="34" t="s">
        <v>716</v>
      </c>
      <c r="B425" s="35"/>
      <c r="C425" s="65" t="s">
        <v>69</v>
      </c>
      <c r="D425" s="65"/>
      <c r="E425" s="35"/>
      <c r="F425" s="36"/>
      <c r="G425" s="35" t="s">
        <v>65</v>
      </c>
      <c r="H425" s="37"/>
      <c r="I425" s="38">
        <f>80</f>
        <v>80</v>
      </c>
      <c r="J425" s="23"/>
      <c r="K425" s="39"/>
      <c r="L425" s="40"/>
      <c r="M425" s="41"/>
      <c r="N425" s="41"/>
      <c r="O425" s="41"/>
      <c r="P425" s="41"/>
      <c r="Q425" s="41"/>
      <c r="R425" s="23"/>
      <c r="XCY425"/>
      <c r="XCZ425"/>
      <c r="XDA425"/>
      <c r="XDB425"/>
      <c r="XDC425"/>
      <c r="XDD425"/>
      <c r="XDE425"/>
      <c r="XDF425"/>
      <c r="XDG425"/>
      <c r="XDH425"/>
      <c r="XDI425"/>
      <c r="XDJ425"/>
      <c r="XDK425"/>
      <c r="XDL425"/>
      <c r="XDM425"/>
      <c r="XDN425"/>
      <c r="XDO425"/>
      <c r="XDP425"/>
      <c r="XDQ425"/>
      <c r="XDR425"/>
      <c r="XDS425"/>
      <c r="XDT425"/>
      <c r="XDU425"/>
      <c r="XDV425"/>
      <c r="XDW425"/>
      <c r="XDX425"/>
      <c r="XDY425"/>
      <c r="XDZ425"/>
      <c r="XEA425"/>
      <c r="XEB425"/>
      <c r="XEC425"/>
      <c r="XED425"/>
      <c r="XEE425"/>
      <c r="XEF425"/>
      <c r="XEG425"/>
      <c r="XEH425"/>
      <c r="XEI425"/>
      <c r="XEJ425"/>
      <c r="XEK425"/>
      <c r="XEL425"/>
      <c r="XEM425"/>
      <c r="XEN425"/>
      <c r="XEO425"/>
      <c r="XEP425"/>
      <c r="XEQ425"/>
      <c r="XER425"/>
      <c r="XES425"/>
      <c r="XET425"/>
      <c r="XEU425"/>
      <c r="XEV425"/>
      <c r="XEW425"/>
      <c r="XEX425"/>
      <c r="XEY425"/>
      <c r="XEZ425"/>
      <c r="XFA425"/>
      <c r="XFB425"/>
      <c r="XFC425"/>
      <c r="XFD425"/>
    </row>
    <row r="426" spans="1:18 16327:16384" s="26" customFormat="1" ht="29.1" customHeight="1" outlineLevel="3" x14ac:dyDescent="0.25">
      <c r="A426" s="42" t="s">
        <v>717</v>
      </c>
      <c r="B426" s="43"/>
      <c r="C426" s="66" t="s">
        <v>718</v>
      </c>
      <c r="D426" s="66"/>
      <c r="E426" s="43" t="s">
        <v>34</v>
      </c>
      <c r="F426" s="44"/>
      <c r="G426" s="43" t="s">
        <v>65</v>
      </c>
      <c r="H426" s="45">
        <v>1.02</v>
      </c>
      <c r="I426" s="46">
        <f>81.6</f>
        <v>81.599999999999994</v>
      </c>
      <c r="J426" s="23"/>
      <c r="K426" s="47"/>
      <c r="L426" s="48"/>
      <c r="M426" s="49"/>
      <c r="N426" s="49">
        <f t="shared" si="13"/>
        <v>0</v>
      </c>
      <c r="O426" s="49"/>
      <c r="P426" s="49"/>
      <c r="Q426" s="49"/>
      <c r="R426" s="23"/>
      <c r="XCY426"/>
      <c r="XCZ426"/>
      <c r="XDA426"/>
      <c r="XDB426"/>
      <c r="XDC426"/>
      <c r="XDD426"/>
      <c r="XDE426"/>
      <c r="XDF426"/>
      <c r="XDG426"/>
      <c r="XDH426"/>
      <c r="XDI426"/>
      <c r="XDJ426"/>
      <c r="XDK426"/>
      <c r="XDL426"/>
      <c r="XDM426"/>
      <c r="XDN426"/>
      <c r="XDO426"/>
      <c r="XDP426"/>
      <c r="XDQ426"/>
      <c r="XDR426"/>
      <c r="XDS426"/>
      <c r="XDT426"/>
      <c r="XDU426"/>
      <c r="XDV426"/>
      <c r="XDW426"/>
      <c r="XDX426"/>
      <c r="XDY426"/>
      <c r="XDZ426"/>
      <c r="XEA426"/>
      <c r="XEB426"/>
      <c r="XEC426"/>
      <c r="XED426"/>
      <c r="XEE426"/>
      <c r="XEF426"/>
      <c r="XEG426"/>
      <c r="XEH426"/>
      <c r="XEI426"/>
      <c r="XEJ426"/>
      <c r="XEK426"/>
      <c r="XEL426"/>
      <c r="XEM426"/>
      <c r="XEN426"/>
      <c r="XEO426"/>
      <c r="XEP426"/>
      <c r="XEQ426"/>
      <c r="XER426"/>
      <c r="XES426"/>
      <c r="XET426"/>
      <c r="XEU426"/>
      <c r="XEV426"/>
      <c r="XEW426"/>
      <c r="XEX426"/>
      <c r="XEY426"/>
      <c r="XEZ426"/>
      <c r="XFA426"/>
      <c r="XFB426"/>
      <c r="XFC426"/>
      <c r="XFD426"/>
    </row>
    <row r="427" spans="1:18 16327:16384" s="26" customFormat="1" ht="29.1" customHeight="1" outlineLevel="2" x14ac:dyDescent="0.25">
      <c r="A427" s="34" t="s">
        <v>719</v>
      </c>
      <c r="B427" s="35"/>
      <c r="C427" s="65" t="s">
        <v>454</v>
      </c>
      <c r="D427" s="65"/>
      <c r="E427" s="35"/>
      <c r="F427" s="36"/>
      <c r="G427" s="35" t="s">
        <v>65</v>
      </c>
      <c r="H427" s="37"/>
      <c r="I427" s="38">
        <f>4000</f>
        <v>4000</v>
      </c>
      <c r="J427" s="23"/>
      <c r="K427" s="39"/>
      <c r="L427" s="40"/>
      <c r="M427" s="41">
        <f>K427+L427</f>
        <v>0</v>
      </c>
      <c r="N427" s="41">
        <f t="shared" si="13"/>
        <v>0</v>
      </c>
      <c r="O427" s="41">
        <f>ROUND((I427*L427),2)</f>
        <v>0</v>
      </c>
      <c r="P427" s="41">
        <f>ROUND((I427*M427),2)</f>
        <v>0</v>
      </c>
      <c r="Q427" s="41"/>
      <c r="R427" s="23"/>
      <c r="XCY427"/>
      <c r="XCZ427"/>
      <c r="XDA427"/>
      <c r="XDB427"/>
      <c r="XDC427"/>
      <c r="XDD427"/>
      <c r="XDE427"/>
      <c r="XDF427"/>
      <c r="XDG427"/>
      <c r="XDH427"/>
      <c r="XDI427"/>
      <c r="XDJ427"/>
      <c r="XDK427"/>
      <c r="XDL427"/>
      <c r="XDM427"/>
      <c r="XDN427"/>
      <c r="XDO427"/>
      <c r="XDP427"/>
      <c r="XDQ427"/>
      <c r="XDR427"/>
      <c r="XDS427"/>
      <c r="XDT427"/>
      <c r="XDU427"/>
      <c r="XDV427"/>
      <c r="XDW427"/>
      <c r="XDX427"/>
      <c r="XDY427"/>
      <c r="XDZ427"/>
      <c r="XEA427"/>
      <c r="XEB427"/>
      <c r="XEC427"/>
      <c r="XED427"/>
      <c r="XEE427"/>
      <c r="XEF427"/>
      <c r="XEG427"/>
      <c r="XEH427"/>
      <c r="XEI427"/>
      <c r="XEJ427"/>
      <c r="XEK427"/>
      <c r="XEL427"/>
      <c r="XEM427"/>
      <c r="XEN427"/>
      <c r="XEO427"/>
      <c r="XEP427"/>
      <c r="XEQ427"/>
      <c r="XER427"/>
      <c r="XES427"/>
      <c r="XET427"/>
      <c r="XEU427"/>
      <c r="XEV427"/>
      <c r="XEW427"/>
      <c r="XEX427"/>
      <c r="XEY427"/>
      <c r="XEZ427"/>
      <c r="XFA427"/>
      <c r="XFB427"/>
      <c r="XFC427"/>
      <c r="XFD427"/>
    </row>
    <row r="428" spans="1:18 16327:16384" s="26" customFormat="1" ht="29.1" customHeight="1" outlineLevel="3" x14ac:dyDescent="0.25">
      <c r="A428" s="42" t="s">
        <v>720</v>
      </c>
      <c r="B428" s="43"/>
      <c r="C428" s="66" t="s">
        <v>456</v>
      </c>
      <c r="D428" s="66"/>
      <c r="E428" s="43" t="s">
        <v>34</v>
      </c>
      <c r="F428" s="44"/>
      <c r="G428" s="43" t="s">
        <v>65</v>
      </c>
      <c r="H428" s="45">
        <v>1.012</v>
      </c>
      <c r="I428" s="46">
        <f>4048</f>
        <v>4048</v>
      </c>
      <c r="J428" s="23"/>
      <c r="K428" s="47"/>
      <c r="L428" s="48"/>
      <c r="M428" s="49"/>
      <c r="N428" s="49">
        <f t="shared" si="13"/>
        <v>0</v>
      </c>
      <c r="O428" s="49"/>
      <c r="P428" s="49"/>
      <c r="Q428" s="49"/>
      <c r="R428" s="23"/>
      <c r="XCY428"/>
      <c r="XCZ428"/>
      <c r="XDA428"/>
      <c r="XDB428"/>
      <c r="XDC428"/>
      <c r="XDD428"/>
      <c r="XDE428"/>
      <c r="XDF428"/>
      <c r="XDG428"/>
      <c r="XDH428"/>
      <c r="XDI428"/>
      <c r="XDJ428"/>
      <c r="XDK428"/>
      <c r="XDL428"/>
      <c r="XDM428"/>
      <c r="XDN428"/>
      <c r="XDO428"/>
      <c r="XDP428"/>
      <c r="XDQ428"/>
      <c r="XDR428"/>
      <c r="XDS428"/>
      <c r="XDT428"/>
      <c r="XDU428"/>
      <c r="XDV428"/>
      <c r="XDW428"/>
      <c r="XDX428"/>
      <c r="XDY428"/>
      <c r="XDZ428"/>
      <c r="XEA428"/>
      <c r="XEB428"/>
      <c r="XEC428"/>
      <c r="XED428"/>
      <c r="XEE428"/>
      <c r="XEF428"/>
      <c r="XEG428"/>
      <c r="XEH428"/>
      <c r="XEI428"/>
      <c r="XEJ428"/>
      <c r="XEK428"/>
      <c r="XEL428"/>
      <c r="XEM428"/>
      <c r="XEN428"/>
      <c r="XEO428"/>
      <c r="XEP428"/>
      <c r="XEQ428"/>
      <c r="XER428"/>
      <c r="XES428"/>
      <c r="XET428"/>
      <c r="XEU428"/>
      <c r="XEV428"/>
      <c r="XEW428"/>
      <c r="XEX428"/>
      <c r="XEY428"/>
      <c r="XEZ428"/>
      <c r="XFA428"/>
      <c r="XFB428"/>
      <c r="XFC428"/>
      <c r="XFD428"/>
    </row>
    <row r="429" spans="1:18 16327:16384" s="26" customFormat="1" ht="29.1" customHeight="1" outlineLevel="3" x14ac:dyDescent="0.25">
      <c r="A429" s="42" t="s">
        <v>721</v>
      </c>
      <c r="B429" s="43"/>
      <c r="C429" s="66" t="s">
        <v>668</v>
      </c>
      <c r="D429" s="66"/>
      <c r="E429" s="43" t="s">
        <v>34</v>
      </c>
      <c r="F429" s="44"/>
      <c r="G429" s="43" t="s">
        <v>31</v>
      </c>
      <c r="H429" s="45">
        <v>1</v>
      </c>
      <c r="I429" s="46">
        <f>8000</f>
        <v>8000</v>
      </c>
      <c r="J429" s="23"/>
      <c r="K429" s="47"/>
      <c r="L429" s="48"/>
      <c r="M429" s="49"/>
      <c r="N429" s="49">
        <f t="shared" si="13"/>
        <v>0</v>
      </c>
      <c r="O429" s="49"/>
      <c r="P429" s="49"/>
      <c r="Q429" s="49"/>
      <c r="R429" s="23"/>
      <c r="XCY429"/>
      <c r="XCZ429"/>
      <c r="XDA429"/>
      <c r="XDB429"/>
      <c r="XDC429"/>
      <c r="XDD429"/>
      <c r="XDE429"/>
      <c r="XDF429"/>
      <c r="XDG429"/>
      <c r="XDH429"/>
      <c r="XDI429"/>
      <c r="XDJ429"/>
      <c r="XDK429"/>
      <c r="XDL429"/>
      <c r="XDM429"/>
      <c r="XDN429"/>
      <c r="XDO429"/>
      <c r="XDP429"/>
      <c r="XDQ429"/>
      <c r="XDR429"/>
      <c r="XDS429"/>
      <c r="XDT429"/>
      <c r="XDU429"/>
      <c r="XDV429"/>
      <c r="XDW429"/>
      <c r="XDX429"/>
      <c r="XDY429"/>
      <c r="XDZ429"/>
      <c r="XEA429"/>
      <c r="XEB429"/>
      <c r="XEC429"/>
      <c r="XED429"/>
      <c r="XEE429"/>
      <c r="XEF429"/>
      <c r="XEG429"/>
      <c r="XEH429"/>
      <c r="XEI429"/>
      <c r="XEJ429"/>
      <c r="XEK429"/>
      <c r="XEL429"/>
      <c r="XEM429"/>
      <c r="XEN429"/>
      <c r="XEO429"/>
      <c r="XEP429"/>
      <c r="XEQ429"/>
      <c r="XER429"/>
      <c r="XES429"/>
      <c r="XET429"/>
      <c r="XEU429"/>
      <c r="XEV429"/>
      <c r="XEW429"/>
      <c r="XEX429"/>
      <c r="XEY429"/>
      <c r="XEZ429"/>
      <c r="XFA429"/>
      <c r="XFB429"/>
      <c r="XFC429"/>
      <c r="XFD429"/>
    </row>
    <row r="430" spans="1:18 16327:16384" s="26" customFormat="1" ht="29.1" customHeight="1" outlineLevel="2" x14ac:dyDescent="0.25">
      <c r="A430" s="34" t="s">
        <v>722</v>
      </c>
      <c r="B430" s="35"/>
      <c r="C430" s="65" t="s">
        <v>600</v>
      </c>
      <c r="D430" s="65"/>
      <c r="E430" s="35"/>
      <c r="F430" s="36"/>
      <c r="G430" s="35" t="s">
        <v>31</v>
      </c>
      <c r="H430" s="37"/>
      <c r="I430" s="38">
        <f>40</f>
        <v>40</v>
      </c>
      <c r="J430" s="23"/>
      <c r="K430" s="39"/>
      <c r="L430" s="40"/>
      <c r="M430" s="41">
        <f>K430+L430</f>
        <v>0</v>
      </c>
      <c r="N430" s="41">
        <f t="shared" si="13"/>
        <v>0</v>
      </c>
      <c r="O430" s="41">
        <f>ROUND((I430*L430),2)</f>
        <v>0</v>
      </c>
      <c r="P430" s="41">
        <f>ROUND((I430*M430),2)</f>
        <v>0</v>
      </c>
      <c r="Q430" s="41"/>
      <c r="R430" s="23"/>
      <c r="XCY430"/>
      <c r="XCZ430"/>
      <c r="XDA430"/>
      <c r="XDB430"/>
      <c r="XDC430"/>
      <c r="XDD430"/>
      <c r="XDE430"/>
      <c r="XDF430"/>
      <c r="XDG430"/>
      <c r="XDH430"/>
      <c r="XDI430"/>
      <c r="XDJ430"/>
      <c r="XDK430"/>
      <c r="XDL430"/>
      <c r="XDM430"/>
      <c r="XDN430"/>
      <c r="XDO430"/>
      <c r="XDP430"/>
      <c r="XDQ430"/>
      <c r="XDR430"/>
      <c r="XDS430"/>
      <c r="XDT430"/>
      <c r="XDU430"/>
      <c r="XDV430"/>
      <c r="XDW430"/>
      <c r="XDX430"/>
      <c r="XDY430"/>
      <c r="XDZ430"/>
      <c r="XEA430"/>
      <c r="XEB430"/>
      <c r="XEC430"/>
      <c r="XED430"/>
      <c r="XEE430"/>
      <c r="XEF430"/>
      <c r="XEG430"/>
      <c r="XEH430"/>
      <c r="XEI430"/>
      <c r="XEJ430"/>
      <c r="XEK430"/>
      <c r="XEL430"/>
      <c r="XEM430"/>
      <c r="XEN430"/>
      <c r="XEO430"/>
      <c r="XEP430"/>
      <c r="XEQ430"/>
      <c r="XER430"/>
      <c r="XES430"/>
      <c r="XET430"/>
      <c r="XEU430"/>
      <c r="XEV430"/>
      <c r="XEW430"/>
      <c r="XEX430"/>
      <c r="XEY430"/>
      <c r="XEZ430"/>
      <c r="XFA430"/>
      <c r="XFB430"/>
      <c r="XFC430"/>
      <c r="XFD430"/>
    </row>
    <row r="431" spans="1:18 16327:16384" s="26" customFormat="1" ht="29.1" customHeight="1" outlineLevel="3" x14ac:dyDescent="0.25">
      <c r="A431" s="42" t="s">
        <v>723</v>
      </c>
      <c r="B431" s="43"/>
      <c r="C431" s="66" t="s">
        <v>671</v>
      </c>
      <c r="D431" s="66"/>
      <c r="E431" s="43" t="s">
        <v>34</v>
      </c>
      <c r="F431" s="44"/>
      <c r="G431" s="43" t="s">
        <v>65</v>
      </c>
      <c r="H431" s="45">
        <v>1</v>
      </c>
      <c r="I431" s="46">
        <f>10</f>
        <v>10</v>
      </c>
      <c r="J431" s="23"/>
      <c r="K431" s="47"/>
      <c r="L431" s="48"/>
      <c r="M431" s="49"/>
      <c r="N431" s="49">
        <f t="shared" si="13"/>
        <v>0</v>
      </c>
      <c r="O431" s="49"/>
      <c r="P431" s="49"/>
      <c r="Q431" s="49"/>
      <c r="R431" s="23"/>
      <c r="XCY431"/>
      <c r="XCZ431"/>
      <c r="XDA431"/>
      <c r="XDB431"/>
      <c r="XDC431"/>
      <c r="XDD431"/>
      <c r="XDE431"/>
      <c r="XDF431"/>
      <c r="XDG431"/>
      <c r="XDH431"/>
      <c r="XDI431"/>
      <c r="XDJ431"/>
      <c r="XDK431"/>
      <c r="XDL431"/>
      <c r="XDM431"/>
      <c r="XDN431"/>
      <c r="XDO431"/>
      <c r="XDP431"/>
      <c r="XDQ431"/>
      <c r="XDR431"/>
      <c r="XDS431"/>
      <c r="XDT431"/>
      <c r="XDU431"/>
      <c r="XDV431"/>
      <c r="XDW431"/>
      <c r="XDX431"/>
      <c r="XDY431"/>
      <c r="XDZ431"/>
      <c r="XEA431"/>
      <c r="XEB431"/>
      <c r="XEC431"/>
      <c r="XED431"/>
      <c r="XEE431"/>
      <c r="XEF431"/>
      <c r="XEG431"/>
      <c r="XEH431"/>
      <c r="XEI431"/>
      <c r="XEJ431"/>
      <c r="XEK431"/>
      <c r="XEL431"/>
      <c r="XEM431"/>
      <c r="XEN431"/>
      <c r="XEO431"/>
      <c r="XEP431"/>
      <c r="XEQ431"/>
      <c r="XER431"/>
      <c r="XES431"/>
      <c r="XET431"/>
      <c r="XEU431"/>
      <c r="XEV431"/>
      <c r="XEW431"/>
      <c r="XEX431"/>
      <c r="XEY431"/>
      <c r="XEZ431"/>
      <c r="XFA431"/>
      <c r="XFB431"/>
      <c r="XFC431"/>
      <c r="XFD431"/>
    </row>
    <row r="432" spans="1:18 16327:16384" s="26" customFormat="1" ht="29.1" customHeight="1" outlineLevel="3" x14ac:dyDescent="0.25">
      <c r="A432" s="42" t="s">
        <v>724</v>
      </c>
      <c r="B432" s="43"/>
      <c r="C432" s="66" t="s">
        <v>604</v>
      </c>
      <c r="D432" s="66"/>
      <c r="E432" s="43" t="s">
        <v>34</v>
      </c>
      <c r="F432" s="44"/>
      <c r="G432" s="43" t="s">
        <v>31</v>
      </c>
      <c r="H432" s="45">
        <v>1</v>
      </c>
      <c r="I432" s="46">
        <f>4</f>
        <v>4</v>
      </c>
      <c r="J432" s="23"/>
      <c r="K432" s="47"/>
      <c r="L432" s="48"/>
      <c r="M432" s="49"/>
      <c r="N432" s="49">
        <f t="shared" si="13"/>
        <v>0</v>
      </c>
      <c r="O432" s="49"/>
      <c r="P432" s="49"/>
      <c r="Q432" s="49"/>
      <c r="R432" s="23"/>
      <c r="XCY432"/>
      <c r="XCZ432"/>
      <c r="XDA432"/>
      <c r="XDB432"/>
      <c r="XDC432"/>
      <c r="XDD432"/>
      <c r="XDE432"/>
      <c r="XDF432"/>
      <c r="XDG432"/>
      <c r="XDH432"/>
      <c r="XDI432"/>
      <c r="XDJ432"/>
      <c r="XDK432"/>
      <c r="XDL432"/>
      <c r="XDM432"/>
      <c r="XDN432"/>
      <c r="XDO432"/>
      <c r="XDP432"/>
      <c r="XDQ432"/>
      <c r="XDR432"/>
      <c r="XDS432"/>
      <c r="XDT432"/>
      <c r="XDU432"/>
      <c r="XDV432"/>
      <c r="XDW432"/>
      <c r="XDX432"/>
      <c r="XDY432"/>
      <c r="XDZ432"/>
      <c r="XEA432"/>
      <c r="XEB432"/>
      <c r="XEC432"/>
      <c r="XED432"/>
      <c r="XEE432"/>
      <c r="XEF432"/>
      <c r="XEG432"/>
      <c r="XEH432"/>
      <c r="XEI432"/>
      <c r="XEJ432"/>
      <c r="XEK432"/>
      <c r="XEL432"/>
      <c r="XEM432"/>
      <c r="XEN432"/>
      <c r="XEO432"/>
      <c r="XEP432"/>
      <c r="XEQ432"/>
      <c r="XER432"/>
      <c r="XES432"/>
      <c r="XET432"/>
      <c r="XEU432"/>
      <c r="XEV432"/>
      <c r="XEW432"/>
      <c r="XEX432"/>
      <c r="XEY432"/>
      <c r="XEZ432"/>
      <c r="XFA432"/>
      <c r="XFB432"/>
      <c r="XFC432"/>
      <c r="XFD432"/>
    </row>
    <row r="433" spans="1:18 16327:16384" s="26" customFormat="1" ht="29.1" customHeight="1" outlineLevel="2" x14ac:dyDescent="0.25">
      <c r="A433" s="34" t="s">
        <v>725</v>
      </c>
      <c r="B433" s="35"/>
      <c r="C433" s="65" t="s">
        <v>726</v>
      </c>
      <c r="D433" s="65"/>
      <c r="E433" s="35"/>
      <c r="F433" s="36"/>
      <c r="G433" s="35" t="s">
        <v>90</v>
      </c>
      <c r="H433" s="37">
        <v>1</v>
      </c>
      <c r="I433" s="38">
        <f>1</f>
        <v>1</v>
      </c>
      <c r="J433" s="23"/>
      <c r="K433" s="39"/>
      <c r="L433" s="40"/>
      <c r="M433" s="41">
        <f>K433+L433</f>
        <v>0</v>
      </c>
      <c r="N433" s="41">
        <f t="shared" si="13"/>
        <v>0</v>
      </c>
      <c r="O433" s="41">
        <f>ROUND((I433*L433),2)</f>
        <v>0</v>
      </c>
      <c r="P433" s="41">
        <f>ROUND((I433*M433),2)</f>
        <v>0</v>
      </c>
      <c r="Q433" s="41"/>
      <c r="R433" s="23"/>
      <c r="XCY433"/>
      <c r="XCZ433"/>
      <c r="XDA433"/>
      <c r="XDB433"/>
      <c r="XDC433"/>
      <c r="XDD433"/>
      <c r="XDE433"/>
      <c r="XDF433"/>
      <c r="XDG433"/>
      <c r="XDH433"/>
      <c r="XDI433"/>
      <c r="XDJ433"/>
      <c r="XDK433"/>
      <c r="XDL433"/>
      <c r="XDM433"/>
      <c r="XDN433"/>
      <c r="XDO433"/>
      <c r="XDP433"/>
      <c r="XDQ433"/>
      <c r="XDR433"/>
      <c r="XDS433"/>
      <c r="XDT433"/>
      <c r="XDU433"/>
      <c r="XDV433"/>
      <c r="XDW433"/>
      <c r="XDX433"/>
      <c r="XDY433"/>
      <c r="XDZ433"/>
      <c r="XEA433"/>
      <c r="XEB433"/>
      <c r="XEC433"/>
      <c r="XED433"/>
      <c r="XEE433"/>
      <c r="XEF433"/>
      <c r="XEG433"/>
      <c r="XEH433"/>
      <c r="XEI433"/>
      <c r="XEJ433"/>
      <c r="XEK433"/>
      <c r="XEL433"/>
      <c r="XEM433"/>
      <c r="XEN433"/>
      <c r="XEO433"/>
      <c r="XEP433"/>
      <c r="XEQ433"/>
      <c r="XER433"/>
      <c r="XES433"/>
      <c r="XET433"/>
      <c r="XEU433"/>
      <c r="XEV433"/>
      <c r="XEW433"/>
      <c r="XEX433"/>
      <c r="XEY433"/>
      <c r="XEZ433"/>
      <c r="XFA433"/>
      <c r="XFB433"/>
      <c r="XFC433"/>
      <c r="XFD433"/>
    </row>
    <row r="434" spans="1:18 16327:16384" s="26" customFormat="1" ht="29.1" customHeight="1" outlineLevel="1" x14ac:dyDescent="0.25">
      <c r="A434" s="27" t="s">
        <v>727</v>
      </c>
      <c r="B434" s="28" t="s">
        <v>56</v>
      </c>
      <c r="C434" s="69" t="s">
        <v>728</v>
      </c>
      <c r="D434" s="69"/>
      <c r="E434" s="28"/>
      <c r="F434" s="29"/>
      <c r="G434" s="28"/>
      <c r="H434" s="30"/>
      <c r="I434" s="31"/>
      <c r="J434" s="23"/>
      <c r="K434" s="32"/>
      <c r="L434" s="32"/>
      <c r="M434" s="32"/>
      <c r="N434" s="32">
        <f>N435+N439+N441+N447+N473+N488+N490+N495+N502+N509+N515+N521+N526+N537+N549+N551+N558+N560+N566+N580+N598+N600+N612+N614</f>
        <v>0</v>
      </c>
      <c r="O434" s="32">
        <f>O435+O439+O441+O447+O473+O488+O490+O495+O502+O509+O515+O521+O526+O537+O549+O551+O558+O560+O566+O580+O598+O600+O612+O614</f>
        <v>0</v>
      </c>
      <c r="P434" s="32">
        <f>P435+P439+P441+P447+P473+P488+P490+P495+P502+P509+P515+P521+P526+P537+P549+P551+P558+P560+P566+P580+P598+P600+P612+P614</f>
        <v>0</v>
      </c>
      <c r="Q434" s="33"/>
      <c r="R434" s="23"/>
      <c r="XCY434"/>
      <c r="XCZ434"/>
      <c r="XDA434"/>
      <c r="XDB434"/>
      <c r="XDC434"/>
      <c r="XDD434"/>
      <c r="XDE434"/>
      <c r="XDF434"/>
      <c r="XDG434"/>
      <c r="XDH434"/>
      <c r="XDI434"/>
      <c r="XDJ434"/>
      <c r="XDK434"/>
      <c r="XDL434"/>
      <c r="XDM434"/>
      <c r="XDN434"/>
      <c r="XDO434"/>
      <c r="XDP434"/>
      <c r="XDQ434"/>
      <c r="XDR434"/>
      <c r="XDS434"/>
      <c r="XDT434"/>
      <c r="XDU434"/>
      <c r="XDV434"/>
      <c r="XDW434"/>
      <c r="XDX434"/>
      <c r="XDY434"/>
      <c r="XDZ434"/>
      <c r="XEA434"/>
      <c r="XEB434"/>
      <c r="XEC434"/>
      <c r="XED434"/>
      <c r="XEE434"/>
      <c r="XEF434"/>
      <c r="XEG434"/>
      <c r="XEH434"/>
      <c r="XEI434"/>
      <c r="XEJ434"/>
      <c r="XEK434"/>
      <c r="XEL434"/>
      <c r="XEM434"/>
      <c r="XEN434"/>
      <c r="XEO434"/>
      <c r="XEP434"/>
      <c r="XEQ434"/>
      <c r="XER434"/>
      <c r="XES434"/>
      <c r="XET434"/>
      <c r="XEU434"/>
      <c r="XEV434"/>
      <c r="XEW434"/>
      <c r="XEX434"/>
      <c r="XEY434"/>
      <c r="XEZ434"/>
      <c r="XFA434"/>
      <c r="XFB434"/>
      <c r="XFC434"/>
      <c r="XFD434"/>
    </row>
    <row r="435" spans="1:18 16327:16384" s="26" customFormat="1" ht="29.1" customHeight="1" outlineLevel="2" x14ac:dyDescent="0.25">
      <c r="A435" s="34" t="s">
        <v>729</v>
      </c>
      <c r="B435" s="35"/>
      <c r="C435" s="65" t="s">
        <v>730</v>
      </c>
      <c r="D435" s="65"/>
      <c r="E435" s="35"/>
      <c r="F435" s="36" t="s">
        <v>731</v>
      </c>
      <c r="G435" s="35" t="s">
        <v>65</v>
      </c>
      <c r="H435" s="37"/>
      <c r="I435" s="38">
        <f>264</f>
        <v>264</v>
      </c>
      <c r="J435" s="23"/>
      <c r="K435" s="39"/>
      <c r="L435" s="40"/>
      <c r="M435" s="41">
        <f>K435+L435</f>
        <v>0</v>
      </c>
      <c r="N435" s="41">
        <f t="shared" ref="N435:N466" si="14">ROUND((I435*K435),2)</f>
        <v>0</v>
      </c>
      <c r="O435" s="41">
        <f>ROUND((I435*L435),2)</f>
        <v>0</v>
      </c>
      <c r="P435" s="41">
        <f>ROUND((I435*M435),2)</f>
        <v>0</v>
      </c>
      <c r="Q435" s="41"/>
      <c r="R435" s="23"/>
      <c r="XCY435"/>
      <c r="XCZ435"/>
      <c r="XDA435"/>
      <c r="XDB435"/>
      <c r="XDC435"/>
      <c r="XDD435"/>
      <c r="XDE435"/>
      <c r="XDF435"/>
      <c r="XDG435"/>
      <c r="XDH435"/>
      <c r="XDI435"/>
      <c r="XDJ435"/>
      <c r="XDK435"/>
      <c r="XDL435"/>
      <c r="XDM435"/>
      <c r="XDN435"/>
      <c r="XDO435"/>
      <c r="XDP435"/>
      <c r="XDQ435"/>
      <c r="XDR435"/>
      <c r="XDS435"/>
      <c r="XDT435"/>
      <c r="XDU435"/>
      <c r="XDV435"/>
      <c r="XDW435"/>
      <c r="XDX435"/>
      <c r="XDY435"/>
      <c r="XDZ435"/>
      <c r="XEA435"/>
      <c r="XEB435"/>
      <c r="XEC435"/>
      <c r="XED435"/>
      <c r="XEE435"/>
      <c r="XEF435"/>
      <c r="XEG435"/>
      <c r="XEH435"/>
      <c r="XEI435"/>
      <c r="XEJ435"/>
      <c r="XEK435"/>
      <c r="XEL435"/>
      <c r="XEM435"/>
      <c r="XEN435"/>
      <c r="XEO435"/>
      <c r="XEP435"/>
      <c r="XEQ435"/>
      <c r="XER435"/>
      <c r="XES435"/>
      <c r="XET435"/>
      <c r="XEU435"/>
      <c r="XEV435"/>
      <c r="XEW435"/>
      <c r="XEX435"/>
      <c r="XEY435"/>
      <c r="XEZ435"/>
      <c r="XFA435"/>
      <c r="XFB435"/>
      <c r="XFC435"/>
      <c r="XFD435"/>
    </row>
    <row r="436" spans="1:18 16327:16384" s="26" customFormat="1" ht="29.1" customHeight="1" outlineLevel="3" x14ac:dyDescent="0.25">
      <c r="A436" s="42" t="s">
        <v>732</v>
      </c>
      <c r="B436" s="43"/>
      <c r="C436" s="66" t="s">
        <v>733</v>
      </c>
      <c r="D436" s="66"/>
      <c r="E436" s="43" t="s">
        <v>34</v>
      </c>
      <c r="F436" s="44"/>
      <c r="G436" s="43" t="s">
        <v>65</v>
      </c>
      <c r="H436" s="45">
        <v>1.03</v>
      </c>
      <c r="I436" s="46">
        <f>271.92</f>
        <v>271.92</v>
      </c>
      <c r="J436" s="23"/>
      <c r="K436" s="47"/>
      <c r="L436" s="48"/>
      <c r="M436" s="49"/>
      <c r="N436" s="49">
        <f t="shared" si="14"/>
        <v>0</v>
      </c>
      <c r="O436" s="49"/>
      <c r="P436" s="49"/>
      <c r="Q436" s="49"/>
      <c r="R436" s="23"/>
      <c r="XCY436"/>
      <c r="XCZ436"/>
      <c r="XDA436"/>
      <c r="XDB436"/>
      <c r="XDC436"/>
      <c r="XDD436"/>
      <c r="XDE436"/>
      <c r="XDF436"/>
      <c r="XDG436"/>
      <c r="XDH436"/>
      <c r="XDI436"/>
      <c r="XDJ436"/>
      <c r="XDK436"/>
      <c r="XDL436"/>
      <c r="XDM436"/>
      <c r="XDN436"/>
      <c r="XDO436"/>
      <c r="XDP436"/>
      <c r="XDQ436"/>
      <c r="XDR436"/>
      <c r="XDS436"/>
      <c r="XDT436"/>
      <c r="XDU436"/>
      <c r="XDV436"/>
      <c r="XDW436"/>
      <c r="XDX436"/>
      <c r="XDY436"/>
      <c r="XDZ436"/>
      <c r="XEA436"/>
      <c r="XEB436"/>
      <c r="XEC436"/>
      <c r="XED436"/>
      <c r="XEE436"/>
      <c r="XEF436"/>
      <c r="XEG436"/>
      <c r="XEH436"/>
      <c r="XEI436"/>
      <c r="XEJ436"/>
      <c r="XEK436"/>
      <c r="XEL436"/>
      <c r="XEM436"/>
      <c r="XEN436"/>
      <c r="XEO436"/>
      <c r="XEP436"/>
      <c r="XEQ436"/>
      <c r="XER436"/>
      <c r="XES436"/>
      <c r="XET436"/>
      <c r="XEU436"/>
      <c r="XEV436"/>
      <c r="XEW436"/>
      <c r="XEX436"/>
      <c r="XEY436"/>
      <c r="XEZ436"/>
      <c r="XFA436"/>
      <c r="XFB436"/>
      <c r="XFC436"/>
      <c r="XFD436"/>
    </row>
    <row r="437" spans="1:18 16327:16384" s="26" customFormat="1" ht="29.1" customHeight="1" outlineLevel="3" x14ac:dyDescent="0.25">
      <c r="A437" s="42" t="s">
        <v>734</v>
      </c>
      <c r="B437" s="43"/>
      <c r="C437" s="66" t="s">
        <v>735</v>
      </c>
      <c r="D437" s="66"/>
      <c r="E437" s="43" t="s">
        <v>34</v>
      </c>
      <c r="F437" s="44"/>
      <c r="G437" s="43" t="s">
        <v>31</v>
      </c>
      <c r="H437" s="45">
        <v>1</v>
      </c>
      <c r="I437" s="46">
        <f>204</f>
        <v>204</v>
      </c>
      <c r="J437" s="23"/>
      <c r="K437" s="47"/>
      <c r="L437" s="48"/>
      <c r="M437" s="49"/>
      <c r="N437" s="49">
        <f t="shared" si="14"/>
        <v>0</v>
      </c>
      <c r="O437" s="49"/>
      <c r="P437" s="49"/>
      <c r="Q437" s="49"/>
      <c r="R437" s="23"/>
      <c r="XCY437"/>
      <c r="XCZ437"/>
      <c r="XDA437"/>
      <c r="XDB437"/>
      <c r="XDC437"/>
      <c r="XDD437"/>
      <c r="XDE437"/>
      <c r="XDF437"/>
      <c r="XDG437"/>
      <c r="XDH437"/>
      <c r="XDI437"/>
      <c r="XDJ437"/>
      <c r="XDK437"/>
      <c r="XDL437"/>
      <c r="XDM437"/>
      <c r="XDN437"/>
      <c r="XDO437"/>
      <c r="XDP437"/>
      <c r="XDQ437"/>
      <c r="XDR437"/>
      <c r="XDS437"/>
      <c r="XDT437"/>
      <c r="XDU437"/>
      <c r="XDV437"/>
      <c r="XDW437"/>
      <c r="XDX437"/>
      <c r="XDY437"/>
      <c r="XDZ437"/>
      <c r="XEA437"/>
      <c r="XEB437"/>
      <c r="XEC437"/>
      <c r="XED437"/>
      <c r="XEE437"/>
      <c r="XEF437"/>
      <c r="XEG437"/>
      <c r="XEH437"/>
      <c r="XEI437"/>
      <c r="XEJ437"/>
      <c r="XEK437"/>
      <c r="XEL437"/>
      <c r="XEM437"/>
      <c r="XEN437"/>
      <c r="XEO437"/>
      <c r="XEP437"/>
      <c r="XEQ437"/>
      <c r="XER437"/>
      <c r="XES437"/>
      <c r="XET437"/>
      <c r="XEU437"/>
      <c r="XEV437"/>
      <c r="XEW437"/>
      <c r="XEX437"/>
      <c r="XEY437"/>
      <c r="XEZ437"/>
      <c r="XFA437"/>
      <c r="XFB437"/>
      <c r="XFC437"/>
      <c r="XFD437"/>
    </row>
    <row r="438" spans="1:18 16327:16384" s="26" customFormat="1" ht="71.25" customHeight="1" outlineLevel="3" x14ac:dyDescent="0.25">
      <c r="A438" s="42" t="s">
        <v>736</v>
      </c>
      <c r="B438" s="43"/>
      <c r="C438" s="66" t="s">
        <v>737</v>
      </c>
      <c r="D438" s="66"/>
      <c r="E438" s="43" t="s">
        <v>34</v>
      </c>
      <c r="F438" s="44"/>
      <c r="G438" s="43" t="s">
        <v>31</v>
      </c>
      <c r="H438" s="45">
        <v>1</v>
      </c>
      <c r="I438" s="46">
        <f>6972</f>
        <v>6972</v>
      </c>
      <c r="J438" s="23"/>
      <c r="K438" s="47"/>
      <c r="L438" s="48"/>
      <c r="M438" s="49"/>
      <c r="N438" s="49">
        <f t="shared" si="14"/>
        <v>0</v>
      </c>
      <c r="O438" s="49"/>
      <c r="P438" s="49"/>
      <c r="Q438" s="49"/>
      <c r="R438" s="23"/>
      <c r="XCY438"/>
      <c r="XCZ438"/>
      <c r="XDA438"/>
      <c r="XDB438"/>
      <c r="XDC438"/>
      <c r="XDD438"/>
      <c r="XDE438"/>
      <c r="XDF438"/>
      <c r="XDG438"/>
      <c r="XDH438"/>
      <c r="XDI438"/>
      <c r="XDJ438"/>
      <c r="XDK438"/>
      <c r="XDL438"/>
      <c r="XDM438"/>
      <c r="XDN438"/>
      <c r="XDO438"/>
      <c r="XDP438"/>
      <c r="XDQ438"/>
      <c r="XDR438"/>
      <c r="XDS438"/>
      <c r="XDT438"/>
      <c r="XDU438"/>
      <c r="XDV438"/>
      <c r="XDW438"/>
      <c r="XDX438"/>
      <c r="XDY438"/>
      <c r="XDZ438"/>
      <c r="XEA438"/>
      <c r="XEB438"/>
      <c r="XEC438"/>
      <c r="XED438"/>
      <c r="XEE438"/>
      <c r="XEF438"/>
      <c r="XEG438"/>
      <c r="XEH438"/>
      <c r="XEI438"/>
      <c r="XEJ438"/>
      <c r="XEK438"/>
      <c r="XEL438"/>
      <c r="XEM438"/>
      <c r="XEN438"/>
      <c r="XEO438"/>
      <c r="XEP438"/>
      <c r="XEQ438"/>
      <c r="XER438"/>
      <c r="XES438"/>
      <c r="XET438"/>
      <c r="XEU438"/>
      <c r="XEV438"/>
      <c r="XEW438"/>
      <c r="XEX438"/>
      <c r="XEY438"/>
      <c r="XEZ438"/>
      <c r="XFA438"/>
      <c r="XFB438"/>
      <c r="XFC438"/>
      <c r="XFD438"/>
    </row>
    <row r="439" spans="1:18 16327:16384" s="26" customFormat="1" ht="29.1" customHeight="1" outlineLevel="2" x14ac:dyDescent="0.25">
      <c r="A439" s="34" t="s">
        <v>738</v>
      </c>
      <c r="B439" s="35"/>
      <c r="C439" s="65" t="s">
        <v>739</v>
      </c>
      <c r="D439" s="65"/>
      <c r="E439" s="35"/>
      <c r="F439" s="36" t="s">
        <v>731</v>
      </c>
      <c r="G439" s="35" t="s">
        <v>65</v>
      </c>
      <c r="H439" s="37"/>
      <c r="I439" s="38">
        <f>150</f>
        <v>150</v>
      </c>
      <c r="J439" s="23"/>
      <c r="K439" s="39"/>
      <c r="L439" s="40"/>
      <c r="M439" s="41"/>
      <c r="N439" s="41"/>
      <c r="O439" s="41"/>
      <c r="P439" s="41"/>
      <c r="Q439" s="41"/>
      <c r="R439" s="23"/>
      <c r="XCY439"/>
      <c r="XCZ439"/>
      <c r="XDA439"/>
      <c r="XDB439"/>
      <c r="XDC439"/>
      <c r="XDD439"/>
      <c r="XDE439"/>
      <c r="XDF439"/>
      <c r="XDG439"/>
      <c r="XDH439"/>
      <c r="XDI439"/>
      <c r="XDJ439"/>
      <c r="XDK439"/>
      <c r="XDL439"/>
      <c r="XDM439"/>
      <c r="XDN439"/>
      <c r="XDO439"/>
      <c r="XDP439"/>
      <c r="XDQ439"/>
      <c r="XDR439"/>
      <c r="XDS439"/>
      <c r="XDT439"/>
      <c r="XDU439"/>
      <c r="XDV439"/>
      <c r="XDW439"/>
      <c r="XDX439"/>
      <c r="XDY439"/>
      <c r="XDZ439"/>
      <c r="XEA439"/>
      <c r="XEB439"/>
      <c r="XEC439"/>
      <c r="XED439"/>
      <c r="XEE439"/>
      <c r="XEF439"/>
      <c r="XEG439"/>
      <c r="XEH439"/>
      <c r="XEI439"/>
      <c r="XEJ439"/>
      <c r="XEK439"/>
      <c r="XEL439"/>
      <c r="XEM439"/>
      <c r="XEN439"/>
      <c r="XEO439"/>
      <c r="XEP439"/>
      <c r="XEQ439"/>
      <c r="XER439"/>
      <c r="XES439"/>
      <c r="XET439"/>
      <c r="XEU439"/>
      <c r="XEV439"/>
      <c r="XEW439"/>
      <c r="XEX439"/>
      <c r="XEY439"/>
      <c r="XEZ439"/>
      <c r="XFA439"/>
      <c r="XFB439"/>
      <c r="XFC439"/>
      <c r="XFD439"/>
    </row>
    <row r="440" spans="1:18 16327:16384" s="26" customFormat="1" ht="29.1" customHeight="1" outlineLevel="3" x14ac:dyDescent="0.25">
      <c r="A440" s="42" t="s">
        <v>740</v>
      </c>
      <c r="B440" s="43"/>
      <c r="C440" s="66" t="s">
        <v>741</v>
      </c>
      <c r="D440" s="66"/>
      <c r="E440" s="43" t="s">
        <v>34</v>
      </c>
      <c r="F440" s="44"/>
      <c r="G440" s="43" t="s">
        <v>65</v>
      </c>
      <c r="H440" s="45">
        <v>1.02</v>
      </c>
      <c r="I440" s="46">
        <f>153</f>
        <v>153</v>
      </c>
      <c r="J440" s="23"/>
      <c r="K440" s="47"/>
      <c r="L440" s="48"/>
      <c r="M440" s="49"/>
      <c r="N440" s="49">
        <f t="shared" si="14"/>
        <v>0</v>
      </c>
      <c r="O440" s="49"/>
      <c r="P440" s="49"/>
      <c r="Q440" s="49"/>
      <c r="R440" s="23"/>
      <c r="XCY440"/>
      <c r="XCZ440"/>
      <c r="XDA440"/>
      <c r="XDB440"/>
      <c r="XDC440"/>
      <c r="XDD440"/>
      <c r="XDE440"/>
      <c r="XDF440"/>
      <c r="XDG440"/>
      <c r="XDH440"/>
      <c r="XDI440"/>
      <c r="XDJ440"/>
      <c r="XDK440"/>
      <c r="XDL440"/>
      <c r="XDM440"/>
      <c r="XDN440"/>
      <c r="XDO440"/>
      <c r="XDP440"/>
      <c r="XDQ440"/>
      <c r="XDR440"/>
      <c r="XDS440"/>
      <c r="XDT440"/>
      <c r="XDU440"/>
      <c r="XDV440"/>
      <c r="XDW440"/>
      <c r="XDX440"/>
      <c r="XDY440"/>
      <c r="XDZ440"/>
      <c r="XEA440"/>
      <c r="XEB440"/>
      <c r="XEC440"/>
      <c r="XED440"/>
      <c r="XEE440"/>
      <c r="XEF440"/>
      <c r="XEG440"/>
      <c r="XEH440"/>
      <c r="XEI440"/>
      <c r="XEJ440"/>
      <c r="XEK440"/>
      <c r="XEL440"/>
      <c r="XEM440"/>
      <c r="XEN440"/>
      <c r="XEO440"/>
      <c r="XEP440"/>
      <c r="XEQ440"/>
      <c r="XER440"/>
      <c r="XES440"/>
      <c r="XET440"/>
      <c r="XEU440"/>
      <c r="XEV440"/>
      <c r="XEW440"/>
      <c r="XEX440"/>
      <c r="XEY440"/>
      <c r="XEZ440"/>
      <c r="XFA440"/>
      <c r="XFB440"/>
      <c r="XFC440"/>
      <c r="XFD440"/>
    </row>
    <row r="441" spans="1:18 16327:16384" s="26" customFormat="1" ht="29.1" customHeight="1" outlineLevel="2" x14ac:dyDescent="0.25">
      <c r="A441" s="34" t="s">
        <v>742</v>
      </c>
      <c r="B441" s="35"/>
      <c r="C441" s="65" t="s">
        <v>278</v>
      </c>
      <c r="D441" s="65"/>
      <c r="E441" s="35"/>
      <c r="F441" s="36" t="s">
        <v>731</v>
      </c>
      <c r="G441" s="35" t="s">
        <v>31</v>
      </c>
      <c r="H441" s="37"/>
      <c r="I441" s="38">
        <f>1632</f>
        <v>1632</v>
      </c>
      <c r="J441" s="23"/>
      <c r="K441" s="39"/>
      <c r="L441" s="40"/>
      <c r="M441" s="41">
        <f>K441+L441</f>
        <v>0</v>
      </c>
      <c r="N441" s="41">
        <f t="shared" si="14"/>
        <v>0</v>
      </c>
      <c r="O441" s="41">
        <f>ROUND((I441*L441),2)</f>
        <v>0</v>
      </c>
      <c r="P441" s="41">
        <f>ROUND((I441*M441),2)</f>
        <v>0</v>
      </c>
      <c r="Q441" s="41"/>
      <c r="R441" s="23"/>
      <c r="XCY441"/>
      <c r="XCZ441"/>
      <c r="XDA441"/>
      <c r="XDB441"/>
      <c r="XDC441"/>
      <c r="XDD441"/>
      <c r="XDE441"/>
      <c r="XDF441"/>
      <c r="XDG441"/>
      <c r="XDH441"/>
      <c r="XDI441"/>
      <c r="XDJ441"/>
      <c r="XDK441"/>
      <c r="XDL441"/>
      <c r="XDM441"/>
      <c r="XDN441"/>
      <c r="XDO441"/>
      <c r="XDP441"/>
      <c r="XDQ441"/>
      <c r="XDR441"/>
      <c r="XDS441"/>
      <c r="XDT441"/>
      <c r="XDU441"/>
      <c r="XDV441"/>
      <c r="XDW441"/>
      <c r="XDX441"/>
      <c r="XDY441"/>
      <c r="XDZ441"/>
      <c r="XEA441"/>
      <c r="XEB441"/>
      <c r="XEC441"/>
      <c r="XED441"/>
      <c r="XEE441"/>
      <c r="XEF441"/>
      <c r="XEG441"/>
      <c r="XEH441"/>
      <c r="XEI441"/>
      <c r="XEJ441"/>
      <c r="XEK441"/>
      <c r="XEL441"/>
      <c r="XEM441"/>
      <c r="XEN441"/>
      <c r="XEO441"/>
      <c r="XEP441"/>
      <c r="XEQ441"/>
      <c r="XER441"/>
      <c r="XES441"/>
      <c r="XET441"/>
      <c r="XEU441"/>
      <c r="XEV441"/>
      <c r="XEW441"/>
      <c r="XEX441"/>
      <c r="XEY441"/>
      <c r="XEZ441"/>
      <c r="XFA441"/>
      <c r="XFB441"/>
      <c r="XFC441"/>
      <c r="XFD441"/>
    </row>
    <row r="442" spans="1:18 16327:16384" s="26" customFormat="1" ht="29.1" customHeight="1" outlineLevel="3" x14ac:dyDescent="0.25">
      <c r="A442" s="42" t="s">
        <v>743</v>
      </c>
      <c r="B442" s="43"/>
      <c r="C442" s="66" t="s">
        <v>744</v>
      </c>
      <c r="D442" s="66"/>
      <c r="E442" s="43" t="s">
        <v>34</v>
      </c>
      <c r="F442" s="44"/>
      <c r="G442" s="43" t="s">
        <v>65</v>
      </c>
      <c r="H442" s="45">
        <v>1</v>
      </c>
      <c r="I442" s="46">
        <f>408</f>
        <v>408</v>
      </c>
      <c r="J442" s="23"/>
      <c r="K442" s="47"/>
      <c r="L442" s="48"/>
      <c r="M442" s="49"/>
      <c r="N442" s="49">
        <f t="shared" si="14"/>
        <v>0</v>
      </c>
      <c r="O442" s="49"/>
      <c r="P442" s="49"/>
      <c r="Q442" s="49"/>
      <c r="R442" s="23"/>
      <c r="XCY442"/>
      <c r="XCZ442"/>
      <c r="XDA442"/>
      <c r="XDB442"/>
      <c r="XDC442"/>
      <c r="XDD442"/>
      <c r="XDE442"/>
      <c r="XDF442"/>
      <c r="XDG442"/>
      <c r="XDH442"/>
      <c r="XDI442"/>
      <c r="XDJ442"/>
      <c r="XDK442"/>
      <c r="XDL442"/>
      <c r="XDM442"/>
      <c r="XDN442"/>
      <c r="XDO442"/>
      <c r="XDP442"/>
      <c r="XDQ442"/>
      <c r="XDR442"/>
      <c r="XDS442"/>
      <c r="XDT442"/>
      <c r="XDU442"/>
      <c r="XDV442"/>
      <c r="XDW442"/>
      <c r="XDX442"/>
      <c r="XDY442"/>
      <c r="XDZ442"/>
      <c r="XEA442"/>
      <c r="XEB442"/>
      <c r="XEC442"/>
      <c r="XED442"/>
      <c r="XEE442"/>
      <c r="XEF442"/>
      <c r="XEG442"/>
      <c r="XEH442"/>
      <c r="XEI442"/>
      <c r="XEJ442"/>
      <c r="XEK442"/>
      <c r="XEL442"/>
      <c r="XEM442"/>
      <c r="XEN442"/>
      <c r="XEO442"/>
      <c r="XEP442"/>
      <c r="XEQ442"/>
      <c r="XER442"/>
      <c r="XES442"/>
      <c r="XET442"/>
      <c r="XEU442"/>
      <c r="XEV442"/>
      <c r="XEW442"/>
      <c r="XEX442"/>
      <c r="XEY442"/>
      <c r="XEZ442"/>
      <c r="XFA442"/>
      <c r="XFB442"/>
      <c r="XFC442"/>
      <c r="XFD442"/>
    </row>
    <row r="443" spans="1:18 16327:16384" s="26" customFormat="1" ht="29.1" customHeight="1" outlineLevel="3" x14ac:dyDescent="0.25">
      <c r="A443" s="42" t="s">
        <v>745</v>
      </c>
      <c r="B443" s="43"/>
      <c r="C443" s="66" t="s">
        <v>746</v>
      </c>
      <c r="D443" s="66"/>
      <c r="E443" s="43" t="s">
        <v>34</v>
      </c>
      <c r="F443" s="44"/>
      <c r="G443" s="43" t="s">
        <v>747</v>
      </c>
      <c r="H443" s="45">
        <v>1</v>
      </c>
      <c r="I443" s="46">
        <f>0.018</f>
        <v>1.7999999999999999E-2</v>
      </c>
      <c r="J443" s="23"/>
      <c r="K443" s="47"/>
      <c r="L443" s="48"/>
      <c r="M443" s="49"/>
      <c r="N443" s="49">
        <f t="shared" si="14"/>
        <v>0</v>
      </c>
      <c r="O443" s="49"/>
      <c r="P443" s="49"/>
      <c r="Q443" s="49"/>
      <c r="R443" s="23"/>
      <c r="XCY443"/>
      <c r="XCZ443"/>
      <c r="XDA443"/>
      <c r="XDB443"/>
      <c r="XDC443"/>
      <c r="XDD443"/>
      <c r="XDE443"/>
      <c r="XDF443"/>
      <c r="XDG443"/>
      <c r="XDH443"/>
      <c r="XDI443"/>
      <c r="XDJ443"/>
      <c r="XDK443"/>
      <c r="XDL443"/>
      <c r="XDM443"/>
      <c r="XDN443"/>
      <c r="XDO443"/>
      <c r="XDP443"/>
      <c r="XDQ443"/>
      <c r="XDR443"/>
      <c r="XDS443"/>
      <c r="XDT443"/>
      <c r="XDU443"/>
      <c r="XDV443"/>
      <c r="XDW443"/>
      <c r="XDX443"/>
      <c r="XDY443"/>
      <c r="XDZ443"/>
      <c r="XEA443"/>
      <c r="XEB443"/>
      <c r="XEC443"/>
      <c r="XED443"/>
      <c r="XEE443"/>
      <c r="XEF443"/>
      <c r="XEG443"/>
      <c r="XEH443"/>
      <c r="XEI443"/>
      <c r="XEJ443"/>
      <c r="XEK443"/>
      <c r="XEL443"/>
      <c r="XEM443"/>
      <c r="XEN443"/>
      <c r="XEO443"/>
      <c r="XEP443"/>
      <c r="XEQ443"/>
      <c r="XER443"/>
      <c r="XES443"/>
      <c r="XET443"/>
      <c r="XEU443"/>
      <c r="XEV443"/>
      <c r="XEW443"/>
      <c r="XEX443"/>
      <c r="XEY443"/>
      <c r="XEZ443"/>
      <c r="XFA443"/>
      <c r="XFB443"/>
      <c r="XFC443"/>
      <c r="XFD443"/>
    </row>
    <row r="444" spans="1:18 16327:16384" s="26" customFormat="1" ht="29.1" customHeight="1" outlineLevel="3" x14ac:dyDescent="0.25">
      <c r="A444" s="42" t="s">
        <v>748</v>
      </c>
      <c r="B444" s="43"/>
      <c r="C444" s="66" t="s">
        <v>749</v>
      </c>
      <c r="D444" s="66"/>
      <c r="E444" s="43" t="s">
        <v>34</v>
      </c>
      <c r="F444" s="44"/>
      <c r="G444" s="43" t="s">
        <v>31</v>
      </c>
      <c r="H444" s="45">
        <v>1</v>
      </c>
      <c r="I444" s="46">
        <f>78</f>
        <v>78</v>
      </c>
      <c r="J444" s="23"/>
      <c r="K444" s="47"/>
      <c r="L444" s="48"/>
      <c r="M444" s="49"/>
      <c r="N444" s="49">
        <f t="shared" si="14"/>
        <v>0</v>
      </c>
      <c r="O444" s="49"/>
      <c r="P444" s="49"/>
      <c r="Q444" s="49"/>
      <c r="R444" s="23"/>
      <c r="XCY444"/>
      <c r="XCZ444"/>
      <c r="XDA444"/>
      <c r="XDB444"/>
      <c r="XDC444"/>
      <c r="XDD444"/>
      <c r="XDE444"/>
      <c r="XDF444"/>
      <c r="XDG444"/>
      <c r="XDH444"/>
      <c r="XDI444"/>
      <c r="XDJ444"/>
      <c r="XDK444"/>
      <c r="XDL444"/>
      <c r="XDM444"/>
      <c r="XDN444"/>
      <c r="XDO444"/>
      <c r="XDP444"/>
      <c r="XDQ444"/>
      <c r="XDR444"/>
      <c r="XDS444"/>
      <c r="XDT444"/>
      <c r="XDU444"/>
      <c r="XDV444"/>
      <c r="XDW444"/>
      <c r="XDX444"/>
      <c r="XDY444"/>
      <c r="XDZ444"/>
      <c r="XEA444"/>
      <c r="XEB444"/>
      <c r="XEC444"/>
      <c r="XED444"/>
      <c r="XEE444"/>
      <c r="XEF444"/>
      <c r="XEG444"/>
      <c r="XEH444"/>
      <c r="XEI444"/>
      <c r="XEJ444"/>
      <c r="XEK444"/>
      <c r="XEL444"/>
      <c r="XEM444"/>
      <c r="XEN444"/>
      <c r="XEO444"/>
      <c r="XEP444"/>
      <c r="XEQ444"/>
      <c r="XER444"/>
      <c r="XES444"/>
      <c r="XET444"/>
      <c r="XEU444"/>
      <c r="XEV444"/>
      <c r="XEW444"/>
      <c r="XEX444"/>
      <c r="XEY444"/>
      <c r="XEZ444"/>
      <c r="XFA444"/>
      <c r="XFB444"/>
      <c r="XFC444"/>
      <c r="XFD444"/>
    </row>
    <row r="445" spans="1:18 16327:16384" s="26" customFormat="1" ht="29.1" customHeight="1" outlineLevel="3" x14ac:dyDescent="0.25">
      <c r="A445" s="42" t="s">
        <v>750</v>
      </c>
      <c r="B445" s="43"/>
      <c r="C445" s="66" t="s">
        <v>284</v>
      </c>
      <c r="D445" s="66"/>
      <c r="E445" s="43" t="s">
        <v>34</v>
      </c>
      <c r="F445" s="44"/>
      <c r="G445" s="43" t="s">
        <v>285</v>
      </c>
      <c r="H445" s="45">
        <v>1</v>
      </c>
      <c r="I445" s="46">
        <f>143</f>
        <v>143</v>
      </c>
      <c r="J445" s="23"/>
      <c r="K445" s="47"/>
      <c r="L445" s="48"/>
      <c r="M445" s="49"/>
      <c r="N445" s="49">
        <f t="shared" si="14"/>
        <v>0</v>
      </c>
      <c r="O445" s="49"/>
      <c r="P445" s="49"/>
      <c r="Q445" s="49"/>
      <c r="R445" s="23"/>
      <c r="XCY445"/>
      <c r="XCZ445"/>
      <c r="XDA445"/>
      <c r="XDB445"/>
      <c r="XDC445"/>
      <c r="XDD445"/>
      <c r="XDE445"/>
      <c r="XDF445"/>
      <c r="XDG445"/>
      <c r="XDH445"/>
      <c r="XDI445"/>
      <c r="XDJ445"/>
      <c r="XDK445"/>
      <c r="XDL445"/>
      <c r="XDM445"/>
      <c r="XDN445"/>
      <c r="XDO445"/>
      <c r="XDP445"/>
      <c r="XDQ445"/>
      <c r="XDR445"/>
      <c r="XDS445"/>
      <c r="XDT445"/>
      <c r="XDU445"/>
      <c r="XDV445"/>
      <c r="XDW445"/>
      <c r="XDX445"/>
      <c r="XDY445"/>
      <c r="XDZ445"/>
      <c r="XEA445"/>
      <c r="XEB445"/>
      <c r="XEC445"/>
      <c r="XED445"/>
      <c r="XEE445"/>
      <c r="XEF445"/>
      <c r="XEG445"/>
      <c r="XEH445"/>
      <c r="XEI445"/>
      <c r="XEJ445"/>
      <c r="XEK445"/>
      <c r="XEL445"/>
      <c r="XEM445"/>
      <c r="XEN445"/>
      <c r="XEO445"/>
      <c r="XEP445"/>
      <c r="XEQ445"/>
      <c r="XER445"/>
      <c r="XES445"/>
      <c r="XET445"/>
      <c r="XEU445"/>
      <c r="XEV445"/>
      <c r="XEW445"/>
      <c r="XEX445"/>
      <c r="XEY445"/>
      <c r="XEZ445"/>
      <c r="XFA445"/>
      <c r="XFB445"/>
      <c r="XFC445"/>
      <c r="XFD445"/>
    </row>
    <row r="446" spans="1:18 16327:16384" s="26" customFormat="1" ht="29.1" customHeight="1" outlineLevel="3" x14ac:dyDescent="0.25">
      <c r="A446" s="42" t="s">
        <v>751</v>
      </c>
      <c r="B446" s="43"/>
      <c r="C446" s="66" t="s">
        <v>752</v>
      </c>
      <c r="D446" s="66"/>
      <c r="E446" s="43" t="s">
        <v>34</v>
      </c>
      <c r="F446" s="44"/>
      <c r="G446" s="43" t="s">
        <v>753</v>
      </c>
      <c r="H446" s="45">
        <v>1</v>
      </c>
      <c r="I446" s="46">
        <f>2.6</f>
        <v>2.6</v>
      </c>
      <c r="J446" s="23"/>
      <c r="K446" s="47"/>
      <c r="L446" s="48"/>
      <c r="M446" s="49"/>
      <c r="N446" s="49">
        <f t="shared" si="14"/>
        <v>0</v>
      </c>
      <c r="O446" s="49"/>
      <c r="P446" s="49"/>
      <c r="Q446" s="49"/>
      <c r="R446" s="23"/>
      <c r="XCY446"/>
      <c r="XCZ446"/>
      <c r="XDA446"/>
      <c r="XDB446"/>
      <c r="XDC446"/>
      <c r="XDD446"/>
      <c r="XDE446"/>
      <c r="XDF446"/>
      <c r="XDG446"/>
      <c r="XDH446"/>
      <c r="XDI446"/>
      <c r="XDJ446"/>
      <c r="XDK446"/>
      <c r="XDL446"/>
      <c r="XDM446"/>
      <c r="XDN446"/>
      <c r="XDO446"/>
      <c r="XDP446"/>
      <c r="XDQ446"/>
      <c r="XDR446"/>
      <c r="XDS446"/>
      <c r="XDT446"/>
      <c r="XDU446"/>
      <c r="XDV446"/>
      <c r="XDW446"/>
      <c r="XDX446"/>
      <c r="XDY446"/>
      <c r="XDZ446"/>
      <c r="XEA446"/>
      <c r="XEB446"/>
      <c r="XEC446"/>
      <c r="XED446"/>
      <c r="XEE446"/>
      <c r="XEF446"/>
      <c r="XEG446"/>
      <c r="XEH446"/>
      <c r="XEI446"/>
      <c r="XEJ446"/>
      <c r="XEK446"/>
      <c r="XEL446"/>
      <c r="XEM446"/>
      <c r="XEN446"/>
      <c r="XEO446"/>
      <c r="XEP446"/>
      <c r="XEQ446"/>
      <c r="XER446"/>
      <c r="XES446"/>
      <c r="XET446"/>
      <c r="XEU446"/>
      <c r="XEV446"/>
      <c r="XEW446"/>
      <c r="XEX446"/>
      <c r="XEY446"/>
      <c r="XEZ446"/>
      <c r="XFA446"/>
      <c r="XFB446"/>
      <c r="XFC446"/>
      <c r="XFD446"/>
    </row>
    <row r="447" spans="1:18 16327:16384" s="26" customFormat="1" ht="29.1" customHeight="1" outlineLevel="2" x14ac:dyDescent="0.25">
      <c r="A447" s="34" t="s">
        <v>754</v>
      </c>
      <c r="B447" s="35"/>
      <c r="C447" s="65" t="s">
        <v>755</v>
      </c>
      <c r="D447" s="65"/>
      <c r="E447" s="35"/>
      <c r="F447" s="36" t="s">
        <v>756</v>
      </c>
      <c r="G447" s="35" t="s">
        <v>65</v>
      </c>
      <c r="H447" s="37"/>
      <c r="I447" s="38">
        <f>165</f>
        <v>165</v>
      </c>
      <c r="J447" s="23"/>
      <c r="K447" s="39"/>
      <c r="L447" s="40"/>
      <c r="M447" s="41">
        <f>K447+L447</f>
        <v>0</v>
      </c>
      <c r="N447" s="41">
        <f t="shared" si="14"/>
        <v>0</v>
      </c>
      <c r="O447" s="41">
        <f>ROUND((I447*L447),2)</f>
        <v>0</v>
      </c>
      <c r="P447" s="41">
        <f>ROUND((I447*M447),2)</f>
        <v>0</v>
      </c>
      <c r="Q447" s="41"/>
      <c r="R447" s="23"/>
      <c r="XCY447"/>
      <c r="XCZ447"/>
      <c r="XDA447"/>
      <c r="XDB447"/>
      <c r="XDC447"/>
      <c r="XDD447"/>
      <c r="XDE447"/>
      <c r="XDF447"/>
      <c r="XDG447"/>
      <c r="XDH447"/>
      <c r="XDI447"/>
      <c r="XDJ447"/>
      <c r="XDK447"/>
      <c r="XDL447"/>
      <c r="XDM447"/>
      <c r="XDN447"/>
      <c r="XDO447"/>
      <c r="XDP447"/>
      <c r="XDQ447"/>
      <c r="XDR447"/>
      <c r="XDS447"/>
      <c r="XDT447"/>
      <c r="XDU447"/>
      <c r="XDV447"/>
      <c r="XDW447"/>
      <c r="XDX447"/>
      <c r="XDY447"/>
      <c r="XDZ447"/>
      <c r="XEA447"/>
      <c r="XEB447"/>
      <c r="XEC447"/>
      <c r="XED447"/>
      <c r="XEE447"/>
      <c r="XEF447"/>
      <c r="XEG447"/>
      <c r="XEH447"/>
      <c r="XEI447"/>
      <c r="XEJ447"/>
      <c r="XEK447"/>
      <c r="XEL447"/>
      <c r="XEM447"/>
      <c r="XEN447"/>
      <c r="XEO447"/>
      <c r="XEP447"/>
      <c r="XEQ447"/>
      <c r="XER447"/>
      <c r="XES447"/>
      <c r="XET447"/>
      <c r="XEU447"/>
      <c r="XEV447"/>
      <c r="XEW447"/>
      <c r="XEX447"/>
      <c r="XEY447"/>
      <c r="XEZ447"/>
      <c r="XFA447"/>
      <c r="XFB447"/>
      <c r="XFC447"/>
      <c r="XFD447"/>
    </row>
    <row r="448" spans="1:18 16327:16384" s="26" customFormat="1" ht="29.1" customHeight="1" outlineLevel="3" x14ac:dyDescent="0.25">
      <c r="A448" s="42" t="s">
        <v>757</v>
      </c>
      <c r="B448" s="43"/>
      <c r="C448" s="66" t="s">
        <v>758</v>
      </c>
      <c r="D448" s="66"/>
      <c r="E448" s="43" t="s">
        <v>34</v>
      </c>
      <c r="F448" s="44"/>
      <c r="G448" s="43" t="s">
        <v>65</v>
      </c>
      <c r="H448" s="45">
        <v>1.03</v>
      </c>
      <c r="I448" s="46">
        <f>169.95</f>
        <v>169.95</v>
      </c>
      <c r="J448" s="23"/>
      <c r="K448" s="47"/>
      <c r="L448" s="48"/>
      <c r="M448" s="49"/>
      <c r="N448" s="49">
        <f t="shared" si="14"/>
        <v>0</v>
      </c>
      <c r="O448" s="49"/>
      <c r="P448" s="49"/>
      <c r="Q448" s="49"/>
      <c r="R448" s="23"/>
      <c r="XCY448"/>
      <c r="XCZ448"/>
      <c r="XDA448"/>
      <c r="XDB448"/>
      <c r="XDC448"/>
      <c r="XDD448"/>
      <c r="XDE448"/>
      <c r="XDF448"/>
      <c r="XDG448"/>
      <c r="XDH448"/>
      <c r="XDI448"/>
      <c r="XDJ448"/>
      <c r="XDK448"/>
      <c r="XDL448"/>
      <c r="XDM448"/>
      <c r="XDN448"/>
      <c r="XDO448"/>
      <c r="XDP448"/>
      <c r="XDQ448"/>
      <c r="XDR448"/>
      <c r="XDS448"/>
      <c r="XDT448"/>
      <c r="XDU448"/>
      <c r="XDV448"/>
      <c r="XDW448"/>
      <c r="XDX448"/>
      <c r="XDY448"/>
      <c r="XDZ448"/>
      <c r="XEA448"/>
      <c r="XEB448"/>
      <c r="XEC448"/>
      <c r="XED448"/>
      <c r="XEE448"/>
      <c r="XEF448"/>
      <c r="XEG448"/>
      <c r="XEH448"/>
      <c r="XEI448"/>
      <c r="XEJ448"/>
      <c r="XEK448"/>
      <c r="XEL448"/>
      <c r="XEM448"/>
      <c r="XEN448"/>
      <c r="XEO448"/>
      <c r="XEP448"/>
      <c r="XEQ448"/>
      <c r="XER448"/>
      <c r="XES448"/>
      <c r="XET448"/>
      <c r="XEU448"/>
      <c r="XEV448"/>
      <c r="XEW448"/>
      <c r="XEX448"/>
      <c r="XEY448"/>
      <c r="XEZ448"/>
      <c r="XFA448"/>
      <c r="XFB448"/>
      <c r="XFC448"/>
      <c r="XFD448"/>
    </row>
    <row r="449" spans="1:18 16327:16384" s="26" customFormat="1" ht="29.1" customHeight="1" outlineLevel="3" x14ac:dyDescent="0.25">
      <c r="A449" s="42" t="s">
        <v>759</v>
      </c>
      <c r="B449" s="43"/>
      <c r="C449" s="66" t="s">
        <v>760</v>
      </c>
      <c r="D449" s="66"/>
      <c r="E449" s="43" t="s">
        <v>34</v>
      </c>
      <c r="F449" s="44"/>
      <c r="G449" s="43" t="s">
        <v>31</v>
      </c>
      <c r="H449" s="45">
        <v>1</v>
      </c>
      <c r="I449" s="46">
        <f>55</f>
        <v>55</v>
      </c>
      <c r="J449" s="23"/>
      <c r="K449" s="47"/>
      <c r="L449" s="48"/>
      <c r="M449" s="49"/>
      <c r="N449" s="49">
        <f t="shared" si="14"/>
        <v>0</v>
      </c>
      <c r="O449" s="49"/>
      <c r="P449" s="49"/>
      <c r="Q449" s="49"/>
      <c r="R449" s="23"/>
      <c r="XCY449"/>
      <c r="XCZ449"/>
      <c r="XDA449"/>
      <c r="XDB449"/>
      <c r="XDC449"/>
      <c r="XDD449"/>
      <c r="XDE449"/>
      <c r="XDF449"/>
      <c r="XDG449"/>
      <c r="XDH449"/>
      <c r="XDI449"/>
      <c r="XDJ449"/>
      <c r="XDK449"/>
      <c r="XDL449"/>
      <c r="XDM449"/>
      <c r="XDN449"/>
      <c r="XDO449"/>
      <c r="XDP449"/>
      <c r="XDQ449"/>
      <c r="XDR449"/>
      <c r="XDS449"/>
      <c r="XDT449"/>
      <c r="XDU449"/>
      <c r="XDV449"/>
      <c r="XDW449"/>
      <c r="XDX449"/>
      <c r="XDY449"/>
      <c r="XDZ449"/>
      <c r="XEA449"/>
      <c r="XEB449"/>
      <c r="XEC449"/>
      <c r="XED449"/>
      <c r="XEE449"/>
      <c r="XEF449"/>
      <c r="XEG449"/>
      <c r="XEH449"/>
      <c r="XEI449"/>
      <c r="XEJ449"/>
      <c r="XEK449"/>
      <c r="XEL449"/>
      <c r="XEM449"/>
      <c r="XEN449"/>
      <c r="XEO449"/>
      <c r="XEP449"/>
      <c r="XEQ449"/>
      <c r="XER449"/>
      <c r="XES449"/>
      <c r="XET449"/>
      <c r="XEU449"/>
      <c r="XEV449"/>
      <c r="XEW449"/>
      <c r="XEX449"/>
      <c r="XEY449"/>
      <c r="XEZ449"/>
      <c r="XFA449"/>
      <c r="XFB449"/>
      <c r="XFC449"/>
      <c r="XFD449"/>
    </row>
    <row r="450" spans="1:18 16327:16384" s="26" customFormat="1" ht="29.1" customHeight="1" outlineLevel="3" x14ac:dyDescent="0.25">
      <c r="A450" s="42" t="s">
        <v>761</v>
      </c>
      <c r="B450" s="43"/>
      <c r="C450" s="66" t="s">
        <v>762</v>
      </c>
      <c r="D450" s="66"/>
      <c r="E450" s="43" t="s">
        <v>34</v>
      </c>
      <c r="F450" s="44"/>
      <c r="G450" s="43" t="s">
        <v>31</v>
      </c>
      <c r="H450" s="45">
        <v>1</v>
      </c>
      <c r="I450" s="46">
        <f>7</f>
        <v>7</v>
      </c>
      <c r="J450" s="23"/>
      <c r="K450" s="47"/>
      <c r="L450" s="48"/>
      <c r="M450" s="49"/>
      <c r="N450" s="49">
        <f t="shared" si="14"/>
        <v>0</v>
      </c>
      <c r="O450" s="49"/>
      <c r="P450" s="49"/>
      <c r="Q450" s="49"/>
      <c r="R450" s="23"/>
      <c r="XCY450"/>
      <c r="XCZ450"/>
      <c r="XDA450"/>
      <c r="XDB450"/>
      <c r="XDC450"/>
      <c r="XDD450"/>
      <c r="XDE450"/>
      <c r="XDF450"/>
      <c r="XDG450"/>
      <c r="XDH450"/>
      <c r="XDI450"/>
      <c r="XDJ450"/>
      <c r="XDK450"/>
      <c r="XDL450"/>
      <c r="XDM450"/>
      <c r="XDN450"/>
      <c r="XDO450"/>
      <c r="XDP450"/>
      <c r="XDQ450"/>
      <c r="XDR450"/>
      <c r="XDS450"/>
      <c r="XDT450"/>
      <c r="XDU450"/>
      <c r="XDV450"/>
      <c r="XDW450"/>
      <c r="XDX450"/>
      <c r="XDY450"/>
      <c r="XDZ450"/>
      <c r="XEA450"/>
      <c r="XEB450"/>
      <c r="XEC450"/>
      <c r="XED450"/>
      <c r="XEE450"/>
      <c r="XEF450"/>
      <c r="XEG450"/>
      <c r="XEH450"/>
      <c r="XEI450"/>
      <c r="XEJ450"/>
      <c r="XEK450"/>
      <c r="XEL450"/>
      <c r="XEM450"/>
      <c r="XEN450"/>
      <c r="XEO450"/>
      <c r="XEP450"/>
      <c r="XEQ450"/>
      <c r="XER450"/>
      <c r="XES450"/>
      <c r="XET450"/>
      <c r="XEU450"/>
      <c r="XEV450"/>
      <c r="XEW450"/>
      <c r="XEX450"/>
      <c r="XEY450"/>
      <c r="XEZ450"/>
      <c r="XFA450"/>
      <c r="XFB450"/>
      <c r="XFC450"/>
      <c r="XFD450"/>
    </row>
    <row r="451" spans="1:18 16327:16384" s="26" customFormat="1" ht="29.1" customHeight="1" outlineLevel="3" x14ac:dyDescent="0.25">
      <c r="A451" s="42" t="s">
        <v>763</v>
      </c>
      <c r="B451" s="43"/>
      <c r="C451" s="66" t="s">
        <v>764</v>
      </c>
      <c r="D451" s="66"/>
      <c r="E451" s="43" t="s">
        <v>34</v>
      </c>
      <c r="F451" s="44"/>
      <c r="G451" s="43" t="s">
        <v>31</v>
      </c>
      <c r="H451" s="45">
        <v>1</v>
      </c>
      <c r="I451" s="46">
        <f>7</f>
        <v>7</v>
      </c>
      <c r="J451" s="23"/>
      <c r="K451" s="47"/>
      <c r="L451" s="48"/>
      <c r="M451" s="49"/>
      <c r="N451" s="49">
        <f t="shared" si="14"/>
        <v>0</v>
      </c>
      <c r="O451" s="49"/>
      <c r="P451" s="49"/>
      <c r="Q451" s="49"/>
      <c r="R451" s="23"/>
      <c r="XCY451"/>
      <c r="XCZ451"/>
      <c r="XDA451"/>
      <c r="XDB451"/>
      <c r="XDC451"/>
      <c r="XDD451"/>
      <c r="XDE451"/>
      <c r="XDF451"/>
      <c r="XDG451"/>
      <c r="XDH451"/>
      <c r="XDI451"/>
      <c r="XDJ451"/>
      <c r="XDK451"/>
      <c r="XDL451"/>
      <c r="XDM451"/>
      <c r="XDN451"/>
      <c r="XDO451"/>
      <c r="XDP451"/>
      <c r="XDQ451"/>
      <c r="XDR451"/>
      <c r="XDS451"/>
      <c r="XDT451"/>
      <c r="XDU451"/>
      <c r="XDV451"/>
      <c r="XDW451"/>
      <c r="XDX451"/>
      <c r="XDY451"/>
      <c r="XDZ451"/>
      <c r="XEA451"/>
      <c r="XEB451"/>
      <c r="XEC451"/>
      <c r="XED451"/>
      <c r="XEE451"/>
      <c r="XEF451"/>
      <c r="XEG451"/>
      <c r="XEH451"/>
      <c r="XEI451"/>
      <c r="XEJ451"/>
      <c r="XEK451"/>
      <c r="XEL451"/>
      <c r="XEM451"/>
      <c r="XEN451"/>
      <c r="XEO451"/>
      <c r="XEP451"/>
      <c r="XEQ451"/>
      <c r="XER451"/>
      <c r="XES451"/>
      <c r="XET451"/>
      <c r="XEU451"/>
      <c r="XEV451"/>
      <c r="XEW451"/>
      <c r="XEX451"/>
      <c r="XEY451"/>
      <c r="XEZ451"/>
      <c r="XFA451"/>
      <c r="XFB451"/>
      <c r="XFC451"/>
      <c r="XFD451"/>
    </row>
    <row r="452" spans="1:18 16327:16384" s="26" customFormat="1" ht="29.1" customHeight="1" outlineLevel="3" x14ac:dyDescent="0.25">
      <c r="A452" s="42" t="s">
        <v>765</v>
      </c>
      <c r="B452" s="43"/>
      <c r="C452" s="66" t="s">
        <v>766</v>
      </c>
      <c r="D452" s="66"/>
      <c r="E452" s="43" t="s">
        <v>34</v>
      </c>
      <c r="F452" s="44"/>
      <c r="G452" s="43" t="s">
        <v>31</v>
      </c>
      <c r="H452" s="45">
        <v>1</v>
      </c>
      <c r="I452" s="46">
        <f>10</f>
        <v>10</v>
      </c>
      <c r="J452" s="23"/>
      <c r="K452" s="47"/>
      <c r="L452" s="48"/>
      <c r="M452" s="49"/>
      <c r="N452" s="49">
        <f t="shared" si="14"/>
        <v>0</v>
      </c>
      <c r="O452" s="49"/>
      <c r="P452" s="49"/>
      <c r="Q452" s="49"/>
      <c r="R452" s="23"/>
      <c r="XCY452"/>
      <c r="XCZ452"/>
      <c r="XDA452"/>
      <c r="XDB452"/>
      <c r="XDC452"/>
      <c r="XDD452"/>
      <c r="XDE452"/>
      <c r="XDF452"/>
      <c r="XDG452"/>
      <c r="XDH452"/>
      <c r="XDI452"/>
      <c r="XDJ452"/>
      <c r="XDK452"/>
      <c r="XDL452"/>
      <c r="XDM452"/>
      <c r="XDN452"/>
      <c r="XDO452"/>
      <c r="XDP452"/>
      <c r="XDQ452"/>
      <c r="XDR452"/>
      <c r="XDS452"/>
      <c r="XDT452"/>
      <c r="XDU452"/>
      <c r="XDV452"/>
      <c r="XDW452"/>
      <c r="XDX452"/>
      <c r="XDY452"/>
      <c r="XDZ452"/>
      <c r="XEA452"/>
      <c r="XEB452"/>
      <c r="XEC452"/>
      <c r="XED452"/>
      <c r="XEE452"/>
      <c r="XEF452"/>
      <c r="XEG452"/>
      <c r="XEH452"/>
      <c r="XEI452"/>
      <c r="XEJ452"/>
      <c r="XEK452"/>
      <c r="XEL452"/>
      <c r="XEM452"/>
      <c r="XEN452"/>
      <c r="XEO452"/>
      <c r="XEP452"/>
      <c r="XEQ452"/>
      <c r="XER452"/>
      <c r="XES452"/>
      <c r="XET452"/>
      <c r="XEU452"/>
      <c r="XEV452"/>
      <c r="XEW452"/>
      <c r="XEX452"/>
      <c r="XEY452"/>
      <c r="XEZ452"/>
      <c r="XFA452"/>
      <c r="XFB452"/>
      <c r="XFC452"/>
      <c r="XFD452"/>
    </row>
    <row r="453" spans="1:18 16327:16384" s="26" customFormat="1" ht="29.1" customHeight="1" outlineLevel="3" x14ac:dyDescent="0.25">
      <c r="A453" s="42" t="s">
        <v>767</v>
      </c>
      <c r="B453" s="43"/>
      <c r="C453" s="66" t="s">
        <v>768</v>
      </c>
      <c r="D453" s="66"/>
      <c r="E453" s="43" t="s">
        <v>34</v>
      </c>
      <c r="F453" s="44"/>
      <c r="G453" s="43" t="s">
        <v>31</v>
      </c>
      <c r="H453" s="45">
        <v>1</v>
      </c>
      <c r="I453" s="46">
        <f>10</f>
        <v>10</v>
      </c>
      <c r="J453" s="23"/>
      <c r="K453" s="47"/>
      <c r="L453" s="48"/>
      <c r="M453" s="49"/>
      <c r="N453" s="49">
        <f t="shared" si="14"/>
        <v>0</v>
      </c>
      <c r="O453" s="49"/>
      <c r="P453" s="49"/>
      <c r="Q453" s="49"/>
      <c r="R453" s="23"/>
      <c r="XCY453"/>
      <c r="XCZ453"/>
      <c r="XDA453"/>
      <c r="XDB453"/>
      <c r="XDC453"/>
      <c r="XDD453"/>
      <c r="XDE453"/>
      <c r="XDF453"/>
      <c r="XDG453"/>
      <c r="XDH453"/>
      <c r="XDI453"/>
      <c r="XDJ453"/>
      <c r="XDK453"/>
      <c r="XDL453"/>
      <c r="XDM453"/>
      <c r="XDN453"/>
      <c r="XDO453"/>
      <c r="XDP453"/>
      <c r="XDQ453"/>
      <c r="XDR453"/>
      <c r="XDS453"/>
      <c r="XDT453"/>
      <c r="XDU453"/>
      <c r="XDV453"/>
      <c r="XDW453"/>
      <c r="XDX453"/>
      <c r="XDY453"/>
      <c r="XDZ453"/>
      <c r="XEA453"/>
      <c r="XEB453"/>
      <c r="XEC453"/>
      <c r="XED453"/>
      <c r="XEE453"/>
      <c r="XEF453"/>
      <c r="XEG453"/>
      <c r="XEH453"/>
      <c r="XEI453"/>
      <c r="XEJ453"/>
      <c r="XEK453"/>
      <c r="XEL453"/>
      <c r="XEM453"/>
      <c r="XEN453"/>
      <c r="XEO453"/>
      <c r="XEP453"/>
      <c r="XEQ453"/>
      <c r="XER453"/>
      <c r="XES453"/>
      <c r="XET453"/>
      <c r="XEU453"/>
      <c r="XEV453"/>
      <c r="XEW453"/>
      <c r="XEX453"/>
      <c r="XEY453"/>
      <c r="XEZ453"/>
      <c r="XFA453"/>
      <c r="XFB453"/>
      <c r="XFC453"/>
      <c r="XFD453"/>
    </row>
    <row r="454" spans="1:18 16327:16384" s="26" customFormat="1" ht="29.1" customHeight="1" outlineLevel="3" x14ac:dyDescent="0.25">
      <c r="A454" s="42" t="s">
        <v>769</v>
      </c>
      <c r="B454" s="43"/>
      <c r="C454" s="66" t="s">
        <v>770</v>
      </c>
      <c r="D454" s="66"/>
      <c r="E454" s="43" t="s">
        <v>34</v>
      </c>
      <c r="F454" s="44"/>
      <c r="G454" s="43" t="s">
        <v>31</v>
      </c>
      <c r="H454" s="45">
        <v>1</v>
      </c>
      <c r="I454" s="46">
        <f>8</f>
        <v>8</v>
      </c>
      <c r="J454" s="23"/>
      <c r="K454" s="47"/>
      <c r="L454" s="48"/>
      <c r="M454" s="49"/>
      <c r="N454" s="49">
        <f t="shared" si="14"/>
        <v>0</v>
      </c>
      <c r="O454" s="49"/>
      <c r="P454" s="49"/>
      <c r="Q454" s="49"/>
      <c r="R454" s="23"/>
      <c r="XCY454"/>
      <c r="XCZ454"/>
      <c r="XDA454"/>
      <c r="XDB454"/>
      <c r="XDC454"/>
      <c r="XDD454"/>
      <c r="XDE454"/>
      <c r="XDF454"/>
      <c r="XDG454"/>
      <c r="XDH454"/>
      <c r="XDI454"/>
      <c r="XDJ454"/>
      <c r="XDK454"/>
      <c r="XDL454"/>
      <c r="XDM454"/>
      <c r="XDN454"/>
      <c r="XDO454"/>
      <c r="XDP454"/>
      <c r="XDQ454"/>
      <c r="XDR454"/>
      <c r="XDS454"/>
      <c r="XDT454"/>
      <c r="XDU454"/>
      <c r="XDV454"/>
      <c r="XDW454"/>
      <c r="XDX454"/>
      <c r="XDY454"/>
      <c r="XDZ454"/>
      <c r="XEA454"/>
      <c r="XEB454"/>
      <c r="XEC454"/>
      <c r="XED454"/>
      <c r="XEE454"/>
      <c r="XEF454"/>
      <c r="XEG454"/>
      <c r="XEH454"/>
      <c r="XEI454"/>
      <c r="XEJ454"/>
      <c r="XEK454"/>
      <c r="XEL454"/>
      <c r="XEM454"/>
      <c r="XEN454"/>
      <c r="XEO454"/>
      <c r="XEP454"/>
      <c r="XEQ454"/>
      <c r="XER454"/>
      <c r="XES454"/>
      <c r="XET454"/>
      <c r="XEU454"/>
      <c r="XEV454"/>
      <c r="XEW454"/>
      <c r="XEX454"/>
      <c r="XEY454"/>
      <c r="XEZ454"/>
      <c r="XFA454"/>
      <c r="XFB454"/>
      <c r="XFC454"/>
      <c r="XFD454"/>
    </row>
    <row r="455" spans="1:18 16327:16384" s="26" customFormat="1" ht="29.1" customHeight="1" outlineLevel="3" x14ac:dyDescent="0.25">
      <c r="A455" s="42" t="s">
        <v>771</v>
      </c>
      <c r="B455" s="43"/>
      <c r="C455" s="66" t="s">
        <v>772</v>
      </c>
      <c r="D455" s="66"/>
      <c r="E455" s="43" t="s">
        <v>34</v>
      </c>
      <c r="F455" s="44"/>
      <c r="G455" s="43" t="s">
        <v>31</v>
      </c>
      <c r="H455" s="45">
        <v>1</v>
      </c>
      <c r="I455" s="46">
        <f>8</f>
        <v>8</v>
      </c>
      <c r="J455" s="23"/>
      <c r="K455" s="47"/>
      <c r="L455" s="48"/>
      <c r="M455" s="49"/>
      <c r="N455" s="49">
        <f t="shared" si="14"/>
        <v>0</v>
      </c>
      <c r="O455" s="49"/>
      <c r="P455" s="49"/>
      <c r="Q455" s="49"/>
      <c r="R455" s="23"/>
      <c r="XCY455"/>
      <c r="XCZ455"/>
      <c r="XDA455"/>
      <c r="XDB455"/>
      <c r="XDC455"/>
      <c r="XDD455"/>
      <c r="XDE455"/>
      <c r="XDF455"/>
      <c r="XDG455"/>
      <c r="XDH455"/>
      <c r="XDI455"/>
      <c r="XDJ455"/>
      <c r="XDK455"/>
      <c r="XDL455"/>
      <c r="XDM455"/>
      <c r="XDN455"/>
      <c r="XDO455"/>
      <c r="XDP455"/>
      <c r="XDQ455"/>
      <c r="XDR455"/>
      <c r="XDS455"/>
      <c r="XDT455"/>
      <c r="XDU455"/>
      <c r="XDV455"/>
      <c r="XDW455"/>
      <c r="XDX455"/>
      <c r="XDY455"/>
      <c r="XDZ455"/>
      <c r="XEA455"/>
      <c r="XEB455"/>
      <c r="XEC455"/>
      <c r="XED455"/>
      <c r="XEE455"/>
      <c r="XEF455"/>
      <c r="XEG455"/>
      <c r="XEH455"/>
      <c r="XEI455"/>
      <c r="XEJ455"/>
      <c r="XEK455"/>
      <c r="XEL455"/>
      <c r="XEM455"/>
      <c r="XEN455"/>
      <c r="XEO455"/>
      <c r="XEP455"/>
      <c r="XEQ455"/>
      <c r="XER455"/>
      <c r="XES455"/>
      <c r="XET455"/>
      <c r="XEU455"/>
      <c r="XEV455"/>
      <c r="XEW455"/>
      <c r="XEX455"/>
      <c r="XEY455"/>
      <c r="XEZ455"/>
      <c r="XFA455"/>
      <c r="XFB455"/>
      <c r="XFC455"/>
      <c r="XFD455"/>
    </row>
    <row r="456" spans="1:18 16327:16384" s="26" customFormat="1" ht="29.1" customHeight="1" outlineLevel="3" x14ac:dyDescent="0.25">
      <c r="A456" s="42" t="s">
        <v>773</v>
      </c>
      <c r="B456" s="43"/>
      <c r="C456" s="66" t="s">
        <v>774</v>
      </c>
      <c r="D456" s="66"/>
      <c r="E456" s="43" t="s">
        <v>34</v>
      </c>
      <c r="F456" s="44"/>
      <c r="G456" s="43" t="s">
        <v>31</v>
      </c>
      <c r="H456" s="45">
        <v>1</v>
      </c>
      <c r="I456" s="46">
        <f>2</f>
        <v>2</v>
      </c>
      <c r="J456" s="23"/>
      <c r="K456" s="47"/>
      <c r="L456" s="48"/>
      <c r="M456" s="49"/>
      <c r="N456" s="49">
        <f t="shared" si="14"/>
        <v>0</v>
      </c>
      <c r="O456" s="49"/>
      <c r="P456" s="49"/>
      <c r="Q456" s="49"/>
      <c r="R456" s="23"/>
      <c r="XCY456"/>
      <c r="XCZ456"/>
      <c r="XDA456"/>
      <c r="XDB456"/>
      <c r="XDC456"/>
      <c r="XDD456"/>
      <c r="XDE456"/>
      <c r="XDF456"/>
      <c r="XDG456"/>
      <c r="XDH456"/>
      <c r="XDI456"/>
      <c r="XDJ456"/>
      <c r="XDK456"/>
      <c r="XDL456"/>
      <c r="XDM456"/>
      <c r="XDN456"/>
      <c r="XDO456"/>
      <c r="XDP456"/>
      <c r="XDQ456"/>
      <c r="XDR456"/>
      <c r="XDS456"/>
      <c r="XDT456"/>
      <c r="XDU456"/>
      <c r="XDV456"/>
      <c r="XDW456"/>
      <c r="XDX456"/>
      <c r="XDY456"/>
      <c r="XDZ456"/>
      <c r="XEA456"/>
      <c r="XEB456"/>
      <c r="XEC456"/>
      <c r="XED456"/>
      <c r="XEE456"/>
      <c r="XEF456"/>
      <c r="XEG456"/>
      <c r="XEH456"/>
      <c r="XEI456"/>
      <c r="XEJ456"/>
      <c r="XEK456"/>
      <c r="XEL456"/>
      <c r="XEM456"/>
      <c r="XEN456"/>
      <c r="XEO456"/>
      <c r="XEP456"/>
      <c r="XEQ456"/>
      <c r="XER456"/>
      <c r="XES456"/>
      <c r="XET456"/>
      <c r="XEU456"/>
      <c r="XEV456"/>
      <c r="XEW456"/>
      <c r="XEX456"/>
      <c r="XEY456"/>
      <c r="XEZ456"/>
      <c r="XFA456"/>
      <c r="XFB456"/>
      <c r="XFC456"/>
      <c r="XFD456"/>
    </row>
    <row r="457" spans="1:18 16327:16384" s="26" customFormat="1" ht="29.1" customHeight="1" outlineLevel="3" x14ac:dyDescent="0.25">
      <c r="A457" s="42" t="s">
        <v>775</v>
      </c>
      <c r="B457" s="43"/>
      <c r="C457" s="66" t="s">
        <v>776</v>
      </c>
      <c r="D457" s="66"/>
      <c r="E457" s="43" t="s">
        <v>34</v>
      </c>
      <c r="F457" s="44"/>
      <c r="G457" s="43" t="s">
        <v>31</v>
      </c>
      <c r="H457" s="45">
        <v>1</v>
      </c>
      <c r="I457" s="46">
        <f>2</f>
        <v>2</v>
      </c>
      <c r="J457" s="23"/>
      <c r="K457" s="47"/>
      <c r="L457" s="48"/>
      <c r="M457" s="49"/>
      <c r="N457" s="49">
        <f t="shared" si="14"/>
        <v>0</v>
      </c>
      <c r="O457" s="49"/>
      <c r="P457" s="49"/>
      <c r="Q457" s="49"/>
      <c r="R457" s="23"/>
      <c r="XCY457"/>
      <c r="XCZ457"/>
      <c r="XDA457"/>
      <c r="XDB457"/>
      <c r="XDC457"/>
      <c r="XDD457"/>
      <c r="XDE457"/>
      <c r="XDF457"/>
      <c r="XDG457"/>
      <c r="XDH457"/>
      <c r="XDI457"/>
      <c r="XDJ457"/>
      <c r="XDK457"/>
      <c r="XDL457"/>
      <c r="XDM457"/>
      <c r="XDN457"/>
      <c r="XDO457"/>
      <c r="XDP457"/>
      <c r="XDQ457"/>
      <c r="XDR457"/>
      <c r="XDS457"/>
      <c r="XDT457"/>
      <c r="XDU457"/>
      <c r="XDV457"/>
      <c r="XDW457"/>
      <c r="XDX457"/>
      <c r="XDY457"/>
      <c r="XDZ457"/>
      <c r="XEA457"/>
      <c r="XEB457"/>
      <c r="XEC457"/>
      <c r="XED457"/>
      <c r="XEE457"/>
      <c r="XEF457"/>
      <c r="XEG457"/>
      <c r="XEH457"/>
      <c r="XEI457"/>
      <c r="XEJ457"/>
      <c r="XEK457"/>
      <c r="XEL457"/>
      <c r="XEM457"/>
      <c r="XEN457"/>
      <c r="XEO457"/>
      <c r="XEP457"/>
      <c r="XEQ457"/>
      <c r="XER457"/>
      <c r="XES457"/>
      <c r="XET457"/>
      <c r="XEU457"/>
      <c r="XEV457"/>
      <c r="XEW457"/>
      <c r="XEX457"/>
      <c r="XEY457"/>
      <c r="XEZ457"/>
      <c r="XFA457"/>
      <c r="XFB457"/>
      <c r="XFC457"/>
      <c r="XFD457"/>
    </row>
    <row r="458" spans="1:18 16327:16384" s="26" customFormat="1" ht="29.1" customHeight="1" outlineLevel="3" x14ac:dyDescent="0.25">
      <c r="A458" s="42" t="s">
        <v>777</v>
      </c>
      <c r="B458" s="43"/>
      <c r="C458" s="66" t="s">
        <v>778</v>
      </c>
      <c r="D458" s="66"/>
      <c r="E458" s="43" t="s">
        <v>34</v>
      </c>
      <c r="F458" s="44"/>
      <c r="G458" s="43" t="s">
        <v>31</v>
      </c>
      <c r="H458" s="45">
        <v>1</v>
      </c>
      <c r="I458" s="46">
        <f>2</f>
        <v>2</v>
      </c>
      <c r="J458" s="23"/>
      <c r="K458" s="47"/>
      <c r="L458" s="48"/>
      <c r="M458" s="49"/>
      <c r="N458" s="49">
        <f t="shared" si="14"/>
        <v>0</v>
      </c>
      <c r="O458" s="49"/>
      <c r="P458" s="49"/>
      <c r="Q458" s="49"/>
      <c r="R458" s="23"/>
      <c r="XCY458"/>
      <c r="XCZ458"/>
      <c r="XDA458"/>
      <c r="XDB458"/>
      <c r="XDC458"/>
      <c r="XDD458"/>
      <c r="XDE458"/>
      <c r="XDF458"/>
      <c r="XDG458"/>
      <c r="XDH458"/>
      <c r="XDI458"/>
      <c r="XDJ458"/>
      <c r="XDK458"/>
      <c r="XDL458"/>
      <c r="XDM458"/>
      <c r="XDN458"/>
      <c r="XDO458"/>
      <c r="XDP458"/>
      <c r="XDQ458"/>
      <c r="XDR458"/>
      <c r="XDS458"/>
      <c r="XDT458"/>
      <c r="XDU458"/>
      <c r="XDV458"/>
      <c r="XDW458"/>
      <c r="XDX458"/>
      <c r="XDY458"/>
      <c r="XDZ458"/>
      <c r="XEA458"/>
      <c r="XEB458"/>
      <c r="XEC458"/>
      <c r="XED458"/>
      <c r="XEE458"/>
      <c r="XEF458"/>
      <c r="XEG458"/>
      <c r="XEH458"/>
      <c r="XEI458"/>
      <c r="XEJ458"/>
      <c r="XEK458"/>
      <c r="XEL458"/>
      <c r="XEM458"/>
      <c r="XEN458"/>
      <c r="XEO458"/>
      <c r="XEP458"/>
      <c r="XEQ458"/>
      <c r="XER458"/>
      <c r="XES458"/>
      <c r="XET458"/>
      <c r="XEU458"/>
      <c r="XEV458"/>
      <c r="XEW458"/>
      <c r="XEX458"/>
      <c r="XEY458"/>
      <c r="XEZ458"/>
      <c r="XFA458"/>
      <c r="XFB458"/>
      <c r="XFC458"/>
      <c r="XFD458"/>
    </row>
    <row r="459" spans="1:18 16327:16384" s="26" customFormat="1" ht="29.1" customHeight="1" outlineLevel="3" x14ac:dyDescent="0.25">
      <c r="A459" s="42" t="s">
        <v>779</v>
      </c>
      <c r="B459" s="43"/>
      <c r="C459" s="66" t="s">
        <v>780</v>
      </c>
      <c r="D459" s="66"/>
      <c r="E459" s="43" t="s">
        <v>34</v>
      </c>
      <c r="F459" s="44"/>
      <c r="G459" s="43" t="s">
        <v>31</v>
      </c>
      <c r="H459" s="45">
        <v>1</v>
      </c>
      <c r="I459" s="46">
        <f>2</f>
        <v>2</v>
      </c>
      <c r="J459" s="23"/>
      <c r="K459" s="47"/>
      <c r="L459" s="48"/>
      <c r="M459" s="49"/>
      <c r="N459" s="49">
        <f t="shared" si="14"/>
        <v>0</v>
      </c>
      <c r="O459" s="49"/>
      <c r="P459" s="49"/>
      <c r="Q459" s="49"/>
      <c r="R459" s="23"/>
      <c r="XCY459"/>
      <c r="XCZ459"/>
      <c r="XDA459"/>
      <c r="XDB459"/>
      <c r="XDC459"/>
      <c r="XDD459"/>
      <c r="XDE459"/>
      <c r="XDF459"/>
      <c r="XDG459"/>
      <c r="XDH459"/>
      <c r="XDI459"/>
      <c r="XDJ459"/>
      <c r="XDK459"/>
      <c r="XDL459"/>
      <c r="XDM459"/>
      <c r="XDN459"/>
      <c r="XDO459"/>
      <c r="XDP459"/>
      <c r="XDQ459"/>
      <c r="XDR459"/>
      <c r="XDS459"/>
      <c r="XDT459"/>
      <c r="XDU459"/>
      <c r="XDV459"/>
      <c r="XDW459"/>
      <c r="XDX459"/>
      <c r="XDY459"/>
      <c r="XDZ459"/>
      <c r="XEA459"/>
      <c r="XEB459"/>
      <c r="XEC459"/>
      <c r="XED459"/>
      <c r="XEE459"/>
      <c r="XEF459"/>
      <c r="XEG459"/>
      <c r="XEH459"/>
      <c r="XEI459"/>
      <c r="XEJ459"/>
      <c r="XEK459"/>
      <c r="XEL459"/>
      <c r="XEM459"/>
      <c r="XEN459"/>
      <c r="XEO459"/>
      <c r="XEP459"/>
      <c r="XEQ459"/>
      <c r="XER459"/>
      <c r="XES459"/>
      <c r="XET459"/>
      <c r="XEU459"/>
      <c r="XEV459"/>
      <c r="XEW459"/>
      <c r="XEX459"/>
      <c r="XEY459"/>
      <c r="XEZ459"/>
      <c r="XFA459"/>
      <c r="XFB459"/>
      <c r="XFC459"/>
      <c r="XFD459"/>
    </row>
    <row r="460" spans="1:18 16327:16384" s="26" customFormat="1" ht="29.1" customHeight="1" outlineLevel="3" x14ac:dyDescent="0.25">
      <c r="A460" s="42" t="s">
        <v>781</v>
      </c>
      <c r="B460" s="43"/>
      <c r="C460" s="66" t="s">
        <v>782</v>
      </c>
      <c r="D460" s="66"/>
      <c r="E460" s="43" t="s">
        <v>34</v>
      </c>
      <c r="F460" s="44"/>
      <c r="G460" s="43" t="s">
        <v>31</v>
      </c>
      <c r="H460" s="45">
        <v>1</v>
      </c>
      <c r="I460" s="46">
        <f>141</f>
        <v>141</v>
      </c>
      <c r="J460" s="23"/>
      <c r="K460" s="47"/>
      <c r="L460" s="48"/>
      <c r="M460" s="49"/>
      <c r="N460" s="49">
        <f t="shared" si="14"/>
        <v>0</v>
      </c>
      <c r="O460" s="49"/>
      <c r="P460" s="49"/>
      <c r="Q460" s="49"/>
      <c r="R460" s="23"/>
      <c r="XCY460"/>
      <c r="XCZ460"/>
      <c r="XDA460"/>
      <c r="XDB460"/>
      <c r="XDC460"/>
      <c r="XDD460"/>
      <c r="XDE460"/>
      <c r="XDF460"/>
      <c r="XDG460"/>
      <c r="XDH460"/>
      <c r="XDI460"/>
      <c r="XDJ460"/>
      <c r="XDK460"/>
      <c r="XDL460"/>
      <c r="XDM460"/>
      <c r="XDN460"/>
      <c r="XDO460"/>
      <c r="XDP460"/>
      <c r="XDQ460"/>
      <c r="XDR460"/>
      <c r="XDS460"/>
      <c r="XDT460"/>
      <c r="XDU460"/>
      <c r="XDV460"/>
      <c r="XDW460"/>
      <c r="XDX460"/>
      <c r="XDY460"/>
      <c r="XDZ460"/>
      <c r="XEA460"/>
      <c r="XEB460"/>
      <c r="XEC460"/>
      <c r="XED460"/>
      <c r="XEE460"/>
      <c r="XEF460"/>
      <c r="XEG460"/>
      <c r="XEH460"/>
      <c r="XEI460"/>
      <c r="XEJ460"/>
      <c r="XEK460"/>
      <c r="XEL460"/>
      <c r="XEM460"/>
      <c r="XEN460"/>
      <c r="XEO460"/>
      <c r="XEP460"/>
      <c r="XEQ460"/>
      <c r="XER460"/>
      <c r="XES460"/>
      <c r="XET460"/>
      <c r="XEU460"/>
      <c r="XEV460"/>
      <c r="XEW460"/>
      <c r="XEX460"/>
      <c r="XEY460"/>
      <c r="XEZ460"/>
      <c r="XFA460"/>
      <c r="XFB460"/>
      <c r="XFC460"/>
      <c r="XFD460"/>
    </row>
    <row r="461" spans="1:18 16327:16384" s="26" customFormat="1" ht="29.1" customHeight="1" outlineLevel="3" x14ac:dyDescent="0.25">
      <c r="A461" s="42" t="s">
        <v>783</v>
      </c>
      <c r="B461" s="43"/>
      <c r="C461" s="66" t="s">
        <v>784</v>
      </c>
      <c r="D461" s="66"/>
      <c r="E461" s="43" t="s">
        <v>34</v>
      </c>
      <c r="F461" s="44"/>
      <c r="G461" s="43" t="s">
        <v>31</v>
      </c>
      <c r="H461" s="45">
        <v>1</v>
      </c>
      <c r="I461" s="46">
        <f>49</f>
        <v>49</v>
      </c>
      <c r="J461" s="23"/>
      <c r="K461" s="47"/>
      <c r="L461" s="48"/>
      <c r="M461" s="49"/>
      <c r="N461" s="49">
        <f t="shared" si="14"/>
        <v>0</v>
      </c>
      <c r="O461" s="49"/>
      <c r="P461" s="49"/>
      <c r="Q461" s="49"/>
      <c r="R461" s="23"/>
      <c r="XCY461"/>
      <c r="XCZ461"/>
      <c r="XDA461"/>
      <c r="XDB461"/>
      <c r="XDC461"/>
      <c r="XDD461"/>
      <c r="XDE461"/>
      <c r="XDF461"/>
      <c r="XDG461"/>
      <c r="XDH461"/>
      <c r="XDI461"/>
      <c r="XDJ461"/>
      <c r="XDK461"/>
      <c r="XDL461"/>
      <c r="XDM461"/>
      <c r="XDN461"/>
      <c r="XDO461"/>
      <c r="XDP461"/>
      <c r="XDQ461"/>
      <c r="XDR461"/>
      <c r="XDS461"/>
      <c r="XDT461"/>
      <c r="XDU461"/>
      <c r="XDV461"/>
      <c r="XDW461"/>
      <c r="XDX461"/>
      <c r="XDY461"/>
      <c r="XDZ461"/>
      <c r="XEA461"/>
      <c r="XEB461"/>
      <c r="XEC461"/>
      <c r="XED461"/>
      <c r="XEE461"/>
      <c r="XEF461"/>
      <c r="XEG461"/>
      <c r="XEH461"/>
      <c r="XEI461"/>
      <c r="XEJ461"/>
      <c r="XEK461"/>
      <c r="XEL461"/>
      <c r="XEM461"/>
      <c r="XEN461"/>
      <c r="XEO461"/>
      <c r="XEP461"/>
      <c r="XEQ461"/>
      <c r="XER461"/>
      <c r="XES461"/>
      <c r="XET461"/>
      <c r="XEU461"/>
      <c r="XEV461"/>
      <c r="XEW461"/>
      <c r="XEX461"/>
      <c r="XEY461"/>
      <c r="XEZ461"/>
      <c r="XFA461"/>
      <c r="XFB461"/>
      <c r="XFC461"/>
      <c r="XFD461"/>
    </row>
    <row r="462" spans="1:18 16327:16384" s="26" customFormat="1" ht="29.1" customHeight="1" outlineLevel="3" x14ac:dyDescent="0.25">
      <c r="A462" s="42" t="s">
        <v>785</v>
      </c>
      <c r="B462" s="43"/>
      <c r="C462" s="66" t="s">
        <v>786</v>
      </c>
      <c r="D462" s="66"/>
      <c r="E462" s="43" t="s">
        <v>34</v>
      </c>
      <c r="F462" s="44"/>
      <c r="G462" s="43" t="s">
        <v>31</v>
      </c>
      <c r="H462" s="45">
        <v>1</v>
      </c>
      <c r="I462" s="46">
        <f>165</f>
        <v>165</v>
      </c>
      <c r="J462" s="23"/>
      <c r="K462" s="47"/>
      <c r="L462" s="48"/>
      <c r="M462" s="49"/>
      <c r="N462" s="49">
        <f t="shared" si="14"/>
        <v>0</v>
      </c>
      <c r="O462" s="49"/>
      <c r="P462" s="49"/>
      <c r="Q462" s="49"/>
      <c r="R462" s="23"/>
      <c r="XCY462"/>
      <c r="XCZ462"/>
      <c r="XDA462"/>
      <c r="XDB462"/>
      <c r="XDC462"/>
      <c r="XDD462"/>
      <c r="XDE462"/>
      <c r="XDF462"/>
      <c r="XDG462"/>
      <c r="XDH462"/>
      <c r="XDI462"/>
      <c r="XDJ462"/>
      <c r="XDK462"/>
      <c r="XDL462"/>
      <c r="XDM462"/>
      <c r="XDN462"/>
      <c r="XDO462"/>
      <c r="XDP462"/>
      <c r="XDQ462"/>
      <c r="XDR462"/>
      <c r="XDS462"/>
      <c r="XDT462"/>
      <c r="XDU462"/>
      <c r="XDV462"/>
      <c r="XDW462"/>
      <c r="XDX462"/>
      <c r="XDY462"/>
      <c r="XDZ462"/>
      <c r="XEA462"/>
      <c r="XEB462"/>
      <c r="XEC462"/>
      <c r="XED462"/>
      <c r="XEE462"/>
      <c r="XEF462"/>
      <c r="XEG462"/>
      <c r="XEH462"/>
      <c r="XEI462"/>
      <c r="XEJ462"/>
      <c r="XEK462"/>
      <c r="XEL462"/>
      <c r="XEM462"/>
      <c r="XEN462"/>
      <c r="XEO462"/>
      <c r="XEP462"/>
      <c r="XEQ462"/>
      <c r="XER462"/>
      <c r="XES462"/>
      <c r="XET462"/>
      <c r="XEU462"/>
      <c r="XEV462"/>
      <c r="XEW462"/>
      <c r="XEX462"/>
      <c r="XEY462"/>
      <c r="XEZ462"/>
      <c r="XFA462"/>
      <c r="XFB462"/>
      <c r="XFC462"/>
      <c r="XFD462"/>
    </row>
    <row r="463" spans="1:18 16327:16384" s="26" customFormat="1" ht="29.1" customHeight="1" outlineLevel="3" x14ac:dyDescent="0.25">
      <c r="A463" s="42" t="s">
        <v>787</v>
      </c>
      <c r="B463" s="43"/>
      <c r="C463" s="66" t="s">
        <v>788</v>
      </c>
      <c r="D463" s="66"/>
      <c r="E463" s="43" t="s">
        <v>34</v>
      </c>
      <c r="F463" s="44"/>
      <c r="G463" s="43" t="s">
        <v>31</v>
      </c>
      <c r="H463" s="45">
        <v>1</v>
      </c>
      <c r="I463" s="46">
        <f>25</f>
        <v>25</v>
      </c>
      <c r="J463" s="23"/>
      <c r="K463" s="47"/>
      <c r="L463" s="48"/>
      <c r="M463" s="49"/>
      <c r="N463" s="49">
        <f t="shared" si="14"/>
        <v>0</v>
      </c>
      <c r="O463" s="49"/>
      <c r="P463" s="49"/>
      <c r="Q463" s="49"/>
      <c r="R463" s="23"/>
      <c r="XCY463"/>
      <c r="XCZ463"/>
      <c r="XDA463"/>
      <c r="XDB463"/>
      <c r="XDC463"/>
      <c r="XDD463"/>
      <c r="XDE463"/>
      <c r="XDF463"/>
      <c r="XDG463"/>
      <c r="XDH463"/>
      <c r="XDI463"/>
      <c r="XDJ463"/>
      <c r="XDK463"/>
      <c r="XDL463"/>
      <c r="XDM463"/>
      <c r="XDN463"/>
      <c r="XDO463"/>
      <c r="XDP463"/>
      <c r="XDQ463"/>
      <c r="XDR463"/>
      <c r="XDS463"/>
      <c r="XDT463"/>
      <c r="XDU463"/>
      <c r="XDV463"/>
      <c r="XDW463"/>
      <c r="XDX463"/>
      <c r="XDY463"/>
      <c r="XDZ463"/>
      <c r="XEA463"/>
      <c r="XEB463"/>
      <c r="XEC463"/>
      <c r="XED463"/>
      <c r="XEE463"/>
      <c r="XEF463"/>
      <c r="XEG463"/>
      <c r="XEH463"/>
      <c r="XEI463"/>
      <c r="XEJ463"/>
      <c r="XEK463"/>
      <c r="XEL463"/>
      <c r="XEM463"/>
      <c r="XEN463"/>
      <c r="XEO463"/>
      <c r="XEP463"/>
      <c r="XEQ463"/>
      <c r="XER463"/>
      <c r="XES463"/>
      <c r="XET463"/>
      <c r="XEU463"/>
      <c r="XEV463"/>
      <c r="XEW463"/>
      <c r="XEX463"/>
      <c r="XEY463"/>
      <c r="XEZ463"/>
      <c r="XFA463"/>
      <c r="XFB463"/>
      <c r="XFC463"/>
      <c r="XFD463"/>
    </row>
    <row r="464" spans="1:18 16327:16384" s="26" customFormat="1" ht="29.1" customHeight="1" outlineLevel="3" x14ac:dyDescent="0.25">
      <c r="A464" s="42" t="s">
        <v>789</v>
      </c>
      <c r="B464" s="43"/>
      <c r="C464" s="66" t="s">
        <v>790</v>
      </c>
      <c r="D464" s="66"/>
      <c r="E464" s="43" t="s">
        <v>34</v>
      </c>
      <c r="F464" s="44"/>
      <c r="G464" s="43" t="s">
        <v>31</v>
      </c>
      <c r="H464" s="45">
        <v>1</v>
      </c>
      <c r="I464" s="46">
        <f>25</f>
        <v>25</v>
      </c>
      <c r="J464" s="23"/>
      <c r="K464" s="47"/>
      <c r="L464" s="48"/>
      <c r="M464" s="49"/>
      <c r="N464" s="49">
        <f t="shared" si="14"/>
        <v>0</v>
      </c>
      <c r="O464" s="49"/>
      <c r="P464" s="49"/>
      <c r="Q464" s="49"/>
      <c r="R464" s="23"/>
      <c r="XCY464"/>
      <c r="XCZ464"/>
      <c r="XDA464"/>
      <c r="XDB464"/>
      <c r="XDC464"/>
      <c r="XDD464"/>
      <c r="XDE464"/>
      <c r="XDF464"/>
      <c r="XDG464"/>
      <c r="XDH464"/>
      <c r="XDI464"/>
      <c r="XDJ464"/>
      <c r="XDK464"/>
      <c r="XDL464"/>
      <c r="XDM464"/>
      <c r="XDN464"/>
      <c r="XDO464"/>
      <c r="XDP464"/>
      <c r="XDQ464"/>
      <c r="XDR464"/>
      <c r="XDS464"/>
      <c r="XDT464"/>
      <c r="XDU464"/>
      <c r="XDV464"/>
      <c r="XDW464"/>
      <c r="XDX464"/>
      <c r="XDY464"/>
      <c r="XDZ464"/>
      <c r="XEA464"/>
      <c r="XEB464"/>
      <c r="XEC464"/>
      <c r="XED464"/>
      <c r="XEE464"/>
      <c r="XEF464"/>
      <c r="XEG464"/>
      <c r="XEH464"/>
      <c r="XEI464"/>
      <c r="XEJ464"/>
      <c r="XEK464"/>
      <c r="XEL464"/>
      <c r="XEM464"/>
      <c r="XEN464"/>
      <c r="XEO464"/>
      <c r="XEP464"/>
      <c r="XEQ464"/>
      <c r="XER464"/>
      <c r="XES464"/>
      <c r="XET464"/>
      <c r="XEU464"/>
      <c r="XEV464"/>
      <c r="XEW464"/>
      <c r="XEX464"/>
      <c r="XEY464"/>
      <c r="XEZ464"/>
      <c r="XFA464"/>
      <c r="XFB464"/>
      <c r="XFC464"/>
      <c r="XFD464"/>
    </row>
    <row r="465" spans="1:18 16327:16384" s="26" customFormat="1" ht="29.1" customHeight="1" outlineLevel="3" x14ac:dyDescent="0.25">
      <c r="A465" s="42" t="s">
        <v>791</v>
      </c>
      <c r="B465" s="43"/>
      <c r="C465" s="66" t="s">
        <v>792</v>
      </c>
      <c r="D465" s="66"/>
      <c r="E465" s="43" t="s">
        <v>34</v>
      </c>
      <c r="F465" s="44"/>
      <c r="G465" s="43" t="s">
        <v>31</v>
      </c>
      <c r="H465" s="45">
        <v>1</v>
      </c>
      <c r="I465" s="46">
        <f>25</f>
        <v>25</v>
      </c>
      <c r="J465" s="23"/>
      <c r="K465" s="47"/>
      <c r="L465" s="48"/>
      <c r="M465" s="49"/>
      <c r="N465" s="49">
        <f t="shared" si="14"/>
        <v>0</v>
      </c>
      <c r="O465" s="49"/>
      <c r="P465" s="49"/>
      <c r="Q465" s="49"/>
      <c r="R465" s="23"/>
      <c r="XCY465"/>
      <c r="XCZ465"/>
      <c r="XDA465"/>
      <c r="XDB465"/>
      <c r="XDC465"/>
      <c r="XDD465"/>
      <c r="XDE465"/>
      <c r="XDF465"/>
      <c r="XDG465"/>
      <c r="XDH465"/>
      <c r="XDI465"/>
      <c r="XDJ465"/>
      <c r="XDK465"/>
      <c r="XDL465"/>
      <c r="XDM465"/>
      <c r="XDN465"/>
      <c r="XDO465"/>
      <c r="XDP465"/>
      <c r="XDQ465"/>
      <c r="XDR465"/>
      <c r="XDS465"/>
      <c r="XDT465"/>
      <c r="XDU465"/>
      <c r="XDV465"/>
      <c r="XDW465"/>
      <c r="XDX465"/>
      <c r="XDY465"/>
      <c r="XDZ465"/>
      <c r="XEA465"/>
      <c r="XEB465"/>
      <c r="XEC465"/>
      <c r="XED465"/>
      <c r="XEE465"/>
      <c r="XEF465"/>
      <c r="XEG465"/>
      <c r="XEH465"/>
      <c r="XEI465"/>
      <c r="XEJ465"/>
      <c r="XEK465"/>
      <c r="XEL465"/>
      <c r="XEM465"/>
      <c r="XEN465"/>
      <c r="XEO465"/>
      <c r="XEP465"/>
      <c r="XEQ465"/>
      <c r="XER465"/>
      <c r="XES465"/>
      <c r="XET465"/>
      <c r="XEU465"/>
      <c r="XEV465"/>
      <c r="XEW465"/>
      <c r="XEX465"/>
      <c r="XEY465"/>
      <c r="XEZ465"/>
      <c r="XFA465"/>
      <c r="XFB465"/>
      <c r="XFC465"/>
      <c r="XFD465"/>
    </row>
    <row r="466" spans="1:18 16327:16384" s="26" customFormat="1" ht="29.1" customHeight="1" outlineLevel="3" x14ac:dyDescent="0.25">
      <c r="A466" s="42" t="s">
        <v>793</v>
      </c>
      <c r="B466" s="43"/>
      <c r="C466" s="66" t="s">
        <v>794</v>
      </c>
      <c r="D466" s="66"/>
      <c r="E466" s="43" t="s">
        <v>34</v>
      </c>
      <c r="F466" s="44"/>
      <c r="G466" s="43" t="s">
        <v>31</v>
      </c>
      <c r="H466" s="45">
        <v>1</v>
      </c>
      <c r="I466" s="46">
        <f>25</f>
        <v>25</v>
      </c>
      <c r="J466" s="23"/>
      <c r="K466" s="47"/>
      <c r="L466" s="48"/>
      <c r="M466" s="49"/>
      <c r="N466" s="49">
        <f t="shared" si="14"/>
        <v>0</v>
      </c>
      <c r="O466" s="49"/>
      <c r="P466" s="49"/>
      <c r="Q466" s="49"/>
      <c r="R466" s="23"/>
      <c r="XCY466"/>
      <c r="XCZ466"/>
      <c r="XDA466"/>
      <c r="XDB466"/>
      <c r="XDC466"/>
      <c r="XDD466"/>
      <c r="XDE466"/>
      <c r="XDF466"/>
      <c r="XDG466"/>
      <c r="XDH466"/>
      <c r="XDI466"/>
      <c r="XDJ466"/>
      <c r="XDK466"/>
      <c r="XDL466"/>
      <c r="XDM466"/>
      <c r="XDN466"/>
      <c r="XDO466"/>
      <c r="XDP466"/>
      <c r="XDQ466"/>
      <c r="XDR466"/>
      <c r="XDS466"/>
      <c r="XDT466"/>
      <c r="XDU466"/>
      <c r="XDV466"/>
      <c r="XDW466"/>
      <c r="XDX466"/>
      <c r="XDY466"/>
      <c r="XDZ466"/>
      <c r="XEA466"/>
      <c r="XEB466"/>
      <c r="XEC466"/>
      <c r="XED466"/>
      <c r="XEE466"/>
      <c r="XEF466"/>
      <c r="XEG466"/>
      <c r="XEH466"/>
      <c r="XEI466"/>
      <c r="XEJ466"/>
      <c r="XEK466"/>
      <c r="XEL466"/>
      <c r="XEM466"/>
      <c r="XEN466"/>
      <c r="XEO466"/>
      <c r="XEP466"/>
      <c r="XEQ466"/>
      <c r="XER466"/>
      <c r="XES466"/>
      <c r="XET466"/>
      <c r="XEU466"/>
      <c r="XEV466"/>
      <c r="XEW466"/>
      <c r="XEX466"/>
      <c r="XEY466"/>
      <c r="XEZ466"/>
      <c r="XFA466"/>
      <c r="XFB466"/>
      <c r="XFC466"/>
      <c r="XFD466"/>
    </row>
    <row r="467" spans="1:18 16327:16384" s="26" customFormat="1" ht="29.1" customHeight="1" outlineLevel="3" x14ac:dyDescent="0.25">
      <c r="A467" s="42" t="s">
        <v>795</v>
      </c>
      <c r="B467" s="43"/>
      <c r="C467" s="66" t="s">
        <v>796</v>
      </c>
      <c r="D467" s="66"/>
      <c r="E467" s="43" t="s">
        <v>34</v>
      </c>
      <c r="F467" s="44"/>
      <c r="G467" s="43" t="s">
        <v>31</v>
      </c>
      <c r="H467" s="45">
        <v>1</v>
      </c>
      <c r="I467" s="46">
        <f>25</f>
        <v>25</v>
      </c>
      <c r="J467" s="23"/>
      <c r="K467" s="47"/>
      <c r="L467" s="48"/>
      <c r="M467" s="49"/>
      <c r="N467" s="49">
        <f t="shared" ref="N467:N498" si="15">ROUND((I467*K467),2)</f>
        <v>0</v>
      </c>
      <c r="O467" s="49"/>
      <c r="P467" s="49"/>
      <c r="Q467" s="49"/>
      <c r="R467" s="23"/>
      <c r="XCY467"/>
      <c r="XCZ467"/>
      <c r="XDA467"/>
      <c r="XDB467"/>
      <c r="XDC467"/>
      <c r="XDD467"/>
      <c r="XDE467"/>
      <c r="XDF467"/>
      <c r="XDG467"/>
      <c r="XDH467"/>
      <c r="XDI467"/>
      <c r="XDJ467"/>
      <c r="XDK467"/>
      <c r="XDL467"/>
      <c r="XDM467"/>
      <c r="XDN467"/>
      <c r="XDO467"/>
      <c r="XDP467"/>
      <c r="XDQ467"/>
      <c r="XDR467"/>
      <c r="XDS467"/>
      <c r="XDT467"/>
      <c r="XDU467"/>
      <c r="XDV467"/>
      <c r="XDW467"/>
      <c r="XDX467"/>
      <c r="XDY467"/>
      <c r="XDZ467"/>
      <c r="XEA467"/>
      <c r="XEB467"/>
      <c r="XEC467"/>
      <c r="XED467"/>
      <c r="XEE467"/>
      <c r="XEF467"/>
      <c r="XEG467"/>
      <c r="XEH467"/>
      <c r="XEI467"/>
      <c r="XEJ467"/>
      <c r="XEK467"/>
      <c r="XEL467"/>
      <c r="XEM467"/>
      <c r="XEN467"/>
      <c r="XEO467"/>
      <c r="XEP467"/>
      <c r="XEQ467"/>
      <c r="XER467"/>
      <c r="XES467"/>
      <c r="XET467"/>
      <c r="XEU467"/>
      <c r="XEV467"/>
      <c r="XEW467"/>
      <c r="XEX467"/>
      <c r="XEY467"/>
      <c r="XEZ467"/>
      <c r="XFA467"/>
      <c r="XFB467"/>
      <c r="XFC467"/>
      <c r="XFD467"/>
    </row>
    <row r="468" spans="1:18 16327:16384" s="26" customFormat="1" ht="29.1" customHeight="1" outlineLevel="3" x14ac:dyDescent="0.25">
      <c r="A468" s="42" t="s">
        <v>797</v>
      </c>
      <c r="B468" s="43"/>
      <c r="C468" s="66" t="s">
        <v>798</v>
      </c>
      <c r="D468" s="66"/>
      <c r="E468" s="43" t="s">
        <v>34</v>
      </c>
      <c r="F468" s="44"/>
      <c r="G468" s="43" t="s">
        <v>31</v>
      </c>
      <c r="H468" s="45">
        <v>1</v>
      </c>
      <c r="I468" s="46">
        <f>348</f>
        <v>348</v>
      </c>
      <c r="J468" s="23"/>
      <c r="K468" s="47"/>
      <c r="L468" s="48"/>
      <c r="M468" s="49"/>
      <c r="N468" s="49">
        <f t="shared" si="15"/>
        <v>0</v>
      </c>
      <c r="O468" s="49"/>
      <c r="P468" s="49"/>
      <c r="Q468" s="49"/>
      <c r="R468" s="23"/>
      <c r="XCY468"/>
      <c r="XCZ468"/>
      <c r="XDA468"/>
      <c r="XDB468"/>
      <c r="XDC468"/>
      <c r="XDD468"/>
      <c r="XDE468"/>
      <c r="XDF468"/>
      <c r="XDG468"/>
      <c r="XDH468"/>
      <c r="XDI468"/>
      <c r="XDJ468"/>
      <c r="XDK468"/>
      <c r="XDL468"/>
      <c r="XDM468"/>
      <c r="XDN468"/>
      <c r="XDO468"/>
      <c r="XDP468"/>
      <c r="XDQ468"/>
      <c r="XDR468"/>
      <c r="XDS468"/>
      <c r="XDT468"/>
      <c r="XDU468"/>
      <c r="XDV468"/>
      <c r="XDW468"/>
      <c r="XDX468"/>
      <c r="XDY468"/>
      <c r="XDZ468"/>
      <c r="XEA468"/>
      <c r="XEB468"/>
      <c r="XEC468"/>
      <c r="XED468"/>
      <c r="XEE468"/>
      <c r="XEF468"/>
      <c r="XEG468"/>
      <c r="XEH468"/>
      <c r="XEI468"/>
      <c r="XEJ468"/>
      <c r="XEK468"/>
      <c r="XEL468"/>
      <c r="XEM468"/>
      <c r="XEN468"/>
      <c r="XEO468"/>
      <c r="XEP468"/>
      <c r="XEQ468"/>
      <c r="XER468"/>
      <c r="XES468"/>
      <c r="XET468"/>
      <c r="XEU468"/>
      <c r="XEV468"/>
      <c r="XEW468"/>
      <c r="XEX468"/>
      <c r="XEY468"/>
      <c r="XEZ468"/>
      <c r="XFA468"/>
      <c r="XFB468"/>
      <c r="XFC468"/>
      <c r="XFD468"/>
    </row>
    <row r="469" spans="1:18 16327:16384" s="26" customFormat="1" ht="29.1" customHeight="1" outlineLevel="3" x14ac:dyDescent="0.25">
      <c r="A469" s="42" t="s">
        <v>799</v>
      </c>
      <c r="B469" s="43"/>
      <c r="C469" s="66" t="s">
        <v>800</v>
      </c>
      <c r="D469" s="66"/>
      <c r="E469" s="43" t="s">
        <v>34</v>
      </c>
      <c r="F469" s="44"/>
      <c r="G469" s="43" t="s">
        <v>31</v>
      </c>
      <c r="H469" s="45">
        <v>1</v>
      </c>
      <c r="I469" s="46">
        <f>15</f>
        <v>15</v>
      </c>
      <c r="J469" s="23"/>
      <c r="K469" s="47"/>
      <c r="L469" s="48"/>
      <c r="M469" s="49"/>
      <c r="N469" s="49">
        <f t="shared" si="15"/>
        <v>0</v>
      </c>
      <c r="O469" s="49"/>
      <c r="P469" s="49"/>
      <c r="Q469" s="49"/>
      <c r="R469" s="23"/>
      <c r="XCY469"/>
      <c r="XCZ469"/>
      <c r="XDA469"/>
      <c r="XDB469"/>
      <c r="XDC469"/>
      <c r="XDD469"/>
      <c r="XDE469"/>
      <c r="XDF469"/>
      <c r="XDG469"/>
      <c r="XDH469"/>
      <c r="XDI469"/>
      <c r="XDJ469"/>
      <c r="XDK469"/>
      <c r="XDL469"/>
      <c r="XDM469"/>
      <c r="XDN469"/>
      <c r="XDO469"/>
      <c r="XDP469"/>
      <c r="XDQ469"/>
      <c r="XDR469"/>
      <c r="XDS469"/>
      <c r="XDT469"/>
      <c r="XDU469"/>
      <c r="XDV469"/>
      <c r="XDW469"/>
      <c r="XDX469"/>
      <c r="XDY469"/>
      <c r="XDZ469"/>
      <c r="XEA469"/>
      <c r="XEB469"/>
      <c r="XEC469"/>
      <c r="XED469"/>
      <c r="XEE469"/>
      <c r="XEF469"/>
      <c r="XEG469"/>
      <c r="XEH469"/>
      <c r="XEI469"/>
      <c r="XEJ469"/>
      <c r="XEK469"/>
      <c r="XEL469"/>
      <c r="XEM469"/>
      <c r="XEN469"/>
      <c r="XEO469"/>
      <c r="XEP469"/>
      <c r="XEQ469"/>
      <c r="XER469"/>
      <c r="XES469"/>
      <c r="XET469"/>
      <c r="XEU469"/>
      <c r="XEV469"/>
      <c r="XEW469"/>
      <c r="XEX469"/>
      <c r="XEY469"/>
      <c r="XEZ469"/>
      <c r="XFA469"/>
      <c r="XFB469"/>
      <c r="XFC469"/>
      <c r="XFD469"/>
    </row>
    <row r="470" spans="1:18 16327:16384" s="26" customFormat="1" ht="29.1" customHeight="1" outlineLevel="3" x14ac:dyDescent="0.25">
      <c r="A470" s="42" t="s">
        <v>801</v>
      </c>
      <c r="B470" s="43"/>
      <c r="C470" s="66" t="s">
        <v>802</v>
      </c>
      <c r="D470" s="66"/>
      <c r="E470" s="43" t="s">
        <v>34</v>
      </c>
      <c r="F470" s="44"/>
      <c r="G470" s="43" t="s">
        <v>31</v>
      </c>
      <c r="H470" s="45">
        <v>1</v>
      </c>
      <c r="I470" s="46">
        <f>43</f>
        <v>43</v>
      </c>
      <c r="J470" s="23"/>
      <c r="K470" s="47"/>
      <c r="L470" s="48"/>
      <c r="M470" s="49"/>
      <c r="N470" s="49">
        <f t="shared" si="15"/>
        <v>0</v>
      </c>
      <c r="O470" s="49"/>
      <c r="P470" s="49"/>
      <c r="Q470" s="49"/>
      <c r="R470" s="23"/>
      <c r="XCY470"/>
      <c r="XCZ470"/>
      <c r="XDA470"/>
      <c r="XDB470"/>
      <c r="XDC470"/>
      <c r="XDD470"/>
      <c r="XDE470"/>
      <c r="XDF470"/>
      <c r="XDG470"/>
      <c r="XDH470"/>
      <c r="XDI470"/>
      <c r="XDJ470"/>
      <c r="XDK470"/>
      <c r="XDL470"/>
      <c r="XDM470"/>
      <c r="XDN470"/>
      <c r="XDO470"/>
      <c r="XDP470"/>
      <c r="XDQ470"/>
      <c r="XDR470"/>
      <c r="XDS470"/>
      <c r="XDT470"/>
      <c r="XDU470"/>
      <c r="XDV470"/>
      <c r="XDW470"/>
      <c r="XDX470"/>
      <c r="XDY470"/>
      <c r="XDZ470"/>
      <c r="XEA470"/>
      <c r="XEB470"/>
      <c r="XEC470"/>
      <c r="XED470"/>
      <c r="XEE470"/>
      <c r="XEF470"/>
      <c r="XEG470"/>
      <c r="XEH470"/>
      <c r="XEI470"/>
      <c r="XEJ470"/>
      <c r="XEK470"/>
      <c r="XEL470"/>
      <c r="XEM470"/>
      <c r="XEN470"/>
      <c r="XEO470"/>
      <c r="XEP470"/>
      <c r="XEQ470"/>
      <c r="XER470"/>
      <c r="XES470"/>
      <c r="XET470"/>
      <c r="XEU470"/>
      <c r="XEV470"/>
      <c r="XEW470"/>
      <c r="XEX470"/>
      <c r="XEY470"/>
      <c r="XEZ470"/>
      <c r="XFA470"/>
      <c r="XFB470"/>
      <c r="XFC470"/>
      <c r="XFD470"/>
    </row>
    <row r="471" spans="1:18 16327:16384" s="26" customFormat="1" ht="29.1" customHeight="1" outlineLevel="3" x14ac:dyDescent="0.25">
      <c r="A471" s="42" t="s">
        <v>803</v>
      </c>
      <c r="B471" s="43"/>
      <c r="C471" s="66" t="s">
        <v>804</v>
      </c>
      <c r="D471" s="66"/>
      <c r="E471" s="43" t="s">
        <v>34</v>
      </c>
      <c r="F471" s="44"/>
      <c r="G471" s="43" t="s">
        <v>31</v>
      </c>
      <c r="H471" s="45">
        <v>1</v>
      </c>
      <c r="I471" s="46">
        <f>3545</f>
        <v>3545</v>
      </c>
      <c r="J471" s="23"/>
      <c r="K471" s="47"/>
      <c r="L471" s="48"/>
      <c r="M471" s="49"/>
      <c r="N471" s="49">
        <f t="shared" si="15"/>
        <v>0</v>
      </c>
      <c r="O471" s="49"/>
      <c r="P471" s="49"/>
      <c r="Q471" s="49"/>
      <c r="R471" s="23"/>
      <c r="XCY471"/>
      <c r="XCZ471"/>
      <c r="XDA471"/>
      <c r="XDB471"/>
      <c r="XDC471"/>
      <c r="XDD471"/>
      <c r="XDE471"/>
      <c r="XDF471"/>
      <c r="XDG471"/>
      <c r="XDH471"/>
      <c r="XDI471"/>
      <c r="XDJ471"/>
      <c r="XDK471"/>
      <c r="XDL471"/>
      <c r="XDM471"/>
      <c r="XDN471"/>
      <c r="XDO471"/>
      <c r="XDP471"/>
      <c r="XDQ471"/>
      <c r="XDR471"/>
      <c r="XDS471"/>
      <c r="XDT471"/>
      <c r="XDU471"/>
      <c r="XDV471"/>
      <c r="XDW471"/>
      <c r="XDX471"/>
      <c r="XDY471"/>
      <c r="XDZ471"/>
      <c r="XEA471"/>
      <c r="XEB471"/>
      <c r="XEC471"/>
      <c r="XED471"/>
      <c r="XEE471"/>
      <c r="XEF471"/>
      <c r="XEG471"/>
      <c r="XEH471"/>
      <c r="XEI471"/>
      <c r="XEJ471"/>
      <c r="XEK471"/>
      <c r="XEL471"/>
      <c r="XEM471"/>
      <c r="XEN471"/>
      <c r="XEO471"/>
      <c r="XEP471"/>
      <c r="XEQ471"/>
      <c r="XER471"/>
      <c r="XES471"/>
      <c r="XET471"/>
      <c r="XEU471"/>
      <c r="XEV471"/>
      <c r="XEW471"/>
      <c r="XEX471"/>
      <c r="XEY471"/>
      <c r="XEZ471"/>
      <c r="XFA471"/>
      <c r="XFB471"/>
      <c r="XFC471"/>
      <c r="XFD471"/>
    </row>
    <row r="472" spans="1:18 16327:16384" s="26" customFormat="1" ht="29.1" customHeight="1" outlineLevel="3" x14ac:dyDescent="0.25">
      <c r="A472" s="42" t="s">
        <v>805</v>
      </c>
      <c r="B472" s="43"/>
      <c r="C472" s="66" t="s">
        <v>735</v>
      </c>
      <c r="D472" s="66"/>
      <c r="E472" s="43" t="s">
        <v>34</v>
      </c>
      <c r="F472" s="44"/>
      <c r="G472" s="43" t="s">
        <v>31</v>
      </c>
      <c r="H472" s="45">
        <v>1</v>
      </c>
      <c r="I472" s="46">
        <f>50</f>
        <v>50</v>
      </c>
      <c r="J472" s="23"/>
      <c r="K472" s="47"/>
      <c r="L472" s="48"/>
      <c r="M472" s="49"/>
      <c r="N472" s="49">
        <f t="shared" si="15"/>
        <v>0</v>
      </c>
      <c r="O472" s="49"/>
      <c r="P472" s="49"/>
      <c r="Q472" s="49"/>
      <c r="R472" s="23"/>
      <c r="XCY472"/>
      <c r="XCZ472"/>
      <c r="XDA472"/>
      <c r="XDB472"/>
      <c r="XDC472"/>
      <c r="XDD472"/>
      <c r="XDE472"/>
      <c r="XDF472"/>
      <c r="XDG472"/>
      <c r="XDH472"/>
      <c r="XDI472"/>
      <c r="XDJ472"/>
      <c r="XDK472"/>
      <c r="XDL472"/>
      <c r="XDM472"/>
      <c r="XDN472"/>
      <c r="XDO472"/>
      <c r="XDP472"/>
      <c r="XDQ472"/>
      <c r="XDR472"/>
      <c r="XDS472"/>
      <c r="XDT472"/>
      <c r="XDU472"/>
      <c r="XDV472"/>
      <c r="XDW472"/>
      <c r="XDX472"/>
      <c r="XDY472"/>
      <c r="XDZ472"/>
      <c r="XEA472"/>
      <c r="XEB472"/>
      <c r="XEC472"/>
      <c r="XED472"/>
      <c r="XEE472"/>
      <c r="XEF472"/>
      <c r="XEG472"/>
      <c r="XEH472"/>
      <c r="XEI472"/>
      <c r="XEJ472"/>
      <c r="XEK472"/>
      <c r="XEL472"/>
      <c r="XEM472"/>
      <c r="XEN472"/>
      <c r="XEO472"/>
      <c r="XEP472"/>
      <c r="XEQ472"/>
      <c r="XER472"/>
      <c r="XES472"/>
      <c r="XET472"/>
      <c r="XEU472"/>
      <c r="XEV472"/>
      <c r="XEW472"/>
      <c r="XEX472"/>
      <c r="XEY472"/>
      <c r="XEZ472"/>
      <c r="XFA472"/>
      <c r="XFB472"/>
      <c r="XFC472"/>
      <c r="XFD472"/>
    </row>
    <row r="473" spans="1:18 16327:16384" s="26" customFormat="1" ht="29.1" customHeight="1" outlineLevel="2" x14ac:dyDescent="0.25">
      <c r="A473" s="34" t="s">
        <v>806</v>
      </c>
      <c r="B473" s="35"/>
      <c r="C473" s="65" t="s">
        <v>807</v>
      </c>
      <c r="D473" s="65"/>
      <c r="E473" s="35"/>
      <c r="F473" s="36" t="s">
        <v>756</v>
      </c>
      <c r="G473" s="35" t="s">
        <v>65</v>
      </c>
      <c r="H473" s="37"/>
      <c r="I473" s="38">
        <f>33</f>
        <v>33</v>
      </c>
      <c r="J473" s="23"/>
      <c r="K473" s="39"/>
      <c r="L473" s="40"/>
      <c r="M473" s="41">
        <f>K473+L473</f>
        <v>0</v>
      </c>
      <c r="N473" s="41">
        <f t="shared" si="15"/>
        <v>0</v>
      </c>
      <c r="O473" s="41">
        <f>ROUND((I473*L473),2)</f>
        <v>0</v>
      </c>
      <c r="P473" s="41">
        <f>ROUND((I473*M473),2)</f>
        <v>0</v>
      </c>
      <c r="Q473" s="41"/>
      <c r="R473" s="23"/>
      <c r="XCY473"/>
      <c r="XCZ473"/>
      <c r="XDA473"/>
      <c r="XDB473"/>
      <c r="XDC473"/>
      <c r="XDD473"/>
      <c r="XDE473"/>
      <c r="XDF473"/>
      <c r="XDG473"/>
      <c r="XDH473"/>
      <c r="XDI473"/>
      <c r="XDJ473"/>
      <c r="XDK473"/>
      <c r="XDL473"/>
      <c r="XDM473"/>
      <c r="XDN473"/>
      <c r="XDO473"/>
      <c r="XDP473"/>
      <c r="XDQ473"/>
      <c r="XDR473"/>
      <c r="XDS473"/>
      <c r="XDT473"/>
      <c r="XDU473"/>
      <c r="XDV473"/>
      <c r="XDW473"/>
      <c r="XDX473"/>
      <c r="XDY473"/>
      <c r="XDZ473"/>
      <c r="XEA473"/>
      <c r="XEB473"/>
      <c r="XEC473"/>
      <c r="XED473"/>
      <c r="XEE473"/>
      <c r="XEF473"/>
      <c r="XEG473"/>
      <c r="XEH473"/>
      <c r="XEI473"/>
      <c r="XEJ473"/>
      <c r="XEK473"/>
      <c r="XEL473"/>
      <c r="XEM473"/>
      <c r="XEN473"/>
      <c r="XEO473"/>
      <c r="XEP473"/>
      <c r="XEQ473"/>
      <c r="XER473"/>
      <c r="XES473"/>
      <c r="XET473"/>
      <c r="XEU473"/>
      <c r="XEV473"/>
      <c r="XEW473"/>
      <c r="XEX473"/>
      <c r="XEY473"/>
      <c r="XEZ473"/>
      <c r="XFA473"/>
      <c r="XFB473"/>
      <c r="XFC473"/>
      <c r="XFD473"/>
    </row>
    <row r="474" spans="1:18 16327:16384" s="26" customFormat="1" ht="29.1" customHeight="1" outlineLevel="3" x14ac:dyDescent="0.25">
      <c r="A474" s="42" t="s">
        <v>808</v>
      </c>
      <c r="B474" s="43"/>
      <c r="C474" s="66" t="s">
        <v>809</v>
      </c>
      <c r="D474" s="66"/>
      <c r="E474" s="43" t="s">
        <v>34</v>
      </c>
      <c r="F474" s="44"/>
      <c r="G474" s="43" t="s">
        <v>65</v>
      </c>
      <c r="H474" s="45">
        <v>1.03</v>
      </c>
      <c r="I474" s="46">
        <f>33.99</f>
        <v>33.99</v>
      </c>
      <c r="J474" s="23"/>
      <c r="K474" s="47"/>
      <c r="L474" s="48"/>
      <c r="M474" s="49"/>
      <c r="N474" s="49">
        <f t="shared" si="15"/>
        <v>0</v>
      </c>
      <c r="O474" s="49"/>
      <c r="P474" s="49"/>
      <c r="Q474" s="49"/>
      <c r="R474" s="23"/>
      <c r="XCY474"/>
      <c r="XCZ474"/>
      <c r="XDA474"/>
      <c r="XDB474"/>
      <c r="XDC474"/>
      <c r="XDD474"/>
      <c r="XDE474"/>
      <c r="XDF474"/>
      <c r="XDG474"/>
      <c r="XDH474"/>
      <c r="XDI474"/>
      <c r="XDJ474"/>
      <c r="XDK474"/>
      <c r="XDL474"/>
      <c r="XDM474"/>
      <c r="XDN474"/>
      <c r="XDO474"/>
      <c r="XDP474"/>
      <c r="XDQ474"/>
      <c r="XDR474"/>
      <c r="XDS474"/>
      <c r="XDT474"/>
      <c r="XDU474"/>
      <c r="XDV474"/>
      <c r="XDW474"/>
      <c r="XDX474"/>
      <c r="XDY474"/>
      <c r="XDZ474"/>
      <c r="XEA474"/>
      <c r="XEB474"/>
      <c r="XEC474"/>
      <c r="XED474"/>
      <c r="XEE474"/>
      <c r="XEF474"/>
      <c r="XEG474"/>
      <c r="XEH474"/>
      <c r="XEI474"/>
      <c r="XEJ474"/>
      <c r="XEK474"/>
      <c r="XEL474"/>
      <c r="XEM474"/>
      <c r="XEN474"/>
      <c r="XEO474"/>
      <c r="XEP474"/>
      <c r="XEQ474"/>
      <c r="XER474"/>
      <c r="XES474"/>
      <c r="XET474"/>
      <c r="XEU474"/>
      <c r="XEV474"/>
      <c r="XEW474"/>
      <c r="XEX474"/>
      <c r="XEY474"/>
      <c r="XEZ474"/>
      <c r="XFA474"/>
      <c r="XFB474"/>
      <c r="XFC474"/>
      <c r="XFD474"/>
    </row>
    <row r="475" spans="1:18 16327:16384" s="26" customFormat="1" ht="29.1" customHeight="1" outlineLevel="3" x14ac:dyDescent="0.25">
      <c r="A475" s="42" t="s">
        <v>810</v>
      </c>
      <c r="B475" s="43"/>
      <c r="C475" s="66" t="s">
        <v>811</v>
      </c>
      <c r="D475" s="66"/>
      <c r="E475" s="43" t="s">
        <v>34</v>
      </c>
      <c r="F475" s="44"/>
      <c r="G475" s="43" t="s">
        <v>31</v>
      </c>
      <c r="H475" s="45">
        <v>1</v>
      </c>
      <c r="I475" s="46">
        <f>11</f>
        <v>11</v>
      </c>
      <c r="J475" s="23"/>
      <c r="K475" s="47"/>
      <c r="L475" s="48"/>
      <c r="M475" s="49"/>
      <c r="N475" s="49">
        <f t="shared" si="15"/>
        <v>0</v>
      </c>
      <c r="O475" s="49"/>
      <c r="P475" s="49"/>
      <c r="Q475" s="49"/>
      <c r="R475" s="23"/>
      <c r="XCY475"/>
      <c r="XCZ475"/>
      <c r="XDA475"/>
      <c r="XDB475"/>
      <c r="XDC475"/>
      <c r="XDD475"/>
      <c r="XDE475"/>
      <c r="XDF475"/>
      <c r="XDG475"/>
      <c r="XDH475"/>
      <c r="XDI475"/>
      <c r="XDJ475"/>
      <c r="XDK475"/>
      <c r="XDL475"/>
      <c r="XDM475"/>
      <c r="XDN475"/>
      <c r="XDO475"/>
      <c r="XDP475"/>
      <c r="XDQ475"/>
      <c r="XDR475"/>
      <c r="XDS475"/>
      <c r="XDT475"/>
      <c r="XDU475"/>
      <c r="XDV475"/>
      <c r="XDW475"/>
      <c r="XDX475"/>
      <c r="XDY475"/>
      <c r="XDZ475"/>
      <c r="XEA475"/>
      <c r="XEB475"/>
      <c r="XEC475"/>
      <c r="XED475"/>
      <c r="XEE475"/>
      <c r="XEF475"/>
      <c r="XEG475"/>
      <c r="XEH475"/>
      <c r="XEI475"/>
      <c r="XEJ475"/>
      <c r="XEK475"/>
      <c r="XEL475"/>
      <c r="XEM475"/>
      <c r="XEN475"/>
      <c r="XEO475"/>
      <c r="XEP475"/>
      <c r="XEQ475"/>
      <c r="XER475"/>
      <c r="XES475"/>
      <c r="XET475"/>
      <c r="XEU475"/>
      <c r="XEV475"/>
      <c r="XEW475"/>
      <c r="XEX475"/>
      <c r="XEY475"/>
      <c r="XEZ475"/>
      <c r="XFA475"/>
      <c r="XFB475"/>
      <c r="XFC475"/>
      <c r="XFD475"/>
    </row>
    <row r="476" spans="1:18 16327:16384" s="26" customFormat="1" ht="29.1" customHeight="1" outlineLevel="3" x14ac:dyDescent="0.25">
      <c r="A476" s="42" t="s">
        <v>812</v>
      </c>
      <c r="B476" s="43"/>
      <c r="C476" s="66" t="s">
        <v>813</v>
      </c>
      <c r="D476" s="66"/>
      <c r="E476" s="43" t="s">
        <v>34</v>
      </c>
      <c r="F476" s="44"/>
      <c r="G476" s="43" t="s">
        <v>31</v>
      </c>
      <c r="H476" s="45">
        <v>1</v>
      </c>
      <c r="I476" s="46">
        <f>27</f>
        <v>27</v>
      </c>
      <c r="J476" s="23"/>
      <c r="K476" s="47"/>
      <c r="L476" s="48"/>
      <c r="M476" s="49"/>
      <c r="N476" s="49">
        <f t="shared" si="15"/>
        <v>0</v>
      </c>
      <c r="O476" s="49"/>
      <c r="P476" s="49"/>
      <c r="Q476" s="49"/>
      <c r="R476" s="23"/>
      <c r="XCY476"/>
      <c r="XCZ476"/>
      <c r="XDA476"/>
      <c r="XDB476"/>
      <c r="XDC476"/>
      <c r="XDD476"/>
      <c r="XDE476"/>
      <c r="XDF476"/>
      <c r="XDG476"/>
      <c r="XDH476"/>
      <c r="XDI476"/>
      <c r="XDJ476"/>
      <c r="XDK476"/>
      <c r="XDL476"/>
      <c r="XDM476"/>
      <c r="XDN476"/>
      <c r="XDO476"/>
      <c r="XDP476"/>
      <c r="XDQ476"/>
      <c r="XDR476"/>
      <c r="XDS476"/>
      <c r="XDT476"/>
      <c r="XDU476"/>
      <c r="XDV476"/>
      <c r="XDW476"/>
      <c r="XDX476"/>
      <c r="XDY476"/>
      <c r="XDZ476"/>
      <c r="XEA476"/>
      <c r="XEB476"/>
      <c r="XEC476"/>
      <c r="XED476"/>
      <c r="XEE476"/>
      <c r="XEF476"/>
      <c r="XEG476"/>
      <c r="XEH476"/>
      <c r="XEI476"/>
      <c r="XEJ476"/>
      <c r="XEK476"/>
      <c r="XEL476"/>
      <c r="XEM476"/>
      <c r="XEN476"/>
      <c r="XEO476"/>
      <c r="XEP476"/>
      <c r="XEQ476"/>
      <c r="XER476"/>
      <c r="XES476"/>
      <c r="XET476"/>
      <c r="XEU476"/>
      <c r="XEV476"/>
      <c r="XEW476"/>
      <c r="XEX476"/>
      <c r="XEY476"/>
      <c r="XEZ476"/>
      <c r="XFA476"/>
      <c r="XFB476"/>
      <c r="XFC476"/>
      <c r="XFD476"/>
    </row>
    <row r="477" spans="1:18 16327:16384" s="26" customFormat="1" ht="29.1" customHeight="1" outlineLevel="3" x14ac:dyDescent="0.25">
      <c r="A477" s="42" t="s">
        <v>814</v>
      </c>
      <c r="B477" s="43"/>
      <c r="C477" s="66" t="s">
        <v>786</v>
      </c>
      <c r="D477" s="66"/>
      <c r="E477" s="43" t="s">
        <v>34</v>
      </c>
      <c r="F477" s="44"/>
      <c r="G477" s="43" t="s">
        <v>31</v>
      </c>
      <c r="H477" s="45">
        <v>1</v>
      </c>
      <c r="I477" s="46">
        <f>31</f>
        <v>31</v>
      </c>
      <c r="J477" s="23"/>
      <c r="K477" s="47"/>
      <c r="L477" s="48"/>
      <c r="M477" s="49"/>
      <c r="N477" s="49">
        <f t="shared" si="15"/>
        <v>0</v>
      </c>
      <c r="O477" s="49"/>
      <c r="P477" s="49"/>
      <c r="Q477" s="49"/>
      <c r="R477" s="23"/>
      <c r="XCY477"/>
      <c r="XCZ477"/>
      <c r="XDA477"/>
      <c r="XDB477"/>
      <c r="XDC477"/>
      <c r="XDD477"/>
      <c r="XDE477"/>
      <c r="XDF477"/>
      <c r="XDG477"/>
      <c r="XDH477"/>
      <c r="XDI477"/>
      <c r="XDJ477"/>
      <c r="XDK477"/>
      <c r="XDL477"/>
      <c r="XDM477"/>
      <c r="XDN477"/>
      <c r="XDO477"/>
      <c r="XDP477"/>
      <c r="XDQ477"/>
      <c r="XDR477"/>
      <c r="XDS477"/>
      <c r="XDT477"/>
      <c r="XDU477"/>
      <c r="XDV477"/>
      <c r="XDW477"/>
      <c r="XDX477"/>
      <c r="XDY477"/>
      <c r="XDZ477"/>
      <c r="XEA477"/>
      <c r="XEB477"/>
      <c r="XEC477"/>
      <c r="XED477"/>
      <c r="XEE477"/>
      <c r="XEF477"/>
      <c r="XEG477"/>
      <c r="XEH477"/>
      <c r="XEI477"/>
      <c r="XEJ477"/>
      <c r="XEK477"/>
      <c r="XEL477"/>
      <c r="XEM477"/>
      <c r="XEN477"/>
      <c r="XEO477"/>
      <c r="XEP477"/>
      <c r="XEQ477"/>
      <c r="XER477"/>
      <c r="XES477"/>
      <c r="XET477"/>
      <c r="XEU477"/>
      <c r="XEV477"/>
      <c r="XEW477"/>
      <c r="XEX477"/>
      <c r="XEY477"/>
      <c r="XEZ477"/>
      <c r="XFA477"/>
      <c r="XFB477"/>
      <c r="XFC477"/>
      <c r="XFD477"/>
    </row>
    <row r="478" spans="1:18 16327:16384" s="26" customFormat="1" ht="29.1" customHeight="1" outlineLevel="3" x14ac:dyDescent="0.25">
      <c r="A478" s="42" t="s">
        <v>815</v>
      </c>
      <c r="B478" s="43"/>
      <c r="C478" s="66" t="s">
        <v>816</v>
      </c>
      <c r="D478" s="66"/>
      <c r="E478" s="43" t="s">
        <v>34</v>
      </c>
      <c r="F478" s="44"/>
      <c r="G478" s="43" t="s">
        <v>31</v>
      </c>
      <c r="H478" s="45">
        <v>1</v>
      </c>
      <c r="I478" s="46">
        <f>5</f>
        <v>5</v>
      </c>
      <c r="J478" s="23"/>
      <c r="K478" s="47"/>
      <c r="L478" s="48"/>
      <c r="M478" s="49"/>
      <c r="N478" s="49">
        <f t="shared" si="15"/>
        <v>0</v>
      </c>
      <c r="O478" s="49"/>
      <c r="P478" s="49"/>
      <c r="Q478" s="49"/>
      <c r="R478" s="23"/>
      <c r="XCY478"/>
      <c r="XCZ478"/>
      <c r="XDA478"/>
      <c r="XDB478"/>
      <c r="XDC478"/>
      <c r="XDD478"/>
      <c r="XDE478"/>
      <c r="XDF478"/>
      <c r="XDG478"/>
      <c r="XDH478"/>
      <c r="XDI478"/>
      <c r="XDJ478"/>
      <c r="XDK478"/>
      <c r="XDL478"/>
      <c r="XDM478"/>
      <c r="XDN478"/>
      <c r="XDO478"/>
      <c r="XDP478"/>
      <c r="XDQ478"/>
      <c r="XDR478"/>
      <c r="XDS478"/>
      <c r="XDT478"/>
      <c r="XDU478"/>
      <c r="XDV478"/>
      <c r="XDW478"/>
      <c r="XDX478"/>
      <c r="XDY478"/>
      <c r="XDZ478"/>
      <c r="XEA478"/>
      <c r="XEB478"/>
      <c r="XEC478"/>
      <c r="XED478"/>
      <c r="XEE478"/>
      <c r="XEF478"/>
      <c r="XEG478"/>
      <c r="XEH478"/>
      <c r="XEI478"/>
      <c r="XEJ478"/>
      <c r="XEK478"/>
      <c r="XEL478"/>
      <c r="XEM478"/>
      <c r="XEN478"/>
      <c r="XEO478"/>
      <c r="XEP478"/>
      <c r="XEQ478"/>
      <c r="XER478"/>
      <c r="XES478"/>
      <c r="XET478"/>
      <c r="XEU478"/>
      <c r="XEV478"/>
      <c r="XEW478"/>
      <c r="XEX478"/>
      <c r="XEY478"/>
      <c r="XEZ478"/>
      <c r="XFA478"/>
      <c r="XFB478"/>
      <c r="XFC478"/>
      <c r="XFD478"/>
    </row>
    <row r="479" spans="1:18 16327:16384" s="26" customFormat="1" ht="29.1" customHeight="1" outlineLevel="3" x14ac:dyDescent="0.25">
      <c r="A479" s="42" t="s">
        <v>817</v>
      </c>
      <c r="B479" s="43"/>
      <c r="C479" s="66" t="s">
        <v>818</v>
      </c>
      <c r="D479" s="66"/>
      <c r="E479" s="43" t="s">
        <v>34</v>
      </c>
      <c r="F479" s="44"/>
      <c r="G479" s="43" t="s">
        <v>31</v>
      </c>
      <c r="H479" s="45">
        <v>1</v>
      </c>
      <c r="I479" s="46">
        <f>5</f>
        <v>5</v>
      </c>
      <c r="J479" s="23"/>
      <c r="K479" s="47"/>
      <c r="L479" s="48"/>
      <c r="M479" s="49"/>
      <c r="N479" s="49">
        <f t="shared" si="15"/>
        <v>0</v>
      </c>
      <c r="O479" s="49"/>
      <c r="P479" s="49"/>
      <c r="Q479" s="49"/>
      <c r="R479" s="23"/>
      <c r="XCY479"/>
      <c r="XCZ479"/>
      <c r="XDA479"/>
      <c r="XDB479"/>
      <c r="XDC479"/>
      <c r="XDD479"/>
      <c r="XDE479"/>
      <c r="XDF479"/>
      <c r="XDG479"/>
      <c r="XDH479"/>
      <c r="XDI479"/>
      <c r="XDJ479"/>
      <c r="XDK479"/>
      <c r="XDL479"/>
      <c r="XDM479"/>
      <c r="XDN479"/>
      <c r="XDO479"/>
      <c r="XDP479"/>
      <c r="XDQ479"/>
      <c r="XDR479"/>
      <c r="XDS479"/>
      <c r="XDT479"/>
      <c r="XDU479"/>
      <c r="XDV479"/>
      <c r="XDW479"/>
      <c r="XDX479"/>
      <c r="XDY479"/>
      <c r="XDZ479"/>
      <c r="XEA479"/>
      <c r="XEB479"/>
      <c r="XEC479"/>
      <c r="XED479"/>
      <c r="XEE479"/>
      <c r="XEF479"/>
      <c r="XEG479"/>
      <c r="XEH479"/>
      <c r="XEI479"/>
      <c r="XEJ479"/>
      <c r="XEK479"/>
      <c r="XEL479"/>
      <c r="XEM479"/>
      <c r="XEN479"/>
      <c r="XEO479"/>
      <c r="XEP479"/>
      <c r="XEQ479"/>
      <c r="XER479"/>
      <c r="XES479"/>
      <c r="XET479"/>
      <c r="XEU479"/>
      <c r="XEV479"/>
      <c r="XEW479"/>
      <c r="XEX479"/>
      <c r="XEY479"/>
      <c r="XEZ479"/>
      <c r="XFA479"/>
      <c r="XFB479"/>
      <c r="XFC479"/>
      <c r="XFD479"/>
    </row>
    <row r="480" spans="1:18 16327:16384" s="26" customFormat="1" ht="29.1" customHeight="1" outlineLevel="3" x14ac:dyDescent="0.25">
      <c r="A480" s="42" t="s">
        <v>819</v>
      </c>
      <c r="B480" s="43"/>
      <c r="C480" s="66" t="s">
        <v>820</v>
      </c>
      <c r="D480" s="66"/>
      <c r="E480" s="43" t="s">
        <v>34</v>
      </c>
      <c r="F480" s="44"/>
      <c r="G480" s="43" t="s">
        <v>31</v>
      </c>
      <c r="H480" s="45">
        <v>1</v>
      </c>
      <c r="I480" s="46">
        <f>5</f>
        <v>5</v>
      </c>
      <c r="J480" s="23"/>
      <c r="K480" s="47"/>
      <c r="L480" s="48"/>
      <c r="M480" s="49"/>
      <c r="N480" s="49">
        <f t="shared" si="15"/>
        <v>0</v>
      </c>
      <c r="O480" s="49"/>
      <c r="P480" s="49"/>
      <c r="Q480" s="49"/>
      <c r="R480" s="23"/>
      <c r="XCY480"/>
      <c r="XCZ480"/>
      <c r="XDA480"/>
      <c r="XDB480"/>
      <c r="XDC480"/>
      <c r="XDD480"/>
      <c r="XDE480"/>
      <c r="XDF480"/>
      <c r="XDG480"/>
      <c r="XDH480"/>
      <c r="XDI480"/>
      <c r="XDJ480"/>
      <c r="XDK480"/>
      <c r="XDL480"/>
      <c r="XDM480"/>
      <c r="XDN480"/>
      <c r="XDO480"/>
      <c r="XDP480"/>
      <c r="XDQ480"/>
      <c r="XDR480"/>
      <c r="XDS480"/>
      <c r="XDT480"/>
      <c r="XDU480"/>
      <c r="XDV480"/>
      <c r="XDW480"/>
      <c r="XDX480"/>
      <c r="XDY480"/>
      <c r="XDZ480"/>
      <c r="XEA480"/>
      <c r="XEB480"/>
      <c r="XEC480"/>
      <c r="XED480"/>
      <c r="XEE480"/>
      <c r="XEF480"/>
      <c r="XEG480"/>
      <c r="XEH480"/>
      <c r="XEI480"/>
      <c r="XEJ480"/>
      <c r="XEK480"/>
      <c r="XEL480"/>
      <c r="XEM480"/>
      <c r="XEN480"/>
      <c r="XEO480"/>
      <c r="XEP480"/>
      <c r="XEQ480"/>
      <c r="XER480"/>
      <c r="XES480"/>
      <c r="XET480"/>
      <c r="XEU480"/>
      <c r="XEV480"/>
      <c r="XEW480"/>
      <c r="XEX480"/>
      <c r="XEY480"/>
      <c r="XEZ480"/>
      <c r="XFA480"/>
      <c r="XFB480"/>
      <c r="XFC480"/>
      <c r="XFD480"/>
    </row>
    <row r="481" spans="1:18 16327:16384" s="26" customFormat="1" ht="29.1" customHeight="1" outlineLevel="3" x14ac:dyDescent="0.25">
      <c r="A481" s="42" t="s">
        <v>821</v>
      </c>
      <c r="B481" s="43"/>
      <c r="C481" s="66" t="s">
        <v>794</v>
      </c>
      <c r="D481" s="66"/>
      <c r="E481" s="43" t="s">
        <v>34</v>
      </c>
      <c r="F481" s="44"/>
      <c r="G481" s="43" t="s">
        <v>31</v>
      </c>
      <c r="H481" s="45">
        <v>1</v>
      </c>
      <c r="I481" s="46">
        <f>5</f>
        <v>5</v>
      </c>
      <c r="J481" s="23"/>
      <c r="K481" s="47"/>
      <c r="L481" s="48"/>
      <c r="M481" s="49"/>
      <c r="N481" s="49">
        <f t="shared" si="15"/>
        <v>0</v>
      </c>
      <c r="O481" s="49"/>
      <c r="P481" s="49"/>
      <c r="Q481" s="49"/>
      <c r="R481" s="23"/>
      <c r="XCY481"/>
      <c r="XCZ481"/>
      <c r="XDA481"/>
      <c r="XDB481"/>
      <c r="XDC481"/>
      <c r="XDD481"/>
      <c r="XDE481"/>
      <c r="XDF481"/>
      <c r="XDG481"/>
      <c r="XDH481"/>
      <c r="XDI481"/>
      <c r="XDJ481"/>
      <c r="XDK481"/>
      <c r="XDL481"/>
      <c r="XDM481"/>
      <c r="XDN481"/>
      <c r="XDO481"/>
      <c r="XDP481"/>
      <c r="XDQ481"/>
      <c r="XDR481"/>
      <c r="XDS481"/>
      <c r="XDT481"/>
      <c r="XDU481"/>
      <c r="XDV481"/>
      <c r="XDW481"/>
      <c r="XDX481"/>
      <c r="XDY481"/>
      <c r="XDZ481"/>
      <c r="XEA481"/>
      <c r="XEB481"/>
      <c r="XEC481"/>
      <c r="XED481"/>
      <c r="XEE481"/>
      <c r="XEF481"/>
      <c r="XEG481"/>
      <c r="XEH481"/>
      <c r="XEI481"/>
      <c r="XEJ481"/>
      <c r="XEK481"/>
      <c r="XEL481"/>
      <c r="XEM481"/>
      <c r="XEN481"/>
      <c r="XEO481"/>
      <c r="XEP481"/>
      <c r="XEQ481"/>
      <c r="XER481"/>
      <c r="XES481"/>
      <c r="XET481"/>
      <c r="XEU481"/>
      <c r="XEV481"/>
      <c r="XEW481"/>
      <c r="XEX481"/>
      <c r="XEY481"/>
      <c r="XEZ481"/>
      <c r="XFA481"/>
      <c r="XFB481"/>
      <c r="XFC481"/>
      <c r="XFD481"/>
    </row>
    <row r="482" spans="1:18 16327:16384" s="26" customFormat="1" ht="29.1" customHeight="1" outlineLevel="3" x14ac:dyDescent="0.25">
      <c r="A482" s="42" t="s">
        <v>822</v>
      </c>
      <c r="B482" s="43"/>
      <c r="C482" s="66" t="s">
        <v>823</v>
      </c>
      <c r="D482" s="66"/>
      <c r="E482" s="43" t="s">
        <v>34</v>
      </c>
      <c r="F482" s="44"/>
      <c r="G482" s="43" t="s">
        <v>31</v>
      </c>
      <c r="H482" s="45">
        <v>1</v>
      </c>
      <c r="I482" s="46">
        <f>5</f>
        <v>5</v>
      </c>
      <c r="J482" s="23"/>
      <c r="K482" s="47"/>
      <c r="L482" s="48"/>
      <c r="M482" s="49"/>
      <c r="N482" s="49">
        <f t="shared" si="15"/>
        <v>0</v>
      </c>
      <c r="O482" s="49"/>
      <c r="P482" s="49"/>
      <c r="Q482" s="49"/>
      <c r="R482" s="23"/>
      <c r="XCY482"/>
      <c r="XCZ482"/>
      <c r="XDA482"/>
      <c r="XDB482"/>
      <c r="XDC482"/>
      <c r="XDD482"/>
      <c r="XDE482"/>
      <c r="XDF482"/>
      <c r="XDG482"/>
      <c r="XDH482"/>
      <c r="XDI482"/>
      <c r="XDJ482"/>
      <c r="XDK482"/>
      <c r="XDL482"/>
      <c r="XDM482"/>
      <c r="XDN482"/>
      <c r="XDO482"/>
      <c r="XDP482"/>
      <c r="XDQ482"/>
      <c r="XDR482"/>
      <c r="XDS482"/>
      <c r="XDT482"/>
      <c r="XDU482"/>
      <c r="XDV482"/>
      <c r="XDW482"/>
      <c r="XDX482"/>
      <c r="XDY482"/>
      <c r="XDZ482"/>
      <c r="XEA482"/>
      <c r="XEB482"/>
      <c r="XEC482"/>
      <c r="XED482"/>
      <c r="XEE482"/>
      <c r="XEF482"/>
      <c r="XEG482"/>
      <c r="XEH482"/>
      <c r="XEI482"/>
      <c r="XEJ482"/>
      <c r="XEK482"/>
      <c r="XEL482"/>
      <c r="XEM482"/>
      <c r="XEN482"/>
      <c r="XEO482"/>
      <c r="XEP482"/>
      <c r="XEQ482"/>
      <c r="XER482"/>
      <c r="XES482"/>
      <c r="XET482"/>
      <c r="XEU482"/>
      <c r="XEV482"/>
      <c r="XEW482"/>
      <c r="XEX482"/>
      <c r="XEY482"/>
      <c r="XEZ482"/>
      <c r="XFA482"/>
      <c r="XFB482"/>
      <c r="XFC482"/>
      <c r="XFD482"/>
    </row>
    <row r="483" spans="1:18 16327:16384" s="26" customFormat="1" ht="29.1" customHeight="1" outlineLevel="3" x14ac:dyDescent="0.25">
      <c r="A483" s="42" t="s">
        <v>824</v>
      </c>
      <c r="B483" s="43"/>
      <c r="C483" s="66" t="s">
        <v>825</v>
      </c>
      <c r="D483" s="66"/>
      <c r="E483" s="43" t="s">
        <v>34</v>
      </c>
      <c r="F483" s="44"/>
      <c r="G483" s="43" t="s">
        <v>31</v>
      </c>
      <c r="H483" s="45">
        <v>1</v>
      </c>
      <c r="I483" s="46">
        <f>66</f>
        <v>66</v>
      </c>
      <c r="J483" s="23"/>
      <c r="K483" s="47"/>
      <c r="L483" s="48"/>
      <c r="M483" s="49"/>
      <c r="N483" s="49">
        <f t="shared" si="15"/>
        <v>0</v>
      </c>
      <c r="O483" s="49"/>
      <c r="P483" s="49"/>
      <c r="Q483" s="49"/>
      <c r="R483" s="23"/>
      <c r="XCY483"/>
      <c r="XCZ483"/>
      <c r="XDA483"/>
      <c r="XDB483"/>
      <c r="XDC483"/>
      <c r="XDD483"/>
      <c r="XDE483"/>
      <c r="XDF483"/>
      <c r="XDG483"/>
      <c r="XDH483"/>
      <c r="XDI483"/>
      <c r="XDJ483"/>
      <c r="XDK483"/>
      <c r="XDL483"/>
      <c r="XDM483"/>
      <c r="XDN483"/>
      <c r="XDO483"/>
      <c r="XDP483"/>
      <c r="XDQ483"/>
      <c r="XDR483"/>
      <c r="XDS483"/>
      <c r="XDT483"/>
      <c r="XDU483"/>
      <c r="XDV483"/>
      <c r="XDW483"/>
      <c r="XDX483"/>
      <c r="XDY483"/>
      <c r="XDZ483"/>
      <c r="XEA483"/>
      <c r="XEB483"/>
      <c r="XEC483"/>
      <c r="XED483"/>
      <c r="XEE483"/>
      <c r="XEF483"/>
      <c r="XEG483"/>
      <c r="XEH483"/>
      <c r="XEI483"/>
      <c r="XEJ483"/>
      <c r="XEK483"/>
      <c r="XEL483"/>
      <c r="XEM483"/>
      <c r="XEN483"/>
      <c r="XEO483"/>
      <c r="XEP483"/>
      <c r="XEQ483"/>
      <c r="XER483"/>
      <c r="XES483"/>
      <c r="XET483"/>
      <c r="XEU483"/>
      <c r="XEV483"/>
      <c r="XEW483"/>
      <c r="XEX483"/>
      <c r="XEY483"/>
      <c r="XEZ483"/>
      <c r="XFA483"/>
      <c r="XFB483"/>
      <c r="XFC483"/>
      <c r="XFD483"/>
    </row>
    <row r="484" spans="1:18 16327:16384" s="26" customFormat="1" ht="29.1" customHeight="1" outlineLevel="3" x14ac:dyDescent="0.25">
      <c r="A484" s="42" t="s">
        <v>826</v>
      </c>
      <c r="B484" s="43"/>
      <c r="C484" s="66" t="s">
        <v>827</v>
      </c>
      <c r="D484" s="66"/>
      <c r="E484" s="43" t="s">
        <v>34</v>
      </c>
      <c r="F484" s="44"/>
      <c r="G484" s="43" t="s">
        <v>31</v>
      </c>
      <c r="H484" s="45">
        <v>1</v>
      </c>
      <c r="I484" s="46">
        <f>3</f>
        <v>3</v>
      </c>
      <c r="J484" s="23"/>
      <c r="K484" s="47"/>
      <c r="L484" s="48"/>
      <c r="M484" s="49"/>
      <c r="N484" s="49">
        <f t="shared" si="15"/>
        <v>0</v>
      </c>
      <c r="O484" s="49"/>
      <c r="P484" s="49"/>
      <c r="Q484" s="49"/>
      <c r="R484" s="23"/>
      <c r="XCY484"/>
      <c r="XCZ484"/>
      <c r="XDA484"/>
      <c r="XDB484"/>
      <c r="XDC484"/>
      <c r="XDD484"/>
      <c r="XDE484"/>
      <c r="XDF484"/>
      <c r="XDG484"/>
      <c r="XDH484"/>
      <c r="XDI484"/>
      <c r="XDJ484"/>
      <c r="XDK484"/>
      <c r="XDL484"/>
      <c r="XDM484"/>
      <c r="XDN484"/>
      <c r="XDO484"/>
      <c r="XDP484"/>
      <c r="XDQ484"/>
      <c r="XDR484"/>
      <c r="XDS484"/>
      <c r="XDT484"/>
      <c r="XDU484"/>
      <c r="XDV484"/>
      <c r="XDW484"/>
      <c r="XDX484"/>
      <c r="XDY484"/>
      <c r="XDZ484"/>
      <c r="XEA484"/>
      <c r="XEB484"/>
      <c r="XEC484"/>
      <c r="XED484"/>
      <c r="XEE484"/>
      <c r="XEF484"/>
      <c r="XEG484"/>
      <c r="XEH484"/>
      <c r="XEI484"/>
      <c r="XEJ484"/>
      <c r="XEK484"/>
      <c r="XEL484"/>
      <c r="XEM484"/>
      <c r="XEN484"/>
      <c r="XEO484"/>
      <c r="XEP484"/>
      <c r="XEQ484"/>
      <c r="XER484"/>
      <c r="XES484"/>
      <c r="XET484"/>
      <c r="XEU484"/>
      <c r="XEV484"/>
      <c r="XEW484"/>
      <c r="XEX484"/>
      <c r="XEY484"/>
      <c r="XEZ484"/>
      <c r="XFA484"/>
      <c r="XFB484"/>
      <c r="XFC484"/>
      <c r="XFD484"/>
    </row>
    <row r="485" spans="1:18 16327:16384" s="26" customFormat="1" ht="29.1" customHeight="1" outlineLevel="3" x14ac:dyDescent="0.25">
      <c r="A485" s="42" t="s">
        <v>828</v>
      </c>
      <c r="B485" s="43"/>
      <c r="C485" s="66" t="s">
        <v>829</v>
      </c>
      <c r="D485" s="66"/>
      <c r="E485" s="43" t="s">
        <v>34</v>
      </c>
      <c r="F485" s="44"/>
      <c r="G485" s="43" t="s">
        <v>31</v>
      </c>
      <c r="H485" s="45">
        <v>1</v>
      </c>
      <c r="I485" s="46">
        <f>7</f>
        <v>7</v>
      </c>
      <c r="J485" s="23"/>
      <c r="K485" s="47"/>
      <c r="L485" s="48"/>
      <c r="M485" s="49"/>
      <c r="N485" s="49">
        <f t="shared" si="15"/>
        <v>0</v>
      </c>
      <c r="O485" s="49"/>
      <c r="P485" s="49"/>
      <c r="Q485" s="49"/>
      <c r="R485" s="23"/>
      <c r="XCY485"/>
      <c r="XCZ485"/>
      <c r="XDA485"/>
      <c r="XDB485"/>
      <c r="XDC485"/>
      <c r="XDD485"/>
      <c r="XDE485"/>
      <c r="XDF485"/>
      <c r="XDG485"/>
      <c r="XDH485"/>
      <c r="XDI485"/>
      <c r="XDJ485"/>
      <c r="XDK485"/>
      <c r="XDL485"/>
      <c r="XDM485"/>
      <c r="XDN485"/>
      <c r="XDO485"/>
      <c r="XDP485"/>
      <c r="XDQ485"/>
      <c r="XDR485"/>
      <c r="XDS485"/>
      <c r="XDT485"/>
      <c r="XDU485"/>
      <c r="XDV485"/>
      <c r="XDW485"/>
      <c r="XDX485"/>
      <c r="XDY485"/>
      <c r="XDZ485"/>
      <c r="XEA485"/>
      <c r="XEB485"/>
      <c r="XEC485"/>
      <c r="XED485"/>
      <c r="XEE485"/>
      <c r="XEF485"/>
      <c r="XEG485"/>
      <c r="XEH485"/>
      <c r="XEI485"/>
      <c r="XEJ485"/>
      <c r="XEK485"/>
      <c r="XEL485"/>
      <c r="XEM485"/>
      <c r="XEN485"/>
      <c r="XEO485"/>
      <c r="XEP485"/>
      <c r="XEQ485"/>
      <c r="XER485"/>
      <c r="XES485"/>
      <c r="XET485"/>
      <c r="XEU485"/>
      <c r="XEV485"/>
      <c r="XEW485"/>
      <c r="XEX485"/>
      <c r="XEY485"/>
      <c r="XEZ485"/>
      <c r="XFA485"/>
      <c r="XFB485"/>
      <c r="XFC485"/>
      <c r="XFD485"/>
    </row>
    <row r="486" spans="1:18 16327:16384" s="26" customFormat="1" ht="29.1" customHeight="1" outlineLevel="3" x14ac:dyDescent="0.25">
      <c r="A486" s="42" t="s">
        <v>830</v>
      </c>
      <c r="B486" s="43"/>
      <c r="C486" s="66" t="s">
        <v>831</v>
      </c>
      <c r="D486" s="66"/>
      <c r="E486" s="43" t="s">
        <v>34</v>
      </c>
      <c r="F486" s="44"/>
      <c r="G486" s="43" t="s">
        <v>31</v>
      </c>
      <c r="H486" s="45">
        <v>1</v>
      </c>
      <c r="I486" s="46">
        <f>674</f>
        <v>674</v>
      </c>
      <c r="J486" s="23"/>
      <c r="K486" s="47"/>
      <c r="L486" s="48"/>
      <c r="M486" s="49"/>
      <c r="N486" s="49">
        <f t="shared" si="15"/>
        <v>0</v>
      </c>
      <c r="O486" s="49"/>
      <c r="P486" s="49"/>
      <c r="Q486" s="49"/>
      <c r="R486" s="23"/>
      <c r="XCY486"/>
      <c r="XCZ486"/>
      <c r="XDA486"/>
      <c r="XDB486"/>
      <c r="XDC486"/>
      <c r="XDD486"/>
      <c r="XDE486"/>
      <c r="XDF486"/>
      <c r="XDG486"/>
      <c r="XDH486"/>
      <c r="XDI486"/>
      <c r="XDJ486"/>
      <c r="XDK486"/>
      <c r="XDL486"/>
      <c r="XDM486"/>
      <c r="XDN486"/>
      <c r="XDO486"/>
      <c r="XDP486"/>
      <c r="XDQ486"/>
      <c r="XDR486"/>
      <c r="XDS486"/>
      <c r="XDT486"/>
      <c r="XDU486"/>
      <c r="XDV486"/>
      <c r="XDW486"/>
      <c r="XDX486"/>
      <c r="XDY486"/>
      <c r="XDZ486"/>
      <c r="XEA486"/>
      <c r="XEB486"/>
      <c r="XEC486"/>
      <c r="XED486"/>
      <c r="XEE486"/>
      <c r="XEF486"/>
      <c r="XEG486"/>
      <c r="XEH486"/>
      <c r="XEI486"/>
      <c r="XEJ486"/>
      <c r="XEK486"/>
      <c r="XEL486"/>
      <c r="XEM486"/>
      <c r="XEN486"/>
      <c r="XEO486"/>
      <c r="XEP486"/>
      <c r="XEQ486"/>
      <c r="XER486"/>
      <c r="XES486"/>
      <c r="XET486"/>
      <c r="XEU486"/>
      <c r="XEV486"/>
      <c r="XEW486"/>
      <c r="XEX486"/>
      <c r="XEY486"/>
      <c r="XEZ486"/>
      <c r="XFA486"/>
      <c r="XFB486"/>
      <c r="XFC486"/>
      <c r="XFD486"/>
    </row>
    <row r="487" spans="1:18 16327:16384" s="26" customFormat="1" ht="29.1" customHeight="1" outlineLevel="3" x14ac:dyDescent="0.25">
      <c r="A487" s="42" t="s">
        <v>832</v>
      </c>
      <c r="B487" s="43"/>
      <c r="C487" s="66" t="s">
        <v>735</v>
      </c>
      <c r="D487" s="66"/>
      <c r="E487" s="43" t="s">
        <v>34</v>
      </c>
      <c r="F487" s="44"/>
      <c r="G487" s="43" t="s">
        <v>31</v>
      </c>
      <c r="H487" s="45">
        <v>1</v>
      </c>
      <c r="I487" s="46">
        <f>10</f>
        <v>10</v>
      </c>
      <c r="J487" s="23"/>
      <c r="K487" s="47"/>
      <c r="L487" s="48"/>
      <c r="M487" s="49"/>
      <c r="N487" s="49">
        <f t="shared" si="15"/>
        <v>0</v>
      </c>
      <c r="O487" s="49"/>
      <c r="P487" s="49"/>
      <c r="Q487" s="49"/>
      <c r="R487" s="23"/>
      <c r="XCY487"/>
      <c r="XCZ487"/>
      <c r="XDA487"/>
      <c r="XDB487"/>
      <c r="XDC487"/>
      <c r="XDD487"/>
      <c r="XDE487"/>
      <c r="XDF487"/>
      <c r="XDG487"/>
      <c r="XDH487"/>
      <c r="XDI487"/>
      <c r="XDJ487"/>
      <c r="XDK487"/>
      <c r="XDL487"/>
      <c r="XDM487"/>
      <c r="XDN487"/>
      <c r="XDO487"/>
      <c r="XDP487"/>
      <c r="XDQ487"/>
      <c r="XDR487"/>
      <c r="XDS487"/>
      <c r="XDT487"/>
      <c r="XDU487"/>
      <c r="XDV487"/>
      <c r="XDW487"/>
      <c r="XDX487"/>
      <c r="XDY487"/>
      <c r="XDZ487"/>
      <c r="XEA487"/>
      <c r="XEB487"/>
      <c r="XEC487"/>
      <c r="XED487"/>
      <c r="XEE487"/>
      <c r="XEF487"/>
      <c r="XEG487"/>
      <c r="XEH487"/>
      <c r="XEI487"/>
      <c r="XEJ487"/>
      <c r="XEK487"/>
      <c r="XEL487"/>
      <c r="XEM487"/>
      <c r="XEN487"/>
      <c r="XEO487"/>
      <c r="XEP487"/>
      <c r="XEQ487"/>
      <c r="XER487"/>
      <c r="XES487"/>
      <c r="XET487"/>
      <c r="XEU487"/>
      <c r="XEV487"/>
      <c r="XEW487"/>
      <c r="XEX487"/>
      <c r="XEY487"/>
      <c r="XEZ487"/>
      <c r="XFA487"/>
      <c r="XFB487"/>
      <c r="XFC487"/>
      <c r="XFD487"/>
    </row>
    <row r="488" spans="1:18 16327:16384" s="26" customFormat="1" ht="27.75" customHeight="1" outlineLevel="2" x14ac:dyDescent="0.25">
      <c r="A488" s="34" t="s">
        <v>833</v>
      </c>
      <c r="B488" s="35"/>
      <c r="C488" s="65" t="s">
        <v>739</v>
      </c>
      <c r="D488" s="65"/>
      <c r="E488" s="35"/>
      <c r="F488" s="36" t="s">
        <v>756</v>
      </c>
      <c r="G488" s="35" t="s">
        <v>65</v>
      </c>
      <c r="H488" s="37"/>
      <c r="I488" s="38">
        <f>240</f>
        <v>240</v>
      </c>
      <c r="J488" s="23"/>
      <c r="K488" s="39"/>
      <c r="L488" s="40"/>
      <c r="M488" s="41"/>
      <c r="N488" s="41"/>
      <c r="O488" s="41"/>
      <c r="P488" s="41"/>
      <c r="Q488" s="41"/>
      <c r="R488" s="23"/>
      <c r="XCY488"/>
      <c r="XCZ488"/>
      <c r="XDA488"/>
      <c r="XDB488"/>
      <c r="XDC488"/>
      <c r="XDD488"/>
      <c r="XDE488"/>
      <c r="XDF488"/>
      <c r="XDG488"/>
      <c r="XDH488"/>
      <c r="XDI488"/>
      <c r="XDJ488"/>
      <c r="XDK488"/>
      <c r="XDL488"/>
      <c r="XDM488"/>
      <c r="XDN488"/>
      <c r="XDO488"/>
      <c r="XDP488"/>
      <c r="XDQ488"/>
      <c r="XDR488"/>
      <c r="XDS488"/>
      <c r="XDT488"/>
      <c r="XDU488"/>
      <c r="XDV488"/>
      <c r="XDW488"/>
      <c r="XDX488"/>
      <c r="XDY488"/>
      <c r="XDZ488"/>
      <c r="XEA488"/>
      <c r="XEB488"/>
      <c r="XEC488"/>
      <c r="XED488"/>
      <c r="XEE488"/>
      <c r="XEF488"/>
      <c r="XEG488"/>
      <c r="XEH488"/>
      <c r="XEI488"/>
      <c r="XEJ488"/>
      <c r="XEK488"/>
      <c r="XEL488"/>
      <c r="XEM488"/>
      <c r="XEN488"/>
      <c r="XEO488"/>
      <c r="XEP488"/>
      <c r="XEQ488"/>
      <c r="XER488"/>
      <c r="XES488"/>
      <c r="XET488"/>
      <c r="XEU488"/>
      <c r="XEV488"/>
      <c r="XEW488"/>
      <c r="XEX488"/>
      <c r="XEY488"/>
      <c r="XEZ488"/>
      <c r="XFA488"/>
      <c r="XFB488"/>
      <c r="XFC488"/>
      <c r="XFD488"/>
    </row>
    <row r="489" spans="1:18 16327:16384" s="26" customFormat="1" ht="29.1" customHeight="1" outlineLevel="3" x14ac:dyDescent="0.25">
      <c r="A489" s="42" t="s">
        <v>834</v>
      </c>
      <c r="B489" s="43"/>
      <c r="C489" s="66" t="s">
        <v>741</v>
      </c>
      <c r="D489" s="66"/>
      <c r="E489" s="43" t="s">
        <v>34</v>
      </c>
      <c r="F489" s="44"/>
      <c r="G489" s="43" t="s">
        <v>65</v>
      </c>
      <c r="H489" s="45">
        <v>1.02</v>
      </c>
      <c r="I489" s="46">
        <f>244.8</f>
        <v>244.8</v>
      </c>
      <c r="J489" s="23"/>
      <c r="K489" s="47"/>
      <c r="L489" s="48"/>
      <c r="M489" s="49"/>
      <c r="N489" s="49">
        <f t="shared" si="15"/>
        <v>0</v>
      </c>
      <c r="O489" s="49"/>
      <c r="P489" s="49"/>
      <c r="Q489" s="49"/>
      <c r="R489" s="23"/>
      <c r="XCY489"/>
      <c r="XCZ489"/>
      <c r="XDA489"/>
      <c r="XDB489"/>
      <c r="XDC489"/>
      <c r="XDD489"/>
      <c r="XDE489"/>
      <c r="XDF489"/>
      <c r="XDG489"/>
      <c r="XDH489"/>
      <c r="XDI489"/>
      <c r="XDJ489"/>
      <c r="XDK489"/>
      <c r="XDL489"/>
      <c r="XDM489"/>
      <c r="XDN489"/>
      <c r="XDO489"/>
      <c r="XDP489"/>
      <c r="XDQ489"/>
      <c r="XDR489"/>
      <c r="XDS489"/>
      <c r="XDT489"/>
      <c r="XDU489"/>
      <c r="XDV489"/>
      <c r="XDW489"/>
      <c r="XDX489"/>
      <c r="XDY489"/>
      <c r="XDZ489"/>
      <c r="XEA489"/>
      <c r="XEB489"/>
      <c r="XEC489"/>
      <c r="XED489"/>
      <c r="XEE489"/>
      <c r="XEF489"/>
      <c r="XEG489"/>
      <c r="XEH489"/>
      <c r="XEI489"/>
      <c r="XEJ489"/>
      <c r="XEK489"/>
      <c r="XEL489"/>
      <c r="XEM489"/>
      <c r="XEN489"/>
      <c r="XEO489"/>
      <c r="XEP489"/>
      <c r="XEQ489"/>
      <c r="XER489"/>
      <c r="XES489"/>
      <c r="XET489"/>
      <c r="XEU489"/>
      <c r="XEV489"/>
      <c r="XEW489"/>
      <c r="XEX489"/>
      <c r="XEY489"/>
      <c r="XEZ489"/>
      <c r="XFA489"/>
      <c r="XFB489"/>
      <c r="XFC489"/>
      <c r="XFD489"/>
    </row>
    <row r="490" spans="1:18 16327:16384" s="26" customFormat="1" ht="29.1" customHeight="1" outlineLevel="2" x14ac:dyDescent="0.25">
      <c r="A490" s="34" t="s">
        <v>835</v>
      </c>
      <c r="B490" s="35"/>
      <c r="C490" s="65" t="s">
        <v>600</v>
      </c>
      <c r="D490" s="65"/>
      <c r="E490" s="35"/>
      <c r="F490" s="36" t="s">
        <v>756</v>
      </c>
      <c r="G490" s="35" t="s">
        <v>31</v>
      </c>
      <c r="H490" s="37"/>
      <c r="I490" s="38">
        <f>156</f>
        <v>156</v>
      </c>
      <c r="J490" s="23"/>
      <c r="K490" s="39"/>
      <c r="L490" s="40"/>
      <c r="M490" s="41">
        <f>K490+L490</f>
        <v>0</v>
      </c>
      <c r="N490" s="41">
        <f t="shared" si="15"/>
        <v>0</v>
      </c>
      <c r="O490" s="41">
        <f>ROUND((I490*L490),2)</f>
        <v>0</v>
      </c>
      <c r="P490" s="41">
        <f>ROUND((I490*M490),2)</f>
        <v>0</v>
      </c>
      <c r="Q490" s="41"/>
      <c r="R490" s="23"/>
      <c r="XCY490"/>
      <c r="XCZ490"/>
      <c r="XDA490"/>
      <c r="XDB490"/>
      <c r="XDC490"/>
      <c r="XDD490"/>
      <c r="XDE490"/>
      <c r="XDF490"/>
      <c r="XDG490"/>
      <c r="XDH490"/>
      <c r="XDI490"/>
      <c r="XDJ490"/>
      <c r="XDK490"/>
      <c r="XDL490"/>
      <c r="XDM490"/>
      <c r="XDN490"/>
      <c r="XDO490"/>
      <c r="XDP490"/>
      <c r="XDQ490"/>
      <c r="XDR490"/>
      <c r="XDS490"/>
      <c r="XDT490"/>
      <c r="XDU490"/>
      <c r="XDV490"/>
      <c r="XDW490"/>
      <c r="XDX490"/>
      <c r="XDY490"/>
      <c r="XDZ490"/>
      <c r="XEA490"/>
      <c r="XEB490"/>
      <c r="XEC490"/>
      <c r="XED490"/>
      <c r="XEE490"/>
      <c r="XEF490"/>
      <c r="XEG490"/>
      <c r="XEH490"/>
      <c r="XEI490"/>
      <c r="XEJ490"/>
      <c r="XEK490"/>
      <c r="XEL490"/>
      <c r="XEM490"/>
      <c r="XEN490"/>
      <c r="XEO490"/>
      <c r="XEP490"/>
      <c r="XEQ490"/>
      <c r="XER490"/>
      <c r="XES490"/>
      <c r="XET490"/>
      <c r="XEU490"/>
      <c r="XEV490"/>
      <c r="XEW490"/>
      <c r="XEX490"/>
      <c r="XEY490"/>
      <c r="XEZ490"/>
      <c r="XFA490"/>
      <c r="XFB490"/>
      <c r="XFC490"/>
      <c r="XFD490"/>
    </row>
    <row r="491" spans="1:18 16327:16384" s="26" customFormat="1" ht="29.1" customHeight="1" outlineLevel="3" x14ac:dyDescent="0.25">
      <c r="A491" s="42" t="s">
        <v>836</v>
      </c>
      <c r="B491" s="43"/>
      <c r="C491" s="66" t="s">
        <v>744</v>
      </c>
      <c r="D491" s="66"/>
      <c r="E491" s="43" t="s">
        <v>34</v>
      </c>
      <c r="F491" s="44"/>
      <c r="G491" s="43" t="s">
        <v>65</v>
      </c>
      <c r="H491" s="45">
        <v>1</v>
      </c>
      <c r="I491" s="46">
        <f>39</f>
        <v>39</v>
      </c>
      <c r="J491" s="23"/>
      <c r="K491" s="47"/>
      <c r="L491" s="48"/>
      <c r="M491" s="49"/>
      <c r="N491" s="49">
        <f t="shared" si="15"/>
        <v>0</v>
      </c>
      <c r="O491" s="49"/>
      <c r="P491" s="49"/>
      <c r="Q491" s="49"/>
      <c r="R491" s="23"/>
      <c r="XCY491"/>
      <c r="XCZ491"/>
      <c r="XDA491"/>
      <c r="XDB491"/>
      <c r="XDC491"/>
      <c r="XDD491"/>
      <c r="XDE491"/>
      <c r="XDF491"/>
      <c r="XDG491"/>
      <c r="XDH491"/>
      <c r="XDI491"/>
      <c r="XDJ491"/>
      <c r="XDK491"/>
      <c r="XDL491"/>
      <c r="XDM491"/>
      <c r="XDN491"/>
      <c r="XDO491"/>
      <c r="XDP491"/>
      <c r="XDQ491"/>
      <c r="XDR491"/>
      <c r="XDS491"/>
      <c r="XDT491"/>
      <c r="XDU491"/>
      <c r="XDV491"/>
      <c r="XDW491"/>
      <c r="XDX491"/>
      <c r="XDY491"/>
      <c r="XDZ491"/>
      <c r="XEA491"/>
      <c r="XEB491"/>
      <c r="XEC491"/>
      <c r="XED491"/>
      <c r="XEE491"/>
      <c r="XEF491"/>
      <c r="XEG491"/>
      <c r="XEH491"/>
      <c r="XEI491"/>
      <c r="XEJ491"/>
      <c r="XEK491"/>
      <c r="XEL491"/>
      <c r="XEM491"/>
      <c r="XEN491"/>
      <c r="XEO491"/>
      <c r="XEP491"/>
      <c r="XEQ491"/>
      <c r="XER491"/>
      <c r="XES491"/>
      <c r="XET491"/>
      <c r="XEU491"/>
      <c r="XEV491"/>
      <c r="XEW491"/>
      <c r="XEX491"/>
      <c r="XEY491"/>
      <c r="XEZ491"/>
      <c r="XFA491"/>
      <c r="XFB491"/>
      <c r="XFC491"/>
      <c r="XFD491"/>
    </row>
    <row r="492" spans="1:18 16327:16384" s="26" customFormat="1" ht="29.1" customHeight="1" outlineLevel="3" x14ac:dyDescent="0.25">
      <c r="A492" s="42" t="s">
        <v>837</v>
      </c>
      <c r="B492" s="43"/>
      <c r="C492" s="66" t="s">
        <v>749</v>
      </c>
      <c r="D492" s="66"/>
      <c r="E492" s="43" t="s">
        <v>34</v>
      </c>
      <c r="F492" s="44"/>
      <c r="G492" s="43" t="s">
        <v>31</v>
      </c>
      <c r="H492" s="45">
        <v>1</v>
      </c>
      <c r="I492" s="46">
        <f>9</f>
        <v>9</v>
      </c>
      <c r="J492" s="23"/>
      <c r="K492" s="47"/>
      <c r="L492" s="48"/>
      <c r="M492" s="49"/>
      <c r="N492" s="49">
        <f t="shared" si="15"/>
        <v>0</v>
      </c>
      <c r="O492" s="49"/>
      <c r="P492" s="49"/>
      <c r="Q492" s="49"/>
      <c r="R492" s="23"/>
      <c r="XCY492"/>
      <c r="XCZ492"/>
      <c r="XDA492"/>
      <c r="XDB492"/>
      <c r="XDC492"/>
      <c r="XDD492"/>
      <c r="XDE492"/>
      <c r="XDF492"/>
      <c r="XDG492"/>
      <c r="XDH492"/>
      <c r="XDI492"/>
      <c r="XDJ492"/>
      <c r="XDK492"/>
      <c r="XDL492"/>
      <c r="XDM492"/>
      <c r="XDN492"/>
      <c r="XDO492"/>
      <c r="XDP492"/>
      <c r="XDQ492"/>
      <c r="XDR492"/>
      <c r="XDS492"/>
      <c r="XDT492"/>
      <c r="XDU492"/>
      <c r="XDV492"/>
      <c r="XDW492"/>
      <c r="XDX492"/>
      <c r="XDY492"/>
      <c r="XDZ492"/>
      <c r="XEA492"/>
      <c r="XEB492"/>
      <c r="XEC492"/>
      <c r="XED492"/>
      <c r="XEE492"/>
      <c r="XEF492"/>
      <c r="XEG492"/>
      <c r="XEH492"/>
      <c r="XEI492"/>
      <c r="XEJ492"/>
      <c r="XEK492"/>
      <c r="XEL492"/>
      <c r="XEM492"/>
      <c r="XEN492"/>
      <c r="XEO492"/>
      <c r="XEP492"/>
      <c r="XEQ492"/>
      <c r="XER492"/>
      <c r="XES492"/>
      <c r="XET492"/>
      <c r="XEU492"/>
      <c r="XEV492"/>
      <c r="XEW492"/>
      <c r="XEX492"/>
      <c r="XEY492"/>
      <c r="XEZ492"/>
      <c r="XFA492"/>
      <c r="XFB492"/>
      <c r="XFC492"/>
      <c r="XFD492"/>
    </row>
    <row r="493" spans="1:18 16327:16384" s="26" customFormat="1" ht="29.1" customHeight="1" outlineLevel="3" x14ac:dyDescent="0.25">
      <c r="A493" s="42" t="s">
        <v>838</v>
      </c>
      <c r="B493" s="43"/>
      <c r="C493" s="66" t="s">
        <v>839</v>
      </c>
      <c r="D493" s="66"/>
      <c r="E493" s="43" t="s">
        <v>34</v>
      </c>
      <c r="F493" s="44"/>
      <c r="G493" s="43" t="s">
        <v>285</v>
      </c>
      <c r="H493" s="45">
        <v>1</v>
      </c>
      <c r="I493" s="46">
        <f>17</f>
        <v>17</v>
      </c>
      <c r="J493" s="23"/>
      <c r="K493" s="47"/>
      <c r="L493" s="48"/>
      <c r="M493" s="49"/>
      <c r="N493" s="49">
        <f t="shared" si="15"/>
        <v>0</v>
      </c>
      <c r="O493" s="49"/>
      <c r="P493" s="49"/>
      <c r="Q493" s="49"/>
      <c r="R493" s="23"/>
      <c r="XCY493"/>
      <c r="XCZ493"/>
      <c r="XDA493"/>
      <c r="XDB493"/>
      <c r="XDC493"/>
      <c r="XDD493"/>
      <c r="XDE493"/>
      <c r="XDF493"/>
      <c r="XDG493"/>
      <c r="XDH493"/>
      <c r="XDI493"/>
      <c r="XDJ493"/>
      <c r="XDK493"/>
      <c r="XDL493"/>
      <c r="XDM493"/>
      <c r="XDN493"/>
      <c r="XDO493"/>
      <c r="XDP493"/>
      <c r="XDQ493"/>
      <c r="XDR493"/>
      <c r="XDS493"/>
      <c r="XDT493"/>
      <c r="XDU493"/>
      <c r="XDV493"/>
      <c r="XDW493"/>
      <c r="XDX493"/>
      <c r="XDY493"/>
      <c r="XDZ493"/>
      <c r="XEA493"/>
      <c r="XEB493"/>
      <c r="XEC493"/>
      <c r="XED493"/>
      <c r="XEE493"/>
      <c r="XEF493"/>
      <c r="XEG493"/>
      <c r="XEH493"/>
      <c r="XEI493"/>
      <c r="XEJ493"/>
      <c r="XEK493"/>
      <c r="XEL493"/>
      <c r="XEM493"/>
      <c r="XEN493"/>
      <c r="XEO493"/>
      <c r="XEP493"/>
      <c r="XEQ493"/>
      <c r="XER493"/>
      <c r="XES493"/>
      <c r="XET493"/>
      <c r="XEU493"/>
      <c r="XEV493"/>
      <c r="XEW493"/>
      <c r="XEX493"/>
      <c r="XEY493"/>
      <c r="XEZ493"/>
      <c r="XFA493"/>
      <c r="XFB493"/>
      <c r="XFC493"/>
      <c r="XFD493"/>
    </row>
    <row r="494" spans="1:18 16327:16384" s="26" customFormat="1" ht="29.1" customHeight="1" outlineLevel="3" x14ac:dyDescent="0.25">
      <c r="A494" s="42" t="s">
        <v>840</v>
      </c>
      <c r="B494" s="43"/>
      <c r="C494" s="66" t="s">
        <v>752</v>
      </c>
      <c r="D494" s="66"/>
      <c r="E494" s="43" t="s">
        <v>34</v>
      </c>
      <c r="F494" s="44"/>
      <c r="G494" s="43" t="s">
        <v>753</v>
      </c>
      <c r="H494" s="45">
        <v>1</v>
      </c>
      <c r="I494" s="46">
        <f>0.3</f>
        <v>0.3</v>
      </c>
      <c r="J494" s="23"/>
      <c r="K494" s="47"/>
      <c r="L494" s="48"/>
      <c r="M494" s="49"/>
      <c r="N494" s="49">
        <f t="shared" si="15"/>
        <v>0</v>
      </c>
      <c r="O494" s="49"/>
      <c r="P494" s="49"/>
      <c r="Q494" s="49"/>
      <c r="R494" s="23"/>
      <c r="XCY494"/>
      <c r="XCZ494"/>
      <c r="XDA494"/>
      <c r="XDB494"/>
      <c r="XDC494"/>
      <c r="XDD494"/>
      <c r="XDE494"/>
      <c r="XDF494"/>
      <c r="XDG494"/>
      <c r="XDH494"/>
      <c r="XDI494"/>
      <c r="XDJ494"/>
      <c r="XDK494"/>
      <c r="XDL494"/>
      <c r="XDM494"/>
      <c r="XDN494"/>
      <c r="XDO494"/>
      <c r="XDP494"/>
      <c r="XDQ494"/>
      <c r="XDR494"/>
      <c r="XDS494"/>
      <c r="XDT494"/>
      <c r="XDU494"/>
      <c r="XDV494"/>
      <c r="XDW494"/>
      <c r="XDX494"/>
      <c r="XDY494"/>
      <c r="XDZ494"/>
      <c r="XEA494"/>
      <c r="XEB494"/>
      <c r="XEC494"/>
      <c r="XED494"/>
      <c r="XEE494"/>
      <c r="XEF494"/>
      <c r="XEG494"/>
      <c r="XEH494"/>
      <c r="XEI494"/>
      <c r="XEJ494"/>
      <c r="XEK494"/>
      <c r="XEL494"/>
      <c r="XEM494"/>
      <c r="XEN494"/>
      <c r="XEO494"/>
      <c r="XEP494"/>
      <c r="XEQ494"/>
      <c r="XER494"/>
      <c r="XES494"/>
      <c r="XET494"/>
      <c r="XEU494"/>
      <c r="XEV494"/>
      <c r="XEW494"/>
      <c r="XEX494"/>
      <c r="XEY494"/>
      <c r="XEZ494"/>
      <c r="XFA494"/>
      <c r="XFB494"/>
      <c r="XFC494"/>
      <c r="XFD494"/>
    </row>
    <row r="495" spans="1:18 16327:16384" s="26" customFormat="1" ht="29.1" customHeight="1" outlineLevel="2" x14ac:dyDescent="0.25">
      <c r="A495" s="34" t="s">
        <v>841</v>
      </c>
      <c r="B495" s="35"/>
      <c r="C495" s="65" t="s">
        <v>842</v>
      </c>
      <c r="D495" s="65"/>
      <c r="E495" s="35"/>
      <c r="F495" s="36" t="s">
        <v>843</v>
      </c>
      <c r="G495" s="35" t="s">
        <v>65</v>
      </c>
      <c r="H495" s="37"/>
      <c r="I495" s="38">
        <f>72</f>
        <v>72</v>
      </c>
      <c r="J495" s="23"/>
      <c r="K495" s="39"/>
      <c r="L495" s="40"/>
      <c r="M495" s="41">
        <f>K495+L495</f>
        <v>0</v>
      </c>
      <c r="N495" s="41">
        <f t="shared" si="15"/>
        <v>0</v>
      </c>
      <c r="O495" s="41">
        <f>ROUND((I495*L495),2)</f>
        <v>0</v>
      </c>
      <c r="P495" s="41">
        <f>ROUND((I495*M495),2)</f>
        <v>0</v>
      </c>
      <c r="Q495" s="41"/>
      <c r="R495" s="23"/>
      <c r="XCY495"/>
      <c r="XCZ495"/>
      <c r="XDA495"/>
      <c r="XDB495"/>
      <c r="XDC495"/>
      <c r="XDD495"/>
      <c r="XDE495"/>
      <c r="XDF495"/>
      <c r="XDG495"/>
      <c r="XDH495"/>
      <c r="XDI495"/>
      <c r="XDJ495"/>
      <c r="XDK495"/>
      <c r="XDL495"/>
      <c r="XDM495"/>
      <c r="XDN495"/>
      <c r="XDO495"/>
      <c r="XDP495"/>
      <c r="XDQ495"/>
      <c r="XDR495"/>
      <c r="XDS495"/>
      <c r="XDT495"/>
      <c r="XDU495"/>
      <c r="XDV495"/>
      <c r="XDW495"/>
      <c r="XDX495"/>
      <c r="XDY495"/>
      <c r="XDZ495"/>
      <c r="XEA495"/>
      <c r="XEB495"/>
      <c r="XEC495"/>
      <c r="XED495"/>
      <c r="XEE495"/>
      <c r="XEF495"/>
      <c r="XEG495"/>
      <c r="XEH495"/>
      <c r="XEI495"/>
      <c r="XEJ495"/>
      <c r="XEK495"/>
      <c r="XEL495"/>
      <c r="XEM495"/>
      <c r="XEN495"/>
      <c r="XEO495"/>
      <c r="XEP495"/>
      <c r="XEQ495"/>
      <c r="XER495"/>
      <c r="XES495"/>
      <c r="XET495"/>
      <c r="XEU495"/>
      <c r="XEV495"/>
      <c r="XEW495"/>
      <c r="XEX495"/>
      <c r="XEY495"/>
      <c r="XEZ495"/>
      <c r="XFA495"/>
      <c r="XFB495"/>
      <c r="XFC495"/>
      <c r="XFD495"/>
    </row>
    <row r="496" spans="1:18 16327:16384" s="26" customFormat="1" ht="29.1" customHeight="1" outlineLevel="3" x14ac:dyDescent="0.25">
      <c r="A496" s="42" t="s">
        <v>844</v>
      </c>
      <c r="B496" s="43"/>
      <c r="C496" s="66" t="s">
        <v>845</v>
      </c>
      <c r="D496" s="66"/>
      <c r="E496" s="43" t="s">
        <v>34</v>
      </c>
      <c r="F496" s="44"/>
      <c r="G496" s="43" t="s">
        <v>65</v>
      </c>
      <c r="H496" s="45">
        <v>1.03</v>
      </c>
      <c r="I496" s="46">
        <f>74.16</f>
        <v>74.16</v>
      </c>
      <c r="J496" s="23"/>
      <c r="K496" s="47"/>
      <c r="L496" s="48"/>
      <c r="M496" s="49"/>
      <c r="N496" s="49">
        <f t="shared" si="15"/>
        <v>0</v>
      </c>
      <c r="O496" s="49"/>
      <c r="P496" s="49"/>
      <c r="Q496" s="49"/>
      <c r="R496" s="23"/>
      <c r="XCY496"/>
      <c r="XCZ496"/>
      <c r="XDA496"/>
      <c r="XDB496"/>
      <c r="XDC496"/>
      <c r="XDD496"/>
      <c r="XDE496"/>
      <c r="XDF496"/>
      <c r="XDG496"/>
      <c r="XDH496"/>
      <c r="XDI496"/>
      <c r="XDJ496"/>
      <c r="XDK496"/>
      <c r="XDL496"/>
      <c r="XDM496"/>
      <c r="XDN496"/>
      <c r="XDO496"/>
      <c r="XDP496"/>
      <c r="XDQ496"/>
      <c r="XDR496"/>
      <c r="XDS496"/>
      <c r="XDT496"/>
      <c r="XDU496"/>
      <c r="XDV496"/>
      <c r="XDW496"/>
      <c r="XDX496"/>
      <c r="XDY496"/>
      <c r="XDZ496"/>
      <c r="XEA496"/>
      <c r="XEB496"/>
      <c r="XEC496"/>
      <c r="XED496"/>
      <c r="XEE496"/>
      <c r="XEF496"/>
      <c r="XEG496"/>
      <c r="XEH496"/>
      <c r="XEI496"/>
      <c r="XEJ496"/>
      <c r="XEK496"/>
      <c r="XEL496"/>
      <c r="XEM496"/>
      <c r="XEN496"/>
      <c r="XEO496"/>
      <c r="XEP496"/>
      <c r="XEQ496"/>
      <c r="XER496"/>
      <c r="XES496"/>
      <c r="XET496"/>
      <c r="XEU496"/>
      <c r="XEV496"/>
      <c r="XEW496"/>
      <c r="XEX496"/>
      <c r="XEY496"/>
      <c r="XEZ496"/>
      <c r="XFA496"/>
      <c r="XFB496"/>
      <c r="XFC496"/>
      <c r="XFD496"/>
    </row>
    <row r="497" spans="1:18 16327:16384" s="26" customFormat="1" ht="29.1" customHeight="1" outlineLevel="3" x14ac:dyDescent="0.25">
      <c r="A497" s="42" t="s">
        <v>846</v>
      </c>
      <c r="B497" s="43"/>
      <c r="C497" s="66" t="s">
        <v>847</v>
      </c>
      <c r="D497" s="66"/>
      <c r="E497" s="43" t="s">
        <v>34</v>
      </c>
      <c r="F497" s="44"/>
      <c r="G497" s="43" t="s">
        <v>31</v>
      </c>
      <c r="H497" s="45">
        <v>1</v>
      </c>
      <c r="I497" s="46">
        <f>189</f>
        <v>189</v>
      </c>
      <c r="J497" s="23"/>
      <c r="K497" s="47"/>
      <c r="L497" s="48"/>
      <c r="M497" s="49"/>
      <c r="N497" s="49">
        <f t="shared" si="15"/>
        <v>0</v>
      </c>
      <c r="O497" s="49"/>
      <c r="P497" s="49"/>
      <c r="Q497" s="49"/>
      <c r="R497" s="23"/>
      <c r="XCY497"/>
      <c r="XCZ497"/>
      <c r="XDA497"/>
      <c r="XDB497"/>
      <c r="XDC497"/>
      <c r="XDD497"/>
      <c r="XDE497"/>
      <c r="XDF497"/>
      <c r="XDG497"/>
      <c r="XDH497"/>
      <c r="XDI497"/>
      <c r="XDJ497"/>
      <c r="XDK497"/>
      <c r="XDL497"/>
      <c r="XDM497"/>
      <c r="XDN497"/>
      <c r="XDO497"/>
      <c r="XDP497"/>
      <c r="XDQ497"/>
      <c r="XDR497"/>
      <c r="XDS497"/>
      <c r="XDT497"/>
      <c r="XDU497"/>
      <c r="XDV497"/>
      <c r="XDW497"/>
      <c r="XDX497"/>
      <c r="XDY497"/>
      <c r="XDZ497"/>
      <c r="XEA497"/>
      <c r="XEB497"/>
      <c r="XEC497"/>
      <c r="XED497"/>
      <c r="XEE497"/>
      <c r="XEF497"/>
      <c r="XEG497"/>
      <c r="XEH497"/>
      <c r="XEI497"/>
      <c r="XEJ497"/>
      <c r="XEK497"/>
      <c r="XEL497"/>
      <c r="XEM497"/>
      <c r="XEN497"/>
      <c r="XEO497"/>
      <c r="XEP497"/>
      <c r="XEQ497"/>
      <c r="XER497"/>
      <c r="XES497"/>
      <c r="XET497"/>
      <c r="XEU497"/>
      <c r="XEV497"/>
      <c r="XEW497"/>
      <c r="XEX497"/>
      <c r="XEY497"/>
      <c r="XEZ497"/>
      <c r="XFA497"/>
      <c r="XFB497"/>
      <c r="XFC497"/>
      <c r="XFD497"/>
    </row>
    <row r="498" spans="1:18 16327:16384" s="26" customFormat="1" ht="29.1" customHeight="1" outlineLevel="3" x14ac:dyDescent="0.25">
      <c r="A498" s="42" t="s">
        <v>848</v>
      </c>
      <c r="B498" s="43"/>
      <c r="C498" s="66" t="s">
        <v>849</v>
      </c>
      <c r="D498" s="66"/>
      <c r="E498" s="43" t="s">
        <v>34</v>
      </c>
      <c r="F498" s="44"/>
      <c r="G498" s="43" t="s">
        <v>31</v>
      </c>
      <c r="H498" s="45">
        <v>1</v>
      </c>
      <c r="I498" s="46">
        <f>6</f>
        <v>6</v>
      </c>
      <c r="J498" s="23"/>
      <c r="K498" s="47"/>
      <c r="L498" s="48"/>
      <c r="M498" s="49"/>
      <c r="N498" s="49">
        <f t="shared" si="15"/>
        <v>0</v>
      </c>
      <c r="O498" s="49"/>
      <c r="P498" s="49"/>
      <c r="Q498" s="49"/>
      <c r="R498" s="23"/>
      <c r="XCY498"/>
      <c r="XCZ498"/>
      <c r="XDA498"/>
      <c r="XDB498"/>
      <c r="XDC498"/>
      <c r="XDD498"/>
      <c r="XDE498"/>
      <c r="XDF498"/>
      <c r="XDG498"/>
      <c r="XDH498"/>
      <c r="XDI498"/>
      <c r="XDJ498"/>
      <c r="XDK498"/>
      <c r="XDL498"/>
      <c r="XDM498"/>
      <c r="XDN498"/>
      <c r="XDO498"/>
      <c r="XDP498"/>
      <c r="XDQ498"/>
      <c r="XDR498"/>
      <c r="XDS498"/>
      <c r="XDT498"/>
      <c r="XDU498"/>
      <c r="XDV498"/>
      <c r="XDW498"/>
      <c r="XDX498"/>
      <c r="XDY498"/>
      <c r="XDZ498"/>
      <c r="XEA498"/>
      <c r="XEB498"/>
      <c r="XEC498"/>
      <c r="XED498"/>
      <c r="XEE498"/>
      <c r="XEF498"/>
      <c r="XEG498"/>
      <c r="XEH498"/>
      <c r="XEI498"/>
      <c r="XEJ498"/>
      <c r="XEK498"/>
      <c r="XEL498"/>
      <c r="XEM498"/>
      <c r="XEN498"/>
      <c r="XEO498"/>
      <c r="XEP498"/>
      <c r="XEQ498"/>
      <c r="XER498"/>
      <c r="XES498"/>
      <c r="XET498"/>
      <c r="XEU498"/>
      <c r="XEV498"/>
      <c r="XEW498"/>
      <c r="XEX498"/>
      <c r="XEY498"/>
      <c r="XEZ498"/>
      <c r="XFA498"/>
      <c r="XFB498"/>
      <c r="XFC498"/>
      <c r="XFD498"/>
    </row>
    <row r="499" spans="1:18 16327:16384" s="26" customFormat="1" ht="29.1" customHeight="1" outlineLevel="3" x14ac:dyDescent="0.25">
      <c r="A499" s="42" t="s">
        <v>850</v>
      </c>
      <c r="B499" s="43"/>
      <c r="C499" s="66" t="s">
        <v>851</v>
      </c>
      <c r="D499" s="66"/>
      <c r="E499" s="43" t="s">
        <v>34</v>
      </c>
      <c r="F499" s="44"/>
      <c r="G499" s="43" t="s">
        <v>31</v>
      </c>
      <c r="H499" s="45">
        <v>1</v>
      </c>
      <c r="I499" s="46">
        <f>72</f>
        <v>72</v>
      </c>
      <c r="J499" s="23"/>
      <c r="K499" s="47"/>
      <c r="L499" s="48"/>
      <c r="M499" s="49"/>
      <c r="N499" s="49">
        <f t="shared" ref="N499:N530" si="16">ROUND((I499*K499),2)</f>
        <v>0</v>
      </c>
      <c r="O499" s="49"/>
      <c r="P499" s="49"/>
      <c r="Q499" s="49"/>
      <c r="R499" s="23"/>
      <c r="XCY499"/>
      <c r="XCZ499"/>
      <c r="XDA499"/>
      <c r="XDB499"/>
      <c r="XDC499"/>
      <c r="XDD499"/>
      <c r="XDE499"/>
      <c r="XDF499"/>
      <c r="XDG499"/>
      <c r="XDH499"/>
      <c r="XDI499"/>
      <c r="XDJ499"/>
      <c r="XDK499"/>
      <c r="XDL499"/>
      <c r="XDM499"/>
      <c r="XDN499"/>
      <c r="XDO499"/>
      <c r="XDP499"/>
      <c r="XDQ499"/>
      <c r="XDR499"/>
      <c r="XDS499"/>
      <c r="XDT499"/>
      <c r="XDU499"/>
      <c r="XDV499"/>
      <c r="XDW499"/>
      <c r="XDX499"/>
      <c r="XDY499"/>
      <c r="XDZ499"/>
      <c r="XEA499"/>
      <c r="XEB499"/>
      <c r="XEC499"/>
      <c r="XED499"/>
      <c r="XEE499"/>
      <c r="XEF499"/>
      <c r="XEG499"/>
      <c r="XEH499"/>
      <c r="XEI499"/>
      <c r="XEJ499"/>
      <c r="XEK499"/>
      <c r="XEL499"/>
      <c r="XEM499"/>
      <c r="XEN499"/>
      <c r="XEO499"/>
      <c r="XEP499"/>
      <c r="XEQ499"/>
      <c r="XER499"/>
      <c r="XES499"/>
      <c r="XET499"/>
      <c r="XEU499"/>
      <c r="XEV499"/>
      <c r="XEW499"/>
      <c r="XEX499"/>
      <c r="XEY499"/>
      <c r="XEZ499"/>
      <c r="XFA499"/>
      <c r="XFB499"/>
      <c r="XFC499"/>
      <c r="XFD499"/>
    </row>
    <row r="500" spans="1:18 16327:16384" s="26" customFormat="1" ht="29.1" customHeight="1" outlineLevel="3" x14ac:dyDescent="0.25">
      <c r="A500" s="42" t="s">
        <v>852</v>
      </c>
      <c r="B500" s="43"/>
      <c r="C500" s="66" t="s">
        <v>853</v>
      </c>
      <c r="D500" s="66"/>
      <c r="E500" s="43" t="s">
        <v>34</v>
      </c>
      <c r="F500" s="44"/>
      <c r="G500" s="43" t="s">
        <v>31</v>
      </c>
      <c r="H500" s="45">
        <v>1</v>
      </c>
      <c r="I500" s="46">
        <f>145</f>
        <v>145</v>
      </c>
      <c r="J500" s="23"/>
      <c r="K500" s="47"/>
      <c r="L500" s="48"/>
      <c r="M500" s="49"/>
      <c r="N500" s="49">
        <f t="shared" si="16"/>
        <v>0</v>
      </c>
      <c r="O500" s="49"/>
      <c r="P500" s="49"/>
      <c r="Q500" s="49"/>
      <c r="R500" s="23"/>
      <c r="XCY500"/>
      <c r="XCZ500"/>
      <c r="XDA500"/>
      <c r="XDB500"/>
      <c r="XDC500"/>
      <c r="XDD500"/>
      <c r="XDE500"/>
      <c r="XDF500"/>
      <c r="XDG500"/>
      <c r="XDH500"/>
      <c r="XDI500"/>
      <c r="XDJ500"/>
      <c r="XDK500"/>
      <c r="XDL500"/>
      <c r="XDM500"/>
      <c r="XDN500"/>
      <c r="XDO500"/>
      <c r="XDP500"/>
      <c r="XDQ500"/>
      <c r="XDR500"/>
      <c r="XDS500"/>
      <c r="XDT500"/>
      <c r="XDU500"/>
      <c r="XDV500"/>
      <c r="XDW500"/>
      <c r="XDX500"/>
      <c r="XDY500"/>
      <c r="XDZ500"/>
      <c r="XEA500"/>
      <c r="XEB500"/>
      <c r="XEC500"/>
      <c r="XED500"/>
      <c r="XEE500"/>
      <c r="XEF500"/>
      <c r="XEG500"/>
      <c r="XEH500"/>
      <c r="XEI500"/>
      <c r="XEJ500"/>
      <c r="XEK500"/>
      <c r="XEL500"/>
      <c r="XEM500"/>
      <c r="XEN500"/>
      <c r="XEO500"/>
      <c r="XEP500"/>
      <c r="XEQ500"/>
      <c r="XER500"/>
      <c r="XES500"/>
      <c r="XET500"/>
      <c r="XEU500"/>
      <c r="XEV500"/>
      <c r="XEW500"/>
      <c r="XEX500"/>
      <c r="XEY500"/>
      <c r="XEZ500"/>
      <c r="XFA500"/>
      <c r="XFB500"/>
      <c r="XFC500"/>
      <c r="XFD500"/>
    </row>
    <row r="501" spans="1:18 16327:16384" s="26" customFormat="1" ht="29.1" customHeight="1" outlineLevel="3" x14ac:dyDescent="0.25">
      <c r="A501" s="42" t="s">
        <v>854</v>
      </c>
      <c r="B501" s="43"/>
      <c r="C501" s="66" t="s">
        <v>855</v>
      </c>
      <c r="D501" s="66"/>
      <c r="E501" s="43" t="s">
        <v>34</v>
      </c>
      <c r="F501" s="44"/>
      <c r="G501" s="43" t="s">
        <v>31</v>
      </c>
      <c r="H501" s="45">
        <v>1</v>
      </c>
      <c r="I501" s="46">
        <f>362</f>
        <v>362</v>
      </c>
      <c r="J501" s="23"/>
      <c r="K501" s="47"/>
      <c r="L501" s="48"/>
      <c r="M501" s="49"/>
      <c r="N501" s="49">
        <f t="shared" si="16"/>
        <v>0</v>
      </c>
      <c r="O501" s="49"/>
      <c r="P501" s="49"/>
      <c r="Q501" s="49"/>
      <c r="R501" s="23"/>
      <c r="XCY501"/>
      <c r="XCZ501"/>
      <c r="XDA501"/>
      <c r="XDB501"/>
      <c r="XDC501"/>
      <c r="XDD501"/>
      <c r="XDE501"/>
      <c r="XDF501"/>
      <c r="XDG501"/>
      <c r="XDH501"/>
      <c r="XDI501"/>
      <c r="XDJ501"/>
      <c r="XDK501"/>
      <c r="XDL501"/>
      <c r="XDM501"/>
      <c r="XDN501"/>
      <c r="XDO501"/>
      <c r="XDP501"/>
      <c r="XDQ501"/>
      <c r="XDR501"/>
      <c r="XDS501"/>
      <c r="XDT501"/>
      <c r="XDU501"/>
      <c r="XDV501"/>
      <c r="XDW501"/>
      <c r="XDX501"/>
      <c r="XDY501"/>
      <c r="XDZ501"/>
      <c r="XEA501"/>
      <c r="XEB501"/>
      <c r="XEC501"/>
      <c r="XED501"/>
      <c r="XEE501"/>
      <c r="XEF501"/>
      <c r="XEG501"/>
      <c r="XEH501"/>
      <c r="XEI501"/>
      <c r="XEJ501"/>
      <c r="XEK501"/>
      <c r="XEL501"/>
      <c r="XEM501"/>
      <c r="XEN501"/>
      <c r="XEO501"/>
      <c r="XEP501"/>
      <c r="XEQ501"/>
      <c r="XER501"/>
      <c r="XES501"/>
      <c r="XET501"/>
      <c r="XEU501"/>
      <c r="XEV501"/>
      <c r="XEW501"/>
      <c r="XEX501"/>
      <c r="XEY501"/>
      <c r="XEZ501"/>
      <c r="XFA501"/>
      <c r="XFB501"/>
      <c r="XFC501"/>
      <c r="XFD501"/>
    </row>
    <row r="502" spans="1:18 16327:16384" s="26" customFormat="1" ht="29.1" customHeight="1" outlineLevel="2" x14ac:dyDescent="0.25">
      <c r="A502" s="34" t="s">
        <v>856</v>
      </c>
      <c r="B502" s="35"/>
      <c r="C502" s="65" t="s">
        <v>842</v>
      </c>
      <c r="D502" s="65"/>
      <c r="E502" s="35"/>
      <c r="F502" s="36" t="s">
        <v>843</v>
      </c>
      <c r="G502" s="35" t="s">
        <v>65</v>
      </c>
      <c r="H502" s="37"/>
      <c r="I502" s="38">
        <f>33</f>
        <v>33</v>
      </c>
      <c r="J502" s="23"/>
      <c r="K502" s="39"/>
      <c r="L502" s="40"/>
      <c r="M502" s="41">
        <f>K502+L502</f>
        <v>0</v>
      </c>
      <c r="N502" s="41">
        <f t="shared" si="16"/>
        <v>0</v>
      </c>
      <c r="O502" s="41">
        <f>ROUND((I502*L502),2)</f>
        <v>0</v>
      </c>
      <c r="P502" s="41">
        <f>ROUND((I502*M502),2)</f>
        <v>0</v>
      </c>
      <c r="Q502" s="41"/>
      <c r="R502" s="23"/>
      <c r="XCY502"/>
      <c r="XCZ502"/>
      <c r="XDA502"/>
      <c r="XDB502"/>
      <c r="XDC502"/>
      <c r="XDD502"/>
      <c r="XDE502"/>
      <c r="XDF502"/>
      <c r="XDG502"/>
      <c r="XDH502"/>
      <c r="XDI502"/>
      <c r="XDJ502"/>
      <c r="XDK502"/>
      <c r="XDL502"/>
      <c r="XDM502"/>
      <c r="XDN502"/>
      <c r="XDO502"/>
      <c r="XDP502"/>
      <c r="XDQ502"/>
      <c r="XDR502"/>
      <c r="XDS502"/>
      <c r="XDT502"/>
      <c r="XDU502"/>
      <c r="XDV502"/>
      <c r="XDW502"/>
      <c r="XDX502"/>
      <c r="XDY502"/>
      <c r="XDZ502"/>
      <c r="XEA502"/>
      <c r="XEB502"/>
      <c r="XEC502"/>
      <c r="XED502"/>
      <c r="XEE502"/>
      <c r="XEF502"/>
      <c r="XEG502"/>
      <c r="XEH502"/>
      <c r="XEI502"/>
      <c r="XEJ502"/>
      <c r="XEK502"/>
      <c r="XEL502"/>
      <c r="XEM502"/>
      <c r="XEN502"/>
      <c r="XEO502"/>
      <c r="XEP502"/>
      <c r="XEQ502"/>
      <c r="XER502"/>
      <c r="XES502"/>
      <c r="XET502"/>
      <c r="XEU502"/>
      <c r="XEV502"/>
      <c r="XEW502"/>
      <c r="XEX502"/>
      <c r="XEY502"/>
      <c r="XEZ502"/>
      <c r="XFA502"/>
      <c r="XFB502"/>
      <c r="XFC502"/>
      <c r="XFD502"/>
    </row>
    <row r="503" spans="1:18 16327:16384" s="26" customFormat="1" ht="29.1" customHeight="1" outlineLevel="3" x14ac:dyDescent="0.25">
      <c r="A503" s="42" t="s">
        <v>857</v>
      </c>
      <c r="B503" s="43"/>
      <c r="C503" s="66" t="s">
        <v>858</v>
      </c>
      <c r="D503" s="66"/>
      <c r="E503" s="43" t="s">
        <v>34</v>
      </c>
      <c r="F503" s="44"/>
      <c r="G503" s="43" t="s">
        <v>65</v>
      </c>
      <c r="H503" s="45">
        <v>1.03</v>
      </c>
      <c r="I503" s="46">
        <f>33.99</f>
        <v>33.99</v>
      </c>
      <c r="J503" s="23"/>
      <c r="K503" s="47"/>
      <c r="L503" s="48"/>
      <c r="M503" s="49"/>
      <c r="N503" s="49">
        <f t="shared" si="16"/>
        <v>0</v>
      </c>
      <c r="O503" s="49"/>
      <c r="P503" s="49"/>
      <c r="Q503" s="49"/>
      <c r="R503" s="23"/>
      <c r="XCY503"/>
      <c r="XCZ503"/>
      <c r="XDA503"/>
      <c r="XDB503"/>
      <c r="XDC503"/>
      <c r="XDD503"/>
      <c r="XDE503"/>
      <c r="XDF503"/>
      <c r="XDG503"/>
      <c r="XDH503"/>
      <c r="XDI503"/>
      <c r="XDJ503"/>
      <c r="XDK503"/>
      <c r="XDL503"/>
      <c r="XDM503"/>
      <c r="XDN503"/>
      <c r="XDO503"/>
      <c r="XDP503"/>
      <c r="XDQ503"/>
      <c r="XDR503"/>
      <c r="XDS503"/>
      <c r="XDT503"/>
      <c r="XDU503"/>
      <c r="XDV503"/>
      <c r="XDW503"/>
      <c r="XDX503"/>
      <c r="XDY503"/>
      <c r="XDZ503"/>
      <c r="XEA503"/>
      <c r="XEB503"/>
      <c r="XEC503"/>
      <c r="XED503"/>
      <c r="XEE503"/>
      <c r="XEF503"/>
      <c r="XEG503"/>
      <c r="XEH503"/>
      <c r="XEI503"/>
      <c r="XEJ503"/>
      <c r="XEK503"/>
      <c r="XEL503"/>
      <c r="XEM503"/>
      <c r="XEN503"/>
      <c r="XEO503"/>
      <c r="XEP503"/>
      <c r="XEQ503"/>
      <c r="XER503"/>
      <c r="XES503"/>
      <c r="XET503"/>
      <c r="XEU503"/>
      <c r="XEV503"/>
      <c r="XEW503"/>
      <c r="XEX503"/>
      <c r="XEY503"/>
      <c r="XEZ503"/>
      <c r="XFA503"/>
      <c r="XFB503"/>
      <c r="XFC503"/>
      <c r="XFD503"/>
    </row>
    <row r="504" spans="1:18 16327:16384" s="26" customFormat="1" ht="29.1" customHeight="1" outlineLevel="3" x14ac:dyDescent="0.25">
      <c r="A504" s="42" t="s">
        <v>859</v>
      </c>
      <c r="B504" s="43"/>
      <c r="C504" s="66" t="s">
        <v>847</v>
      </c>
      <c r="D504" s="66"/>
      <c r="E504" s="43" t="s">
        <v>34</v>
      </c>
      <c r="F504" s="44"/>
      <c r="G504" s="43" t="s">
        <v>31</v>
      </c>
      <c r="H504" s="45">
        <v>1</v>
      </c>
      <c r="I504" s="46">
        <f>85</f>
        <v>85</v>
      </c>
      <c r="J504" s="23"/>
      <c r="K504" s="47"/>
      <c r="L504" s="48"/>
      <c r="M504" s="49"/>
      <c r="N504" s="49">
        <f t="shared" si="16"/>
        <v>0</v>
      </c>
      <c r="O504" s="49"/>
      <c r="P504" s="49"/>
      <c r="Q504" s="49"/>
      <c r="R504" s="23"/>
      <c r="XCY504"/>
      <c r="XCZ504"/>
      <c r="XDA504"/>
      <c r="XDB504"/>
      <c r="XDC504"/>
      <c r="XDD504"/>
      <c r="XDE504"/>
      <c r="XDF504"/>
      <c r="XDG504"/>
      <c r="XDH504"/>
      <c r="XDI504"/>
      <c r="XDJ504"/>
      <c r="XDK504"/>
      <c r="XDL504"/>
      <c r="XDM504"/>
      <c r="XDN504"/>
      <c r="XDO504"/>
      <c r="XDP504"/>
      <c r="XDQ504"/>
      <c r="XDR504"/>
      <c r="XDS504"/>
      <c r="XDT504"/>
      <c r="XDU504"/>
      <c r="XDV504"/>
      <c r="XDW504"/>
      <c r="XDX504"/>
      <c r="XDY504"/>
      <c r="XDZ504"/>
      <c r="XEA504"/>
      <c r="XEB504"/>
      <c r="XEC504"/>
      <c r="XED504"/>
      <c r="XEE504"/>
      <c r="XEF504"/>
      <c r="XEG504"/>
      <c r="XEH504"/>
      <c r="XEI504"/>
      <c r="XEJ504"/>
      <c r="XEK504"/>
      <c r="XEL504"/>
      <c r="XEM504"/>
      <c r="XEN504"/>
      <c r="XEO504"/>
      <c r="XEP504"/>
      <c r="XEQ504"/>
      <c r="XER504"/>
      <c r="XES504"/>
      <c r="XET504"/>
      <c r="XEU504"/>
      <c r="XEV504"/>
      <c r="XEW504"/>
      <c r="XEX504"/>
      <c r="XEY504"/>
      <c r="XEZ504"/>
      <c r="XFA504"/>
      <c r="XFB504"/>
      <c r="XFC504"/>
      <c r="XFD504"/>
    </row>
    <row r="505" spans="1:18 16327:16384" s="26" customFormat="1" ht="29.1" customHeight="1" outlineLevel="3" x14ac:dyDescent="0.25">
      <c r="A505" s="42" t="s">
        <v>860</v>
      </c>
      <c r="B505" s="43"/>
      <c r="C505" s="66" t="s">
        <v>849</v>
      </c>
      <c r="D505" s="66"/>
      <c r="E505" s="43" t="s">
        <v>34</v>
      </c>
      <c r="F505" s="44"/>
      <c r="G505" s="43" t="s">
        <v>31</v>
      </c>
      <c r="H505" s="45">
        <v>1</v>
      </c>
      <c r="I505" s="46">
        <f>2</f>
        <v>2</v>
      </c>
      <c r="J505" s="23"/>
      <c r="K505" s="47"/>
      <c r="L505" s="48"/>
      <c r="M505" s="49"/>
      <c r="N505" s="49">
        <f t="shared" si="16"/>
        <v>0</v>
      </c>
      <c r="O505" s="49"/>
      <c r="P505" s="49"/>
      <c r="Q505" s="49"/>
      <c r="R505" s="23"/>
      <c r="XCY505"/>
      <c r="XCZ505"/>
      <c r="XDA505"/>
      <c r="XDB505"/>
      <c r="XDC505"/>
      <c r="XDD505"/>
      <c r="XDE505"/>
      <c r="XDF505"/>
      <c r="XDG505"/>
      <c r="XDH505"/>
      <c r="XDI505"/>
      <c r="XDJ505"/>
      <c r="XDK505"/>
      <c r="XDL505"/>
      <c r="XDM505"/>
      <c r="XDN505"/>
      <c r="XDO505"/>
      <c r="XDP505"/>
      <c r="XDQ505"/>
      <c r="XDR505"/>
      <c r="XDS505"/>
      <c r="XDT505"/>
      <c r="XDU505"/>
      <c r="XDV505"/>
      <c r="XDW505"/>
      <c r="XDX505"/>
      <c r="XDY505"/>
      <c r="XDZ505"/>
      <c r="XEA505"/>
      <c r="XEB505"/>
      <c r="XEC505"/>
      <c r="XED505"/>
      <c r="XEE505"/>
      <c r="XEF505"/>
      <c r="XEG505"/>
      <c r="XEH505"/>
      <c r="XEI505"/>
      <c r="XEJ505"/>
      <c r="XEK505"/>
      <c r="XEL505"/>
      <c r="XEM505"/>
      <c r="XEN505"/>
      <c r="XEO505"/>
      <c r="XEP505"/>
      <c r="XEQ505"/>
      <c r="XER505"/>
      <c r="XES505"/>
      <c r="XET505"/>
      <c r="XEU505"/>
      <c r="XEV505"/>
      <c r="XEW505"/>
      <c r="XEX505"/>
      <c r="XEY505"/>
      <c r="XEZ505"/>
      <c r="XFA505"/>
      <c r="XFB505"/>
      <c r="XFC505"/>
      <c r="XFD505"/>
    </row>
    <row r="506" spans="1:18 16327:16384" s="26" customFormat="1" ht="29.1" customHeight="1" outlineLevel="3" x14ac:dyDescent="0.25">
      <c r="A506" s="42" t="s">
        <v>861</v>
      </c>
      <c r="B506" s="43"/>
      <c r="C506" s="66" t="s">
        <v>851</v>
      </c>
      <c r="D506" s="66"/>
      <c r="E506" s="43" t="s">
        <v>34</v>
      </c>
      <c r="F506" s="44"/>
      <c r="G506" s="43" t="s">
        <v>31</v>
      </c>
      <c r="H506" s="45">
        <v>1</v>
      </c>
      <c r="I506" s="46">
        <f>33</f>
        <v>33</v>
      </c>
      <c r="J506" s="23"/>
      <c r="K506" s="47"/>
      <c r="L506" s="48"/>
      <c r="M506" s="49"/>
      <c r="N506" s="49">
        <f t="shared" si="16"/>
        <v>0</v>
      </c>
      <c r="O506" s="49"/>
      <c r="P506" s="49"/>
      <c r="Q506" s="49"/>
      <c r="R506" s="23"/>
      <c r="XCY506"/>
      <c r="XCZ506"/>
      <c r="XDA506"/>
      <c r="XDB506"/>
      <c r="XDC506"/>
      <c r="XDD506"/>
      <c r="XDE506"/>
      <c r="XDF506"/>
      <c r="XDG506"/>
      <c r="XDH506"/>
      <c r="XDI506"/>
      <c r="XDJ506"/>
      <c r="XDK506"/>
      <c r="XDL506"/>
      <c r="XDM506"/>
      <c r="XDN506"/>
      <c r="XDO506"/>
      <c r="XDP506"/>
      <c r="XDQ506"/>
      <c r="XDR506"/>
      <c r="XDS506"/>
      <c r="XDT506"/>
      <c r="XDU506"/>
      <c r="XDV506"/>
      <c r="XDW506"/>
      <c r="XDX506"/>
      <c r="XDY506"/>
      <c r="XDZ506"/>
      <c r="XEA506"/>
      <c r="XEB506"/>
      <c r="XEC506"/>
      <c r="XED506"/>
      <c r="XEE506"/>
      <c r="XEF506"/>
      <c r="XEG506"/>
      <c r="XEH506"/>
      <c r="XEI506"/>
      <c r="XEJ506"/>
      <c r="XEK506"/>
      <c r="XEL506"/>
      <c r="XEM506"/>
      <c r="XEN506"/>
      <c r="XEO506"/>
      <c r="XEP506"/>
      <c r="XEQ506"/>
      <c r="XER506"/>
      <c r="XES506"/>
      <c r="XET506"/>
      <c r="XEU506"/>
      <c r="XEV506"/>
      <c r="XEW506"/>
      <c r="XEX506"/>
      <c r="XEY506"/>
      <c r="XEZ506"/>
      <c r="XFA506"/>
      <c r="XFB506"/>
      <c r="XFC506"/>
      <c r="XFD506"/>
    </row>
    <row r="507" spans="1:18 16327:16384" s="26" customFormat="1" ht="29.1" customHeight="1" outlineLevel="3" x14ac:dyDescent="0.25">
      <c r="A507" s="42" t="s">
        <v>862</v>
      </c>
      <c r="B507" s="43"/>
      <c r="C507" s="66" t="s">
        <v>853</v>
      </c>
      <c r="D507" s="66"/>
      <c r="E507" s="43" t="s">
        <v>34</v>
      </c>
      <c r="F507" s="44"/>
      <c r="G507" s="43" t="s">
        <v>31</v>
      </c>
      <c r="H507" s="45">
        <v>1</v>
      </c>
      <c r="I507" s="46">
        <f>65</f>
        <v>65</v>
      </c>
      <c r="J507" s="23"/>
      <c r="K507" s="47"/>
      <c r="L507" s="48"/>
      <c r="M507" s="49"/>
      <c r="N507" s="49">
        <f t="shared" si="16"/>
        <v>0</v>
      </c>
      <c r="O507" s="49"/>
      <c r="P507" s="49"/>
      <c r="Q507" s="49"/>
      <c r="R507" s="23"/>
      <c r="XCY507"/>
      <c r="XCZ507"/>
      <c r="XDA507"/>
      <c r="XDB507"/>
      <c r="XDC507"/>
      <c r="XDD507"/>
      <c r="XDE507"/>
      <c r="XDF507"/>
      <c r="XDG507"/>
      <c r="XDH507"/>
      <c r="XDI507"/>
      <c r="XDJ507"/>
      <c r="XDK507"/>
      <c r="XDL507"/>
      <c r="XDM507"/>
      <c r="XDN507"/>
      <c r="XDO507"/>
      <c r="XDP507"/>
      <c r="XDQ507"/>
      <c r="XDR507"/>
      <c r="XDS507"/>
      <c r="XDT507"/>
      <c r="XDU507"/>
      <c r="XDV507"/>
      <c r="XDW507"/>
      <c r="XDX507"/>
      <c r="XDY507"/>
      <c r="XDZ507"/>
      <c r="XEA507"/>
      <c r="XEB507"/>
      <c r="XEC507"/>
      <c r="XED507"/>
      <c r="XEE507"/>
      <c r="XEF507"/>
      <c r="XEG507"/>
      <c r="XEH507"/>
      <c r="XEI507"/>
      <c r="XEJ507"/>
      <c r="XEK507"/>
      <c r="XEL507"/>
      <c r="XEM507"/>
      <c r="XEN507"/>
      <c r="XEO507"/>
      <c r="XEP507"/>
      <c r="XEQ507"/>
      <c r="XER507"/>
      <c r="XES507"/>
      <c r="XET507"/>
      <c r="XEU507"/>
      <c r="XEV507"/>
      <c r="XEW507"/>
      <c r="XEX507"/>
      <c r="XEY507"/>
      <c r="XEZ507"/>
      <c r="XFA507"/>
      <c r="XFB507"/>
      <c r="XFC507"/>
      <c r="XFD507"/>
    </row>
    <row r="508" spans="1:18 16327:16384" s="26" customFormat="1" ht="29.1" customHeight="1" outlineLevel="3" x14ac:dyDescent="0.25">
      <c r="A508" s="42" t="s">
        <v>863</v>
      </c>
      <c r="B508" s="43"/>
      <c r="C508" s="66" t="s">
        <v>864</v>
      </c>
      <c r="D508" s="66"/>
      <c r="E508" s="43" t="s">
        <v>34</v>
      </c>
      <c r="F508" s="44"/>
      <c r="G508" s="43" t="s">
        <v>31</v>
      </c>
      <c r="H508" s="45">
        <v>1</v>
      </c>
      <c r="I508" s="46">
        <f>163</f>
        <v>163</v>
      </c>
      <c r="J508" s="23"/>
      <c r="K508" s="47"/>
      <c r="L508" s="48"/>
      <c r="M508" s="49"/>
      <c r="N508" s="49">
        <f t="shared" si="16"/>
        <v>0</v>
      </c>
      <c r="O508" s="49"/>
      <c r="P508" s="49"/>
      <c r="Q508" s="49"/>
      <c r="R508" s="23"/>
      <c r="XCY508"/>
      <c r="XCZ508"/>
      <c r="XDA508"/>
      <c r="XDB508"/>
      <c r="XDC508"/>
      <c r="XDD508"/>
      <c r="XDE508"/>
      <c r="XDF508"/>
      <c r="XDG508"/>
      <c r="XDH508"/>
      <c r="XDI508"/>
      <c r="XDJ508"/>
      <c r="XDK508"/>
      <c r="XDL508"/>
      <c r="XDM508"/>
      <c r="XDN508"/>
      <c r="XDO508"/>
      <c r="XDP508"/>
      <c r="XDQ508"/>
      <c r="XDR508"/>
      <c r="XDS508"/>
      <c r="XDT508"/>
      <c r="XDU508"/>
      <c r="XDV508"/>
      <c r="XDW508"/>
      <c r="XDX508"/>
      <c r="XDY508"/>
      <c r="XDZ508"/>
      <c r="XEA508"/>
      <c r="XEB508"/>
      <c r="XEC508"/>
      <c r="XED508"/>
      <c r="XEE508"/>
      <c r="XEF508"/>
      <c r="XEG508"/>
      <c r="XEH508"/>
      <c r="XEI508"/>
      <c r="XEJ508"/>
      <c r="XEK508"/>
      <c r="XEL508"/>
      <c r="XEM508"/>
      <c r="XEN508"/>
      <c r="XEO508"/>
      <c r="XEP508"/>
      <c r="XEQ508"/>
      <c r="XER508"/>
      <c r="XES508"/>
      <c r="XET508"/>
      <c r="XEU508"/>
      <c r="XEV508"/>
      <c r="XEW508"/>
      <c r="XEX508"/>
      <c r="XEY508"/>
      <c r="XEZ508"/>
      <c r="XFA508"/>
      <c r="XFB508"/>
      <c r="XFC508"/>
      <c r="XFD508"/>
    </row>
    <row r="509" spans="1:18 16327:16384" s="26" customFormat="1" ht="29.1" customHeight="1" outlineLevel="2" x14ac:dyDescent="0.25">
      <c r="A509" s="34" t="s">
        <v>865</v>
      </c>
      <c r="B509" s="35"/>
      <c r="C509" s="65" t="s">
        <v>842</v>
      </c>
      <c r="D509" s="65"/>
      <c r="E509" s="35"/>
      <c r="F509" s="36" t="s">
        <v>866</v>
      </c>
      <c r="G509" s="35" t="s">
        <v>65</v>
      </c>
      <c r="H509" s="37"/>
      <c r="I509" s="38">
        <f>969</f>
        <v>969</v>
      </c>
      <c r="J509" s="23"/>
      <c r="K509" s="39"/>
      <c r="L509" s="40"/>
      <c r="M509" s="41">
        <f>K509+L509</f>
        <v>0</v>
      </c>
      <c r="N509" s="41">
        <f t="shared" si="16"/>
        <v>0</v>
      </c>
      <c r="O509" s="41">
        <f>ROUND((I509*L509),2)</f>
        <v>0</v>
      </c>
      <c r="P509" s="41">
        <f>ROUND((I509*M509),2)</f>
        <v>0</v>
      </c>
      <c r="Q509" s="41"/>
      <c r="R509" s="23"/>
      <c r="XCY509"/>
      <c r="XCZ509"/>
      <c r="XDA509"/>
      <c r="XDB509"/>
      <c r="XDC509"/>
      <c r="XDD509"/>
      <c r="XDE509"/>
      <c r="XDF509"/>
      <c r="XDG509"/>
      <c r="XDH509"/>
      <c r="XDI509"/>
      <c r="XDJ509"/>
      <c r="XDK509"/>
      <c r="XDL509"/>
      <c r="XDM509"/>
      <c r="XDN509"/>
      <c r="XDO509"/>
      <c r="XDP509"/>
      <c r="XDQ509"/>
      <c r="XDR509"/>
      <c r="XDS509"/>
      <c r="XDT509"/>
      <c r="XDU509"/>
      <c r="XDV509"/>
      <c r="XDW509"/>
      <c r="XDX509"/>
      <c r="XDY509"/>
      <c r="XDZ509"/>
      <c r="XEA509"/>
      <c r="XEB509"/>
      <c r="XEC509"/>
      <c r="XED509"/>
      <c r="XEE509"/>
      <c r="XEF509"/>
      <c r="XEG509"/>
      <c r="XEH509"/>
      <c r="XEI509"/>
      <c r="XEJ509"/>
      <c r="XEK509"/>
      <c r="XEL509"/>
      <c r="XEM509"/>
      <c r="XEN509"/>
      <c r="XEO509"/>
      <c r="XEP509"/>
      <c r="XEQ509"/>
      <c r="XER509"/>
      <c r="XES509"/>
      <c r="XET509"/>
      <c r="XEU509"/>
      <c r="XEV509"/>
      <c r="XEW509"/>
      <c r="XEX509"/>
      <c r="XEY509"/>
      <c r="XEZ509"/>
      <c r="XFA509"/>
      <c r="XFB509"/>
      <c r="XFC509"/>
      <c r="XFD509"/>
    </row>
    <row r="510" spans="1:18 16327:16384" s="26" customFormat="1" ht="29.1" customHeight="1" outlineLevel="3" x14ac:dyDescent="0.25">
      <c r="A510" s="42" t="s">
        <v>867</v>
      </c>
      <c r="B510" s="43"/>
      <c r="C510" s="66" t="s">
        <v>868</v>
      </c>
      <c r="D510" s="66"/>
      <c r="E510" s="43" t="s">
        <v>34</v>
      </c>
      <c r="F510" s="44"/>
      <c r="G510" s="43" t="s">
        <v>65</v>
      </c>
      <c r="H510" s="45">
        <v>1.03</v>
      </c>
      <c r="I510" s="46">
        <f>140.08</f>
        <v>140.08000000000001</v>
      </c>
      <c r="J510" s="23"/>
      <c r="K510" s="47"/>
      <c r="L510" s="48"/>
      <c r="M510" s="49"/>
      <c r="N510" s="49">
        <f t="shared" si="16"/>
        <v>0</v>
      </c>
      <c r="O510" s="49"/>
      <c r="P510" s="49"/>
      <c r="Q510" s="49"/>
      <c r="R510" s="23"/>
      <c r="XCY510"/>
      <c r="XCZ510"/>
      <c r="XDA510"/>
      <c r="XDB510"/>
      <c r="XDC510"/>
      <c r="XDD510"/>
      <c r="XDE510"/>
      <c r="XDF510"/>
      <c r="XDG510"/>
      <c r="XDH510"/>
      <c r="XDI510"/>
      <c r="XDJ510"/>
      <c r="XDK510"/>
      <c r="XDL510"/>
      <c r="XDM510"/>
      <c r="XDN510"/>
      <c r="XDO510"/>
      <c r="XDP510"/>
      <c r="XDQ510"/>
      <c r="XDR510"/>
      <c r="XDS510"/>
      <c r="XDT510"/>
      <c r="XDU510"/>
      <c r="XDV510"/>
      <c r="XDW510"/>
      <c r="XDX510"/>
      <c r="XDY510"/>
      <c r="XDZ510"/>
      <c r="XEA510"/>
      <c r="XEB510"/>
      <c r="XEC510"/>
      <c r="XED510"/>
      <c r="XEE510"/>
      <c r="XEF510"/>
      <c r="XEG510"/>
      <c r="XEH510"/>
      <c r="XEI510"/>
      <c r="XEJ510"/>
      <c r="XEK510"/>
      <c r="XEL510"/>
      <c r="XEM510"/>
      <c r="XEN510"/>
      <c r="XEO510"/>
      <c r="XEP510"/>
      <c r="XEQ510"/>
      <c r="XER510"/>
      <c r="XES510"/>
      <c r="XET510"/>
      <c r="XEU510"/>
      <c r="XEV510"/>
      <c r="XEW510"/>
      <c r="XEX510"/>
      <c r="XEY510"/>
      <c r="XEZ510"/>
      <c r="XFA510"/>
      <c r="XFB510"/>
      <c r="XFC510"/>
      <c r="XFD510"/>
    </row>
    <row r="511" spans="1:18 16327:16384" s="26" customFormat="1" ht="29.1" customHeight="1" outlineLevel="3" x14ac:dyDescent="0.25">
      <c r="A511" s="42" t="s">
        <v>869</v>
      </c>
      <c r="B511" s="43"/>
      <c r="C511" s="66" t="s">
        <v>847</v>
      </c>
      <c r="D511" s="66"/>
      <c r="E511" s="43" t="s">
        <v>34</v>
      </c>
      <c r="F511" s="44"/>
      <c r="G511" s="43" t="s">
        <v>31</v>
      </c>
      <c r="H511" s="45">
        <v>1</v>
      </c>
      <c r="I511" s="46">
        <f>62</f>
        <v>62</v>
      </c>
      <c r="J511" s="23"/>
      <c r="K511" s="47"/>
      <c r="L511" s="48"/>
      <c r="M511" s="49"/>
      <c r="N511" s="49">
        <f t="shared" si="16"/>
        <v>0</v>
      </c>
      <c r="O511" s="49"/>
      <c r="P511" s="49"/>
      <c r="Q511" s="49"/>
      <c r="R511" s="23"/>
      <c r="XCY511"/>
      <c r="XCZ511"/>
      <c r="XDA511"/>
      <c r="XDB511"/>
      <c r="XDC511"/>
      <c r="XDD511"/>
      <c r="XDE511"/>
      <c r="XDF511"/>
      <c r="XDG511"/>
      <c r="XDH511"/>
      <c r="XDI511"/>
      <c r="XDJ511"/>
      <c r="XDK511"/>
      <c r="XDL511"/>
      <c r="XDM511"/>
      <c r="XDN511"/>
      <c r="XDO511"/>
      <c r="XDP511"/>
      <c r="XDQ511"/>
      <c r="XDR511"/>
      <c r="XDS511"/>
      <c r="XDT511"/>
      <c r="XDU511"/>
      <c r="XDV511"/>
      <c r="XDW511"/>
      <c r="XDX511"/>
      <c r="XDY511"/>
      <c r="XDZ511"/>
      <c r="XEA511"/>
      <c r="XEB511"/>
      <c r="XEC511"/>
      <c r="XED511"/>
      <c r="XEE511"/>
      <c r="XEF511"/>
      <c r="XEG511"/>
      <c r="XEH511"/>
      <c r="XEI511"/>
      <c r="XEJ511"/>
      <c r="XEK511"/>
      <c r="XEL511"/>
      <c r="XEM511"/>
      <c r="XEN511"/>
      <c r="XEO511"/>
      <c r="XEP511"/>
      <c r="XEQ511"/>
      <c r="XER511"/>
      <c r="XES511"/>
      <c r="XET511"/>
      <c r="XEU511"/>
      <c r="XEV511"/>
      <c r="XEW511"/>
      <c r="XEX511"/>
      <c r="XEY511"/>
      <c r="XEZ511"/>
      <c r="XFA511"/>
      <c r="XFB511"/>
      <c r="XFC511"/>
      <c r="XFD511"/>
    </row>
    <row r="512" spans="1:18 16327:16384" s="26" customFormat="1" ht="29.1" customHeight="1" outlineLevel="3" x14ac:dyDescent="0.25">
      <c r="A512" s="42" t="s">
        <v>870</v>
      </c>
      <c r="B512" s="43"/>
      <c r="C512" s="66" t="s">
        <v>871</v>
      </c>
      <c r="D512" s="66"/>
      <c r="E512" s="43" t="s">
        <v>34</v>
      </c>
      <c r="F512" s="44"/>
      <c r="G512" s="43" t="s">
        <v>31</v>
      </c>
      <c r="H512" s="45">
        <v>1</v>
      </c>
      <c r="I512" s="46">
        <f>145</f>
        <v>145</v>
      </c>
      <c r="J512" s="23"/>
      <c r="K512" s="47"/>
      <c r="L512" s="48"/>
      <c r="M512" s="49"/>
      <c r="N512" s="49">
        <f t="shared" si="16"/>
        <v>0</v>
      </c>
      <c r="O512" s="49"/>
      <c r="P512" s="49"/>
      <c r="Q512" s="49"/>
      <c r="R512" s="23"/>
      <c r="XCY512"/>
      <c r="XCZ512"/>
      <c r="XDA512"/>
      <c r="XDB512"/>
      <c r="XDC512"/>
      <c r="XDD512"/>
      <c r="XDE512"/>
      <c r="XDF512"/>
      <c r="XDG512"/>
      <c r="XDH512"/>
      <c r="XDI512"/>
      <c r="XDJ512"/>
      <c r="XDK512"/>
      <c r="XDL512"/>
      <c r="XDM512"/>
      <c r="XDN512"/>
      <c r="XDO512"/>
      <c r="XDP512"/>
      <c r="XDQ512"/>
      <c r="XDR512"/>
      <c r="XDS512"/>
      <c r="XDT512"/>
      <c r="XDU512"/>
      <c r="XDV512"/>
      <c r="XDW512"/>
      <c r="XDX512"/>
      <c r="XDY512"/>
      <c r="XDZ512"/>
      <c r="XEA512"/>
      <c r="XEB512"/>
      <c r="XEC512"/>
      <c r="XED512"/>
      <c r="XEE512"/>
      <c r="XEF512"/>
      <c r="XEG512"/>
      <c r="XEH512"/>
      <c r="XEI512"/>
      <c r="XEJ512"/>
      <c r="XEK512"/>
      <c r="XEL512"/>
      <c r="XEM512"/>
      <c r="XEN512"/>
      <c r="XEO512"/>
      <c r="XEP512"/>
      <c r="XEQ512"/>
      <c r="XER512"/>
      <c r="XES512"/>
      <c r="XET512"/>
      <c r="XEU512"/>
      <c r="XEV512"/>
      <c r="XEW512"/>
      <c r="XEX512"/>
      <c r="XEY512"/>
      <c r="XEZ512"/>
      <c r="XFA512"/>
      <c r="XFB512"/>
      <c r="XFC512"/>
      <c r="XFD512"/>
    </row>
    <row r="513" spans="1:18 16327:16384" s="26" customFormat="1" ht="114" customHeight="1" outlineLevel="3" x14ac:dyDescent="0.25">
      <c r="A513" s="42" t="s">
        <v>872</v>
      </c>
      <c r="B513" s="43"/>
      <c r="C513" s="66" t="s">
        <v>873</v>
      </c>
      <c r="D513" s="66"/>
      <c r="E513" s="43" t="s">
        <v>34</v>
      </c>
      <c r="F513" s="44"/>
      <c r="G513" s="43" t="s">
        <v>31</v>
      </c>
      <c r="H513" s="45">
        <v>1</v>
      </c>
      <c r="I513" s="46">
        <f>969</f>
        <v>969</v>
      </c>
      <c r="J513" s="23"/>
      <c r="K513" s="47"/>
      <c r="L513" s="48"/>
      <c r="M513" s="49"/>
      <c r="N513" s="49">
        <f t="shared" si="16"/>
        <v>0</v>
      </c>
      <c r="O513" s="49"/>
      <c r="P513" s="49"/>
      <c r="Q513" s="49"/>
      <c r="R513" s="23"/>
      <c r="XCY513"/>
      <c r="XCZ513"/>
      <c r="XDA513"/>
      <c r="XDB513"/>
      <c r="XDC513"/>
      <c r="XDD513"/>
      <c r="XDE513"/>
      <c r="XDF513"/>
      <c r="XDG513"/>
      <c r="XDH513"/>
      <c r="XDI513"/>
      <c r="XDJ513"/>
      <c r="XDK513"/>
      <c r="XDL513"/>
      <c r="XDM513"/>
      <c r="XDN513"/>
      <c r="XDO513"/>
      <c r="XDP513"/>
      <c r="XDQ513"/>
      <c r="XDR513"/>
      <c r="XDS513"/>
      <c r="XDT513"/>
      <c r="XDU513"/>
      <c r="XDV513"/>
      <c r="XDW513"/>
      <c r="XDX513"/>
      <c r="XDY513"/>
      <c r="XDZ513"/>
      <c r="XEA513"/>
      <c r="XEB513"/>
      <c r="XEC513"/>
      <c r="XED513"/>
      <c r="XEE513"/>
      <c r="XEF513"/>
      <c r="XEG513"/>
      <c r="XEH513"/>
      <c r="XEI513"/>
      <c r="XEJ513"/>
      <c r="XEK513"/>
      <c r="XEL513"/>
      <c r="XEM513"/>
      <c r="XEN513"/>
      <c r="XEO513"/>
      <c r="XEP513"/>
      <c r="XEQ513"/>
      <c r="XER513"/>
      <c r="XES513"/>
      <c r="XET513"/>
      <c r="XEU513"/>
      <c r="XEV513"/>
      <c r="XEW513"/>
      <c r="XEX513"/>
      <c r="XEY513"/>
      <c r="XEZ513"/>
      <c r="XFA513"/>
      <c r="XFB513"/>
      <c r="XFC513"/>
      <c r="XFD513"/>
    </row>
    <row r="514" spans="1:18 16327:16384" s="26" customFormat="1" ht="29.1" customHeight="1" outlineLevel="3" x14ac:dyDescent="0.25">
      <c r="A514" s="42" t="s">
        <v>874</v>
      </c>
      <c r="B514" s="43"/>
      <c r="C514" s="66" t="s">
        <v>849</v>
      </c>
      <c r="D514" s="66"/>
      <c r="E514" s="43" t="s">
        <v>34</v>
      </c>
      <c r="F514" s="44"/>
      <c r="G514" s="43" t="s">
        <v>31</v>
      </c>
      <c r="H514" s="45">
        <v>1</v>
      </c>
      <c r="I514" s="46">
        <f>2</f>
        <v>2</v>
      </c>
      <c r="J514" s="23"/>
      <c r="K514" s="47"/>
      <c r="L514" s="48"/>
      <c r="M514" s="49"/>
      <c r="N514" s="49">
        <f t="shared" si="16"/>
        <v>0</v>
      </c>
      <c r="O514" s="49"/>
      <c r="P514" s="49"/>
      <c r="Q514" s="49"/>
      <c r="R514" s="23"/>
      <c r="XCY514"/>
      <c r="XCZ514"/>
      <c r="XDA514"/>
      <c r="XDB514"/>
      <c r="XDC514"/>
      <c r="XDD514"/>
      <c r="XDE514"/>
      <c r="XDF514"/>
      <c r="XDG514"/>
      <c r="XDH514"/>
      <c r="XDI514"/>
      <c r="XDJ514"/>
      <c r="XDK514"/>
      <c r="XDL514"/>
      <c r="XDM514"/>
      <c r="XDN514"/>
      <c r="XDO514"/>
      <c r="XDP514"/>
      <c r="XDQ514"/>
      <c r="XDR514"/>
      <c r="XDS514"/>
      <c r="XDT514"/>
      <c r="XDU514"/>
      <c r="XDV514"/>
      <c r="XDW514"/>
      <c r="XDX514"/>
      <c r="XDY514"/>
      <c r="XDZ514"/>
      <c r="XEA514"/>
      <c r="XEB514"/>
      <c r="XEC514"/>
      <c r="XED514"/>
      <c r="XEE514"/>
      <c r="XEF514"/>
      <c r="XEG514"/>
      <c r="XEH514"/>
      <c r="XEI514"/>
      <c r="XEJ514"/>
      <c r="XEK514"/>
      <c r="XEL514"/>
      <c r="XEM514"/>
      <c r="XEN514"/>
      <c r="XEO514"/>
      <c r="XEP514"/>
      <c r="XEQ514"/>
      <c r="XER514"/>
      <c r="XES514"/>
      <c r="XET514"/>
      <c r="XEU514"/>
      <c r="XEV514"/>
      <c r="XEW514"/>
      <c r="XEX514"/>
      <c r="XEY514"/>
      <c r="XEZ514"/>
      <c r="XFA514"/>
      <c r="XFB514"/>
      <c r="XFC514"/>
      <c r="XFD514"/>
    </row>
    <row r="515" spans="1:18 16327:16384" s="26" customFormat="1" ht="29.1" customHeight="1" outlineLevel="2" x14ac:dyDescent="0.25">
      <c r="A515" s="34" t="s">
        <v>875</v>
      </c>
      <c r="B515" s="35"/>
      <c r="C515" s="65" t="s">
        <v>842</v>
      </c>
      <c r="D515" s="65"/>
      <c r="E515" s="35"/>
      <c r="F515" s="36" t="s">
        <v>866</v>
      </c>
      <c r="G515" s="35" t="s">
        <v>65</v>
      </c>
      <c r="H515" s="37"/>
      <c r="I515" s="38">
        <f>2263</f>
        <v>2263</v>
      </c>
      <c r="J515" s="23"/>
      <c r="K515" s="39"/>
      <c r="L515" s="40"/>
      <c r="M515" s="41">
        <f>K515+L515</f>
        <v>0</v>
      </c>
      <c r="N515" s="41">
        <f t="shared" si="16"/>
        <v>0</v>
      </c>
      <c r="O515" s="41">
        <f>ROUND((I515*L515),2)</f>
        <v>0</v>
      </c>
      <c r="P515" s="41">
        <f>ROUND((I515*M515),2)</f>
        <v>0</v>
      </c>
      <c r="Q515" s="41"/>
      <c r="R515" s="23"/>
      <c r="XCY515"/>
      <c r="XCZ515"/>
      <c r="XDA515"/>
      <c r="XDB515"/>
      <c r="XDC515"/>
      <c r="XDD515"/>
      <c r="XDE515"/>
      <c r="XDF515"/>
      <c r="XDG515"/>
      <c r="XDH515"/>
      <c r="XDI515"/>
      <c r="XDJ515"/>
      <c r="XDK515"/>
      <c r="XDL515"/>
      <c r="XDM515"/>
      <c r="XDN515"/>
      <c r="XDO515"/>
      <c r="XDP515"/>
      <c r="XDQ515"/>
      <c r="XDR515"/>
      <c r="XDS515"/>
      <c r="XDT515"/>
      <c r="XDU515"/>
      <c r="XDV515"/>
      <c r="XDW515"/>
      <c r="XDX515"/>
      <c r="XDY515"/>
      <c r="XDZ515"/>
      <c r="XEA515"/>
      <c r="XEB515"/>
      <c r="XEC515"/>
      <c r="XED515"/>
      <c r="XEE515"/>
      <c r="XEF515"/>
      <c r="XEG515"/>
      <c r="XEH515"/>
      <c r="XEI515"/>
      <c r="XEJ515"/>
      <c r="XEK515"/>
      <c r="XEL515"/>
      <c r="XEM515"/>
      <c r="XEN515"/>
      <c r="XEO515"/>
      <c r="XEP515"/>
      <c r="XEQ515"/>
      <c r="XER515"/>
      <c r="XES515"/>
      <c r="XET515"/>
      <c r="XEU515"/>
      <c r="XEV515"/>
      <c r="XEW515"/>
      <c r="XEX515"/>
      <c r="XEY515"/>
      <c r="XEZ515"/>
      <c r="XFA515"/>
      <c r="XFB515"/>
      <c r="XFC515"/>
      <c r="XFD515"/>
    </row>
    <row r="516" spans="1:18 16327:16384" s="26" customFormat="1" ht="29.1" customHeight="1" outlineLevel="3" x14ac:dyDescent="0.25">
      <c r="A516" s="42" t="s">
        <v>876</v>
      </c>
      <c r="B516" s="43"/>
      <c r="C516" s="66" t="s">
        <v>877</v>
      </c>
      <c r="D516" s="66"/>
      <c r="E516" s="43" t="s">
        <v>34</v>
      </c>
      <c r="F516" s="44"/>
      <c r="G516" s="43" t="s">
        <v>65</v>
      </c>
      <c r="H516" s="45">
        <v>1.03</v>
      </c>
      <c r="I516" s="46">
        <f>2330.89</f>
        <v>2330.89</v>
      </c>
      <c r="J516" s="23"/>
      <c r="K516" s="47"/>
      <c r="L516" s="48"/>
      <c r="M516" s="49"/>
      <c r="N516" s="49">
        <f t="shared" si="16"/>
        <v>0</v>
      </c>
      <c r="O516" s="49"/>
      <c r="P516" s="49"/>
      <c r="Q516" s="49"/>
      <c r="R516" s="23"/>
      <c r="XCY516"/>
      <c r="XCZ516"/>
      <c r="XDA516"/>
      <c r="XDB516"/>
      <c r="XDC516"/>
      <c r="XDD516"/>
      <c r="XDE516"/>
      <c r="XDF516"/>
      <c r="XDG516"/>
      <c r="XDH516"/>
      <c r="XDI516"/>
      <c r="XDJ516"/>
      <c r="XDK516"/>
      <c r="XDL516"/>
      <c r="XDM516"/>
      <c r="XDN516"/>
      <c r="XDO516"/>
      <c r="XDP516"/>
      <c r="XDQ516"/>
      <c r="XDR516"/>
      <c r="XDS516"/>
      <c r="XDT516"/>
      <c r="XDU516"/>
      <c r="XDV516"/>
      <c r="XDW516"/>
      <c r="XDX516"/>
      <c r="XDY516"/>
      <c r="XDZ516"/>
      <c r="XEA516"/>
      <c r="XEB516"/>
      <c r="XEC516"/>
      <c r="XED516"/>
      <c r="XEE516"/>
      <c r="XEF516"/>
      <c r="XEG516"/>
      <c r="XEH516"/>
      <c r="XEI516"/>
      <c r="XEJ516"/>
      <c r="XEK516"/>
      <c r="XEL516"/>
      <c r="XEM516"/>
      <c r="XEN516"/>
      <c r="XEO516"/>
      <c r="XEP516"/>
      <c r="XEQ516"/>
      <c r="XER516"/>
      <c r="XES516"/>
      <c r="XET516"/>
      <c r="XEU516"/>
      <c r="XEV516"/>
      <c r="XEW516"/>
      <c r="XEX516"/>
      <c r="XEY516"/>
      <c r="XEZ516"/>
      <c r="XFA516"/>
      <c r="XFB516"/>
      <c r="XFC516"/>
      <c r="XFD516"/>
    </row>
    <row r="517" spans="1:18 16327:16384" s="26" customFormat="1" ht="29.1" customHeight="1" outlineLevel="3" x14ac:dyDescent="0.25">
      <c r="A517" s="42" t="s">
        <v>878</v>
      </c>
      <c r="B517" s="43"/>
      <c r="C517" s="66" t="s">
        <v>847</v>
      </c>
      <c r="D517" s="66"/>
      <c r="E517" s="43" t="s">
        <v>34</v>
      </c>
      <c r="F517" s="44"/>
      <c r="G517" s="43" t="s">
        <v>31</v>
      </c>
      <c r="H517" s="45">
        <v>1</v>
      </c>
      <c r="I517" s="46">
        <f>969</f>
        <v>969</v>
      </c>
      <c r="J517" s="23"/>
      <c r="K517" s="47"/>
      <c r="L517" s="48"/>
      <c r="M517" s="49"/>
      <c r="N517" s="49">
        <f t="shared" si="16"/>
        <v>0</v>
      </c>
      <c r="O517" s="49"/>
      <c r="P517" s="49"/>
      <c r="Q517" s="49"/>
      <c r="R517" s="23"/>
      <c r="XCY517"/>
      <c r="XCZ517"/>
      <c r="XDA517"/>
      <c r="XDB517"/>
      <c r="XDC517"/>
      <c r="XDD517"/>
      <c r="XDE517"/>
      <c r="XDF517"/>
      <c r="XDG517"/>
      <c r="XDH517"/>
      <c r="XDI517"/>
      <c r="XDJ517"/>
      <c r="XDK517"/>
      <c r="XDL517"/>
      <c r="XDM517"/>
      <c r="XDN517"/>
      <c r="XDO517"/>
      <c r="XDP517"/>
      <c r="XDQ517"/>
      <c r="XDR517"/>
      <c r="XDS517"/>
      <c r="XDT517"/>
      <c r="XDU517"/>
      <c r="XDV517"/>
      <c r="XDW517"/>
      <c r="XDX517"/>
      <c r="XDY517"/>
      <c r="XDZ517"/>
      <c r="XEA517"/>
      <c r="XEB517"/>
      <c r="XEC517"/>
      <c r="XED517"/>
      <c r="XEE517"/>
      <c r="XEF517"/>
      <c r="XEG517"/>
      <c r="XEH517"/>
      <c r="XEI517"/>
      <c r="XEJ517"/>
      <c r="XEK517"/>
      <c r="XEL517"/>
      <c r="XEM517"/>
      <c r="XEN517"/>
      <c r="XEO517"/>
      <c r="XEP517"/>
      <c r="XEQ517"/>
      <c r="XER517"/>
      <c r="XES517"/>
      <c r="XET517"/>
      <c r="XEU517"/>
      <c r="XEV517"/>
      <c r="XEW517"/>
      <c r="XEX517"/>
      <c r="XEY517"/>
      <c r="XEZ517"/>
      <c r="XFA517"/>
      <c r="XFB517"/>
      <c r="XFC517"/>
      <c r="XFD517"/>
    </row>
    <row r="518" spans="1:18 16327:16384" s="26" customFormat="1" ht="39" customHeight="1" outlineLevel="3" x14ac:dyDescent="0.25">
      <c r="A518" s="42" t="s">
        <v>879</v>
      </c>
      <c r="B518" s="43"/>
      <c r="C518" s="66" t="s">
        <v>871</v>
      </c>
      <c r="D518" s="66"/>
      <c r="E518" s="43" t="s">
        <v>34</v>
      </c>
      <c r="F518" s="44"/>
      <c r="G518" s="43" t="s">
        <v>31</v>
      </c>
      <c r="H518" s="45">
        <v>1</v>
      </c>
      <c r="I518" s="46">
        <f>2268</f>
        <v>2268</v>
      </c>
      <c r="J518" s="23"/>
      <c r="K518" s="47"/>
      <c r="L518" s="48"/>
      <c r="M518" s="49"/>
      <c r="N518" s="49">
        <f t="shared" si="16"/>
        <v>0</v>
      </c>
      <c r="O518" s="49"/>
      <c r="P518" s="49"/>
      <c r="Q518" s="49"/>
      <c r="R518" s="23"/>
      <c r="XCY518"/>
      <c r="XCZ518"/>
      <c r="XDA518"/>
      <c r="XDB518"/>
      <c r="XDC518"/>
      <c r="XDD518"/>
      <c r="XDE518"/>
      <c r="XDF518"/>
      <c r="XDG518"/>
      <c r="XDH518"/>
      <c r="XDI518"/>
      <c r="XDJ518"/>
      <c r="XDK518"/>
      <c r="XDL518"/>
      <c r="XDM518"/>
      <c r="XDN518"/>
      <c r="XDO518"/>
      <c r="XDP518"/>
      <c r="XDQ518"/>
      <c r="XDR518"/>
      <c r="XDS518"/>
      <c r="XDT518"/>
      <c r="XDU518"/>
      <c r="XDV518"/>
      <c r="XDW518"/>
      <c r="XDX518"/>
      <c r="XDY518"/>
      <c r="XDZ518"/>
      <c r="XEA518"/>
      <c r="XEB518"/>
      <c r="XEC518"/>
      <c r="XED518"/>
      <c r="XEE518"/>
      <c r="XEF518"/>
      <c r="XEG518"/>
      <c r="XEH518"/>
      <c r="XEI518"/>
      <c r="XEJ518"/>
      <c r="XEK518"/>
      <c r="XEL518"/>
      <c r="XEM518"/>
      <c r="XEN518"/>
      <c r="XEO518"/>
      <c r="XEP518"/>
      <c r="XEQ518"/>
      <c r="XER518"/>
      <c r="XES518"/>
      <c r="XET518"/>
      <c r="XEU518"/>
      <c r="XEV518"/>
      <c r="XEW518"/>
      <c r="XEX518"/>
      <c r="XEY518"/>
      <c r="XEZ518"/>
      <c r="XFA518"/>
      <c r="XFB518"/>
      <c r="XFC518"/>
      <c r="XFD518"/>
    </row>
    <row r="519" spans="1:18 16327:16384" s="26" customFormat="1" ht="120" customHeight="1" outlineLevel="3" x14ac:dyDescent="0.25">
      <c r="A519" s="42" t="s">
        <v>880</v>
      </c>
      <c r="B519" s="43"/>
      <c r="C519" s="66" t="s">
        <v>881</v>
      </c>
      <c r="D519" s="66"/>
      <c r="E519" s="43" t="s">
        <v>34</v>
      </c>
      <c r="F519" s="44"/>
      <c r="G519" s="43" t="s">
        <v>31</v>
      </c>
      <c r="H519" s="45">
        <v>1</v>
      </c>
      <c r="I519" s="46">
        <f>15176</f>
        <v>15176</v>
      </c>
      <c r="J519" s="23"/>
      <c r="K519" s="47"/>
      <c r="L519" s="48"/>
      <c r="M519" s="49"/>
      <c r="N519" s="49">
        <f t="shared" si="16"/>
        <v>0</v>
      </c>
      <c r="O519" s="49"/>
      <c r="P519" s="49"/>
      <c r="Q519" s="49"/>
      <c r="R519" s="23"/>
      <c r="XCY519"/>
      <c r="XCZ519"/>
      <c r="XDA519"/>
      <c r="XDB519"/>
      <c r="XDC519"/>
      <c r="XDD519"/>
      <c r="XDE519"/>
      <c r="XDF519"/>
      <c r="XDG519"/>
      <c r="XDH519"/>
      <c r="XDI519"/>
      <c r="XDJ519"/>
      <c r="XDK519"/>
      <c r="XDL519"/>
      <c r="XDM519"/>
      <c r="XDN519"/>
      <c r="XDO519"/>
      <c r="XDP519"/>
      <c r="XDQ519"/>
      <c r="XDR519"/>
      <c r="XDS519"/>
      <c r="XDT519"/>
      <c r="XDU519"/>
      <c r="XDV519"/>
      <c r="XDW519"/>
      <c r="XDX519"/>
      <c r="XDY519"/>
      <c r="XDZ519"/>
      <c r="XEA519"/>
      <c r="XEB519"/>
      <c r="XEC519"/>
      <c r="XED519"/>
      <c r="XEE519"/>
      <c r="XEF519"/>
      <c r="XEG519"/>
      <c r="XEH519"/>
      <c r="XEI519"/>
      <c r="XEJ519"/>
      <c r="XEK519"/>
      <c r="XEL519"/>
      <c r="XEM519"/>
      <c r="XEN519"/>
      <c r="XEO519"/>
      <c r="XEP519"/>
      <c r="XEQ519"/>
      <c r="XER519"/>
      <c r="XES519"/>
      <c r="XET519"/>
      <c r="XEU519"/>
      <c r="XEV519"/>
      <c r="XEW519"/>
      <c r="XEX519"/>
      <c r="XEY519"/>
      <c r="XEZ519"/>
      <c r="XFA519"/>
      <c r="XFB519"/>
      <c r="XFC519"/>
      <c r="XFD519"/>
    </row>
    <row r="520" spans="1:18 16327:16384" s="26" customFormat="1" ht="29.1" customHeight="1" outlineLevel="3" x14ac:dyDescent="0.25">
      <c r="A520" s="42" t="s">
        <v>882</v>
      </c>
      <c r="B520" s="43"/>
      <c r="C520" s="66" t="s">
        <v>849</v>
      </c>
      <c r="D520" s="66"/>
      <c r="E520" s="43" t="s">
        <v>34</v>
      </c>
      <c r="F520" s="44"/>
      <c r="G520" s="43" t="s">
        <v>31</v>
      </c>
      <c r="H520" s="45">
        <v>1</v>
      </c>
      <c r="I520" s="46">
        <f>28</f>
        <v>28</v>
      </c>
      <c r="J520" s="23"/>
      <c r="K520" s="47"/>
      <c r="L520" s="48"/>
      <c r="M520" s="49"/>
      <c r="N520" s="49">
        <f t="shared" si="16"/>
        <v>0</v>
      </c>
      <c r="O520" s="49"/>
      <c r="P520" s="49"/>
      <c r="Q520" s="49"/>
      <c r="R520" s="23"/>
      <c r="XCY520"/>
      <c r="XCZ520"/>
      <c r="XDA520"/>
      <c r="XDB520"/>
      <c r="XDC520"/>
      <c r="XDD520"/>
      <c r="XDE520"/>
      <c r="XDF520"/>
      <c r="XDG520"/>
      <c r="XDH520"/>
      <c r="XDI520"/>
      <c r="XDJ520"/>
      <c r="XDK520"/>
      <c r="XDL520"/>
      <c r="XDM520"/>
      <c r="XDN520"/>
      <c r="XDO520"/>
      <c r="XDP520"/>
      <c r="XDQ520"/>
      <c r="XDR520"/>
      <c r="XDS520"/>
      <c r="XDT520"/>
      <c r="XDU520"/>
      <c r="XDV520"/>
      <c r="XDW520"/>
      <c r="XDX520"/>
      <c r="XDY520"/>
      <c r="XDZ520"/>
      <c r="XEA520"/>
      <c r="XEB520"/>
      <c r="XEC520"/>
      <c r="XED520"/>
      <c r="XEE520"/>
      <c r="XEF520"/>
      <c r="XEG520"/>
      <c r="XEH520"/>
      <c r="XEI520"/>
      <c r="XEJ520"/>
      <c r="XEK520"/>
      <c r="XEL520"/>
      <c r="XEM520"/>
      <c r="XEN520"/>
      <c r="XEO520"/>
      <c r="XEP520"/>
      <c r="XEQ520"/>
      <c r="XER520"/>
      <c r="XES520"/>
      <c r="XET520"/>
      <c r="XEU520"/>
      <c r="XEV520"/>
      <c r="XEW520"/>
      <c r="XEX520"/>
      <c r="XEY520"/>
      <c r="XEZ520"/>
      <c r="XFA520"/>
      <c r="XFB520"/>
      <c r="XFC520"/>
      <c r="XFD520"/>
    </row>
    <row r="521" spans="1:18 16327:16384" s="26" customFormat="1" ht="29.1" customHeight="1" outlineLevel="2" x14ac:dyDescent="0.25">
      <c r="A521" s="34" t="s">
        <v>883</v>
      </c>
      <c r="B521" s="35"/>
      <c r="C521" s="65" t="s">
        <v>600</v>
      </c>
      <c r="D521" s="65"/>
      <c r="E521" s="35"/>
      <c r="F521" s="36" t="s">
        <v>866</v>
      </c>
      <c r="G521" s="35" t="s">
        <v>31</v>
      </c>
      <c r="H521" s="37"/>
      <c r="I521" s="38">
        <f>132</f>
        <v>132</v>
      </c>
      <c r="J521" s="23"/>
      <c r="K521" s="39"/>
      <c r="L521" s="40"/>
      <c r="M521" s="41">
        <f>K521+L521</f>
        <v>0</v>
      </c>
      <c r="N521" s="41">
        <f t="shared" si="16"/>
        <v>0</v>
      </c>
      <c r="O521" s="41">
        <f>ROUND((I521*L521),2)</f>
        <v>0</v>
      </c>
      <c r="P521" s="41">
        <f>ROUND((I521*M521),2)</f>
        <v>0</v>
      </c>
      <c r="Q521" s="41"/>
      <c r="R521" s="23"/>
      <c r="XCY521"/>
      <c r="XCZ521"/>
      <c r="XDA521"/>
      <c r="XDB521"/>
      <c r="XDC521"/>
      <c r="XDD521"/>
      <c r="XDE521"/>
      <c r="XDF521"/>
      <c r="XDG521"/>
      <c r="XDH521"/>
      <c r="XDI521"/>
      <c r="XDJ521"/>
      <c r="XDK521"/>
      <c r="XDL521"/>
      <c r="XDM521"/>
      <c r="XDN521"/>
      <c r="XDO521"/>
      <c r="XDP521"/>
      <c r="XDQ521"/>
      <c r="XDR521"/>
      <c r="XDS521"/>
      <c r="XDT521"/>
      <c r="XDU521"/>
      <c r="XDV521"/>
      <c r="XDW521"/>
      <c r="XDX521"/>
      <c r="XDY521"/>
      <c r="XDZ521"/>
      <c r="XEA521"/>
      <c r="XEB521"/>
      <c r="XEC521"/>
      <c r="XED521"/>
      <c r="XEE521"/>
      <c r="XEF521"/>
      <c r="XEG521"/>
      <c r="XEH521"/>
      <c r="XEI521"/>
      <c r="XEJ521"/>
      <c r="XEK521"/>
      <c r="XEL521"/>
      <c r="XEM521"/>
      <c r="XEN521"/>
      <c r="XEO521"/>
      <c r="XEP521"/>
      <c r="XEQ521"/>
      <c r="XER521"/>
      <c r="XES521"/>
      <c r="XET521"/>
      <c r="XEU521"/>
      <c r="XEV521"/>
      <c r="XEW521"/>
      <c r="XEX521"/>
      <c r="XEY521"/>
      <c r="XEZ521"/>
      <c r="XFA521"/>
      <c r="XFB521"/>
      <c r="XFC521"/>
      <c r="XFD521"/>
    </row>
    <row r="522" spans="1:18 16327:16384" s="26" customFormat="1" ht="29.1" customHeight="1" outlineLevel="3" x14ac:dyDescent="0.25">
      <c r="A522" s="42" t="s">
        <v>884</v>
      </c>
      <c r="B522" s="43"/>
      <c r="C522" s="66" t="s">
        <v>744</v>
      </c>
      <c r="D522" s="66"/>
      <c r="E522" s="43" t="s">
        <v>34</v>
      </c>
      <c r="F522" s="44"/>
      <c r="G522" s="43" t="s">
        <v>65</v>
      </c>
      <c r="H522" s="45">
        <v>1</v>
      </c>
      <c r="I522" s="46">
        <f>33</f>
        <v>33</v>
      </c>
      <c r="J522" s="23"/>
      <c r="K522" s="47"/>
      <c r="L522" s="48"/>
      <c r="M522" s="49"/>
      <c r="N522" s="49">
        <f t="shared" si="16"/>
        <v>0</v>
      </c>
      <c r="O522" s="49"/>
      <c r="P522" s="49"/>
      <c r="Q522" s="49"/>
      <c r="R522" s="23"/>
      <c r="XCY522"/>
      <c r="XCZ522"/>
      <c r="XDA522"/>
      <c r="XDB522"/>
      <c r="XDC522"/>
      <c r="XDD522"/>
      <c r="XDE522"/>
      <c r="XDF522"/>
      <c r="XDG522"/>
      <c r="XDH522"/>
      <c r="XDI522"/>
      <c r="XDJ522"/>
      <c r="XDK522"/>
      <c r="XDL522"/>
      <c r="XDM522"/>
      <c r="XDN522"/>
      <c r="XDO522"/>
      <c r="XDP522"/>
      <c r="XDQ522"/>
      <c r="XDR522"/>
      <c r="XDS522"/>
      <c r="XDT522"/>
      <c r="XDU522"/>
      <c r="XDV522"/>
      <c r="XDW522"/>
      <c r="XDX522"/>
      <c r="XDY522"/>
      <c r="XDZ522"/>
      <c r="XEA522"/>
      <c r="XEB522"/>
      <c r="XEC522"/>
      <c r="XED522"/>
      <c r="XEE522"/>
      <c r="XEF522"/>
      <c r="XEG522"/>
      <c r="XEH522"/>
      <c r="XEI522"/>
      <c r="XEJ522"/>
      <c r="XEK522"/>
      <c r="XEL522"/>
      <c r="XEM522"/>
      <c r="XEN522"/>
      <c r="XEO522"/>
      <c r="XEP522"/>
      <c r="XEQ522"/>
      <c r="XER522"/>
      <c r="XES522"/>
      <c r="XET522"/>
      <c r="XEU522"/>
      <c r="XEV522"/>
      <c r="XEW522"/>
      <c r="XEX522"/>
      <c r="XEY522"/>
      <c r="XEZ522"/>
      <c r="XFA522"/>
      <c r="XFB522"/>
      <c r="XFC522"/>
      <c r="XFD522"/>
    </row>
    <row r="523" spans="1:18 16327:16384" s="26" customFormat="1" ht="29.1" customHeight="1" outlineLevel="3" x14ac:dyDescent="0.25">
      <c r="A523" s="42" t="s">
        <v>885</v>
      </c>
      <c r="B523" s="43"/>
      <c r="C523" s="66" t="s">
        <v>749</v>
      </c>
      <c r="D523" s="66"/>
      <c r="E523" s="43" t="s">
        <v>34</v>
      </c>
      <c r="F523" s="44"/>
      <c r="G523" s="43" t="s">
        <v>31</v>
      </c>
      <c r="H523" s="45">
        <v>1</v>
      </c>
      <c r="I523" s="46">
        <f>6</f>
        <v>6</v>
      </c>
      <c r="J523" s="23"/>
      <c r="K523" s="47"/>
      <c r="L523" s="48"/>
      <c r="M523" s="49"/>
      <c r="N523" s="49">
        <f t="shared" si="16"/>
        <v>0</v>
      </c>
      <c r="O523" s="49"/>
      <c r="P523" s="49"/>
      <c r="Q523" s="49"/>
      <c r="R523" s="23"/>
      <c r="XCY523"/>
      <c r="XCZ523"/>
      <c r="XDA523"/>
      <c r="XDB523"/>
      <c r="XDC523"/>
      <c r="XDD523"/>
      <c r="XDE523"/>
      <c r="XDF523"/>
      <c r="XDG523"/>
      <c r="XDH523"/>
      <c r="XDI523"/>
      <c r="XDJ523"/>
      <c r="XDK523"/>
      <c r="XDL523"/>
      <c r="XDM523"/>
      <c r="XDN523"/>
      <c r="XDO523"/>
      <c r="XDP523"/>
      <c r="XDQ523"/>
      <c r="XDR523"/>
      <c r="XDS523"/>
      <c r="XDT523"/>
      <c r="XDU523"/>
      <c r="XDV523"/>
      <c r="XDW523"/>
      <c r="XDX523"/>
      <c r="XDY523"/>
      <c r="XDZ523"/>
      <c r="XEA523"/>
      <c r="XEB523"/>
      <c r="XEC523"/>
      <c r="XED523"/>
      <c r="XEE523"/>
      <c r="XEF523"/>
      <c r="XEG523"/>
      <c r="XEH523"/>
      <c r="XEI523"/>
      <c r="XEJ523"/>
      <c r="XEK523"/>
      <c r="XEL523"/>
      <c r="XEM523"/>
      <c r="XEN523"/>
      <c r="XEO523"/>
      <c r="XEP523"/>
      <c r="XEQ523"/>
      <c r="XER523"/>
      <c r="XES523"/>
      <c r="XET523"/>
      <c r="XEU523"/>
      <c r="XEV523"/>
      <c r="XEW523"/>
      <c r="XEX523"/>
      <c r="XEY523"/>
      <c r="XEZ523"/>
      <c r="XFA523"/>
      <c r="XFB523"/>
      <c r="XFC523"/>
      <c r="XFD523"/>
    </row>
    <row r="524" spans="1:18 16327:16384" s="26" customFormat="1" ht="29.1" customHeight="1" outlineLevel="3" x14ac:dyDescent="0.25">
      <c r="A524" s="42" t="s">
        <v>886</v>
      </c>
      <c r="B524" s="43"/>
      <c r="C524" s="66" t="s">
        <v>839</v>
      </c>
      <c r="D524" s="66"/>
      <c r="E524" s="43" t="s">
        <v>34</v>
      </c>
      <c r="F524" s="44"/>
      <c r="G524" s="43" t="s">
        <v>285</v>
      </c>
      <c r="H524" s="45">
        <v>1</v>
      </c>
      <c r="I524" s="46">
        <f>11</f>
        <v>11</v>
      </c>
      <c r="J524" s="23"/>
      <c r="K524" s="47"/>
      <c r="L524" s="48"/>
      <c r="M524" s="49"/>
      <c r="N524" s="49">
        <f t="shared" si="16"/>
        <v>0</v>
      </c>
      <c r="O524" s="49"/>
      <c r="P524" s="49"/>
      <c r="Q524" s="49"/>
      <c r="R524" s="23"/>
      <c r="XCY524"/>
      <c r="XCZ524"/>
      <c r="XDA524"/>
      <c r="XDB524"/>
      <c r="XDC524"/>
      <c r="XDD524"/>
      <c r="XDE524"/>
      <c r="XDF524"/>
      <c r="XDG524"/>
      <c r="XDH524"/>
      <c r="XDI524"/>
      <c r="XDJ524"/>
      <c r="XDK524"/>
      <c r="XDL524"/>
      <c r="XDM524"/>
      <c r="XDN524"/>
      <c r="XDO524"/>
      <c r="XDP524"/>
      <c r="XDQ524"/>
      <c r="XDR524"/>
      <c r="XDS524"/>
      <c r="XDT524"/>
      <c r="XDU524"/>
      <c r="XDV524"/>
      <c r="XDW524"/>
      <c r="XDX524"/>
      <c r="XDY524"/>
      <c r="XDZ524"/>
      <c r="XEA524"/>
      <c r="XEB524"/>
      <c r="XEC524"/>
      <c r="XED524"/>
      <c r="XEE524"/>
      <c r="XEF524"/>
      <c r="XEG524"/>
      <c r="XEH524"/>
      <c r="XEI524"/>
      <c r="XEJ524"/>
      <c r="XEK524"/>
      <c r="XEL524"/>
      <c r="XEM524"/>
      <c r="XEN524"/>
      <c r="XEO524"/>
      <c r="XEP524"/>
      <c r="XEQ524"/>
      <c r="XER524"/>
      <c r="XES524"/>
      <c r="XET524"/>
      <c r="XEU524"/>
      <c r="XEV524"/>
      <c r="XEW524"/>
      <c r="XEX524"/>
      <c r="XEY524"/>
      <c r="XEZ524"/>
      <c r="XFA524"/>
      <c r="XFB524"/>
      <c r="XFC524"/>
      <c r="XFD524"/>
    </row>
    <row r="525" spans="1:18 16327:16384" s="26" customFormat="1" ht="29.1" customHeight="1" outlineLevel="3" x14ac:dyDescent="0.25">
      <c r="A525" s="42" t="s">
        <v>887</v>
      </c>
      <c r="B525" s="43"/>
      <c r="C525" s="66" t="s">
        <v>752</v>
      </c>
      <c r="D525" s="66"/>
      <c r="E525" s="43" t="s">
        <v>34</v>
      </c>
      <c r="F525" s="44"/>
      <c r="G525" s="43" t="s">
        <v>753</v>
      </c>
      <c r="H525" s="45">
        <v>1</v>
      </c>
      <c r="I525" s="46">
        <f>0.2</f>
        <v>0.2</v>
      </c>
      <c r="J525" s="23"/>
      <c r="K525" s="47"/>
      <c r="L525" s="48"/>
      <c r="M525" s="49"/>
      <c r="N525" s="49">
        <f t="shared" si="16"/>
        <v>0</v>
      </c>
      <c r="O525" s="49"/>
      <c r="P525" s="49"/>
      <c r="Q525" s="49"/>
      <c r="R525" s="23"/>
      <c r="XCY525"/>
      <c r="XCZ525"/>
      <c r="XDA525"/>
      <c r="XDB525"/>
      <c r="XDC525"/>
      <c r="XDD525"/>
      <c r="XDE525"/>
      <c r="XDF525"/>
      <c r="XDG525"/>
      <c r="XDH525"/>
      <c r="XDI525"/>
      <c r="XDJ525"/>
      <c r="XDK525"/>
      <c r="XDL525"/>
      <c r="XDM525"/>
      <c r="XDN525"/>
      <c r="XDO525"/>
      <c r="XDP525"/>
      <c r="XDQ525"/>
      <c r="XDR525"/>
      <c r="XDS525"/>
      <c r="XDT525"/>
      <c r="XDU525"/>
      <c r="XDV525"/>
      <c r="XDW525"/>
      <c r="XDX525"/>
      <c r="XDY525"/>
      <c r="XDZ525"/>
      <c r="XEA525"/>
      <c r="XEB525"/>
      <c r="XEC525"/>
      <c r="XED525"/>
      <c r="XEE525"/>
      <c r="XEF525"/>
      <c r="XEG525"/>
      <c r="XEH525"/>
      <c r="XEI525"/>
      <c r="XEJ525"/>
      <c r="XEK525"/>
      <c r="XEL525"/>
      <c r="XEM525"/>
      <c r="XEN525"/>
      <c r="XEO525"/>
      <c r="XEP525"/>
      <c r="XEQ525"/>
      <c r="XER525"/>
      <c r="XES525"/>
      <c r="XET525"/>
      <c r="XEU525"/>
      <c r="XEV525"/>
      <c r="XEW525"/>
      <c r="XEX525"/>
      <c r="XEY525"/>
      <c r="XEZ525"/>
      <c r="XFA525"/>
      <c r="XFB525"/>
      <c r="XFC525"/>
      <c r="XFD525"/>
    </row>
    <row r="526" spans="1:18 16327:16384" s="26" customFormat="1" ht="29.1" customHeight="1" outlineLevel="2" x14ac:dyDescent="0.25">
      <c r="A526" s="34" t="s">
        <v>888</v>
      </c>
      <c r="B526" s="35"/>
      <c r="C526" s="65" t="s">
        <v>889</v>
      </c>
      <c r="D526" s="65"/>
      <c r="E526" s="35"/>
      <c r="F526" s="36" t="s">
        <v>890</v>
      </c>
      <c r="G526" s="35" t="s">
        <v>65</v>
      </c>
      <c r="H526" s="37"/>
      <c r="I526" s="38">
        <f>104</f>
        <v>104</v>
      </c>
      <c r="J526" s="23"/>
      <c r="K526" s="39"/>
      <c r="L526" s="40"/>
      <c r="M526" s="41">
        <f>K526+L526</f>
        <v>0</v>
      </c>
      <c r="N526" s="41">
        <f t="shared" si="16"/>
        <v>0</v>
      </c>
      <c r="O526" s="41">
        <f>ROUND((I526*L526),2)</f>
        <v>0</v>
      </c>
      <c r="P526" s="41">
        <f>ROUND((I526*M526),2)</f>
        <v>0</v>
      </c>
      <c r="Q526" s="41"/>
      <c r="R526" s="23"/>
      <c r="XCY526"/>
      <c r="XCZ526"/>
      <c r="XDA526"/>
      <c r="XDB526"/>
      <c r="XDC526"/>
      <c r="XDD526"/>
      <c r="XDE526"/>
      <c r="XDF526"/>
      <c r="XDG526"/>
      <c r="XDH526"/>
      <c r="XDI526"/>
      <c r="XDJ526"/>
      <c r="XDK526"/>
      <c r="XDL526"/>
      <c r="XDM526"/>
      <c r="XDN526"/>
      <c r="XDO526"/>
      <c r="XDP526"/>
      <c r="XDQ526"/>
      <c r="XDR526"/>
      <c r="XDS526"/>
      <c r="XDT526"/>
      <c r="XDU526"/>
      <c r="XDV526"/>
      <c r="XDW526"/>
      <c r="XDX526"/>
      <c r="XDY526"/>
      <c r="XDZ526"/>
      <c r="XEA526"/>
      <c r="XEB526"/>
      <c r="XEC526"/>
      <c r="XED526"/>
      <c r="XEE526"/>
      <c r="XEF526"/>
      <c r="XEG526"/>
      <c r="XEH526"/>
      <c r="XEI526"/>
      <c r="XEJ526"/>
      <c r="XEK526"/>
      <c r="XEL526"/>
      <c r="XEM526"/>
      <c r="XEN526"/>
      <c r="XEO526"/>
      <c r="XEP526"/>
      <c r="XEQ526"/>
      <c r="XER526"/>
      <c r="XES526"/>
      <c r="XET526"/>
      <c r="XEU526"/>
      <c r="XEV526"/>
      <c r="XEW526"/>
      <c r="XEX526"/>
      <c r="XEY526"/>
      <c r="XEZ526"/>
      <c r="XFA526"/>
      <c r="XFB526"/>
      <c r="XFC526"/>
      <c r="XFD526"/>
    </row>
    <row r="527" spans="1:18 16327:16384" s="26" customFormat="1" ht="29.1" customHeight="1" outlineLevel="3" x14ac:dyDescent="0.25">
      <c r="A527" s="42" t="s">
        <v>891</v>
      </c>
      <c r="B527" s="43"/>
      <c r="C527" s="66" t="s">
        <v>892</v>
      </c>
      <c r="D527" s="66"/>
      <c r="E527" s="43" t="s">
        <v>34</v>
      </c>
      <c r="F527" s="44"/>
      <c r="G527" s="43" t="s">
        <v>65</v>
      </c>
      <c r="H527" s="45">
        <v>1.03</v>
      </c>
      <c r="I527" s="46">
        <f>107.12</f>
        <v>107.12</v>
      </c>
      <c r="J527" s="23"/>
      <c r="K527" s="47"/>
      <c r="L527" s="48"/>
      <c r="M527" s="49"/>
      <c r="N527" s="49">
        <f t="shared" si="16"/>
        <v>0</v>
      </c>
      <c r="O527" s="49"/>
      <c r="P527" s="49"/>
      <c r="Q527" s="49"/>
      <c r="R527" s="23"/>
      <c r="XCY527"/>
      <c r="XCZ527"/>
      <c r="XDA527"/>
      <c r="XDB527"/>
      <c r="XDC527"/>
      <c r="XDD527"/>
      <c r="XDE527"/>
      <c r="XDF527"/>
      <c r="XDG527"/>
      <c r="XDH527"/>
      <c r="XDI527"/>
      <c r="XDJ527"/>
      <c r="XDK527"/>
      <c r="XDL527"/>
      <c r="XDM527"/>
      <c r="XDN527"/>
      <c r="XDO527"/>
      <c r="XDP527"/>
      <c r="XDQ527"/>
      <c r="XDR527"/>
      <c r="XDS527"/>
      <c r="XDT527"/>
      <c r="XDU527"/>
      <c r="XDV527"/>
      <c r="XDW527"/>
      <c r="XDX527"/>
      <c r="XDY527"/>
      <c r="XDZ527"/>
      <c r="XEA527"/>
      <c r="XEB527"/>
      <c r="XEC527"/>
      <c r="XED527"/>
      <c r="XEE527"/>
      <c r="XEF527"/>
      <c r="XEG527"/>
      <c r="XEH527"/>
      <c r="XEI527"/>
      <c r="XEJ527"/>
      <c r="XEK527"/>
      <c r="XEL527"/>
      <c r="XEM527"/>
      <c r="XEN527"/>
      <c r="XEO527"/>
      <c r="XEP527"/>
      <c r="XEQ527"/>
      <c r="XER527"/>
      <c r="XES527"/>
      <c r="XET527"/>
      <c r="XEU527"/>
      <c r="XEV527"/>
      <c r="XEW527"/>
      <c r="XEX527"/>
      <c r="XEY527"/>
      <c r="XEZ527"/>
      <c r="XFA527"/>
      <c r="XFB527"/>
      <c r="XFC527"/>
      <c r="XFD527"/>
    </row>
    <row r="528" spans="1:18 16327:16384" s="26" customFormat="1" ht="29.1" customHeight="1" outlineLevel="3" x14ac:dyDescent="0.25">
      <c r="A528" s="42" t="s">
        <v>893</v>
      </c>
      <c r="B528" s="43"/>
      <c r="C528" s="66" t="s">
        <v>894</v>
      </c>
      <c r="D528" s="66"/>
      <c r="E528" s="43" t="s">
        <v>34</v>
      </c>
      <c r="F528" s="44"/>
      <c r="G528" s="43" t="s">
        <v>31</v>
      </c>
      <c r="H528" s="45">
        <v>1</v>
      </c>
      <c r="I528" s="46">
        <f>35</f>
        <v>35</v>
      </c>
      <c r="J528" s="23"/>
      <c r="K528" s="47"/>
      <c r="L528" s="48"/>
      <c r="M528" s="49"/>
      <c r="N528" s="49">
        <f t="shared" si="16"/>
        <v>0</v>
      </c>
      <c r="O528" s="49"/>
      <c r="P528" s="49"/>
      <c r="Q528" s="49"/>
      <c r="R528" s="23"/>
      <c r="XCY528"/>
      <c r="XCZ528"/>
      <c r="XDA528"/>
      <c r="XDB528"/>
      <c r="XDC528"/>
      <c r="XDD528"/>
      <c r="XDE528"/>
      <c r="XDF528"/>
      <c r="XDG528"/>
      <c r="XDH528"/>
      <c r="XDI528"/>
      <c r="XDJ528"/>
      <c r="XDK528"/>
      <c r="XDL528"/>
      <c r="XDM528"/>
      <c r="XDN528"/>
      <c r="XDO528"/>
      <c r="XDP528"/>
      <c r="XDQ528"/>
      <c r="XDR528"/>
      <c r="XDS528"/>
      <c r="XDT528"/>
      <c r="XDU528"/>
      <c r="XDV528"/>
      <c r="XDW528"/>
      <c r="XDX528"/>
      <c r="XDY528"/>
      <c r="XDZ528"/>
      <c r="XEA528"/>
      <c r="XEB528"/>
      <c r="XEC528"/>
      <c r="XED528"/>
      <c r="XEE528"/>
      <c r="XEF528"/>
      <c r="XEG528"/>
      <c r="XEH528"/>
      <c r="XEI528"/>
      <c r="XEJ528"/>
      <c r="XEK528"/>
      <c r="XEL528"/>
      <c r="XEM528"/>
      <c r="XEN528"/>
      <c r="XEO528"/>
      <c r="XEP528"/>
      <c r="XEQ528"/>
      <c r="XER528"/>
      <c r="XES528"/>
      <c r="XET528"/>
      <c r="XEU528"/>
      <c r="XEV528"/>
      <c r="XEW528"/>
      <c r="XEX528"/>
      <c r="XEY528"/>
      <c r="XEZ528"/>
      <c r="XFA528"/>
      <c r="XFB528"/>
      <c r="XFC528"/>
      <c r="XFD528"/>
    </row>
    <row r="529" spans="1:18 16327:16384" s="26" customFormat="1" ht="29.1" customHeight="1" outlineLevel="3" x14ac:dyDescent="0.25">
      <c r="A529" s="42" t="s">
        <v>895</v>
      </c>
      <c r="B529" s="43"/>
      <c r="C529" s="66" t="s">
        <v>896</v>
      </c>
      <c r="D529" s="66"/>
      <c r="E529" s="43" t="s">
        <v>34</v>
      </c>
      <c r="F529" s="44"/>
      <c r="G529" s="43" t="s">
        <v>31</v>
      </c>
      <c r="H529" s="45">
        <v>1</v>
      </c>
      <c r="I529" s="46">
        <f>23</f>
        <v>23</v>
      </c>
      <c r="J529" s="23"/>
      <c r="K529" s="47"/>
      <c r="L529" s="48"/>
      <c r="M529" s="49"/>
      <c r="N529" s="49">
        <f t="shared" si="16"/>
        <v>0</v>
      </c>
      <c r="O529" s="49"/>
      <c r="P529" s="49"/>
      <c r="Q529" s="49"/>
      <c r="R529" s="23"/>
      <c r="XCY529"/>
      <c r="XCZ529"/>
      <c r="XDA529"/>
      <c r="XDB529"/>
      <c r="XDC529"/>
      <c r="XDD529"/>
      <c r="XDE529"/>
      <c r="XDF529"/>
      <c r="XDG529"/>
      <c r="XDH529"/>
      <c r="XDI529"/>
      <c r="XDJ529"/>
      <c r="XDK529"/>
      <c r="XDL529"/>
      <c r="XDM529"/>
      <c r="XDN529"/>
      <c r="XDO529"/>
      <c r="XDP529"/>
      <c r="XDQ529"/>
      <c r="XDR529"/>
      <c r="XDS529"/>
      <c r="XDT529"/>
      <c r="XDU529"/>
      <c r="XDV529"/>
      <c r="XDW529"/>
      <c r="XDX529"/>
      <c r="XDY529"/>
      <c r="XDZ529"/>
      <c r="XEA529"/>
      <c r="XEB529"/>
      <c r="XEC529"/>
      <c r="XED529"/>
      <c r="XEE529"/>
      <c r="XEF529"/>
      <c r="XEG529"/>
      <c r="XEH529"/>
      <c r="XEI529"/>
      <c r="XEJ529"/>
      <c r="XEK529"/>
      <c r="XEL529"/>
      <c r="XEM529"/>
      <c r="XEN529"/>
      <c r="XEO529"/>
      <c r="XEP529"/>
      <c r="XEQ529"/>
      <c r="XER529"/>
      <c r="XES529"/>
      <c r="XET529"/>
      <c r="XEU529"/>
      <c r="XEV529"/>
      <c r="XEW529"/>
      <c r="XEX529"/>
      <c r="XEY529"/>
      <c r="XEZ529"/>
      <c r="XFA529"/>
      <c r="XFB529"/>
      <c r="XFC529"/>
      <c r="XFD529"/>
    </row>
    <row r="530" spans="1:18 16327:16384" s="26" customFormat="1" ht="29.1" customHeight="1" outlineLevel="3" x14ac:dyDescent="0.25">
      <c r="A530" s="42" t="s">
        <v>897</v>
      </c>
      <c r="B530" s="43"/>
      <c r="C530" s="66" t="s">
        <v>898</v>
      </c>
      <c r="D530" s="66"/>
      <c r="E530" s="43" t="s">
        <v>34</v>
      </c>
      <c r="F530" s="44"/>
      <c r="G530" s="43" t="s">
        <v>31</v>
      </c>
      <c r="H530" s="45">
        <v>1</v>
      </c>
      <c r="I530" s="46">
        <f>23</f>
        <v>23</v>
      </c>
      <c r="J530" s="23"/>
      <c r="K530" s="47"/>
      <c r="L530" s="48"/>
      <c r="M530" s="49"/>
      <c r="N530" s="49">
        <f t="shared" si="16"/>
        <v>0</v>
      </c>
      <c r="O530" s="49"/>
      <c r="P530" s="49"/>
      <c r="Q530" s="49"/>
      <c r="R530" s="23"/>
      <c r="XCY530"/>
      <c r="XCZ530"/>
      <c r="XDA530"/>
      <c r="XDB530"/>
      <c r="XDC530"/>
      <c r="XDD530"/>
      <c r="XDE530"/>
      <c r="XDF530"/>
      <c r="XDG530"/>
      <c r="XDH530"/>
      <c r="XDI530"/>
      <c r="XDJ530"/>
      <c r="XDK530"/>
      <c r="XDL530"/>
      <c r="XDM530"/>
      <c r="XDN530"/>
      <c r="XDO530"/>
      <c r="XDP530"/>
      <c r="XDQ530"/>
      <c r="XDR530"/>
      <c r="XDS530"/>
      <c r="XDT530"/>
      <c r="XDU530"/>
      <c r="XDV530"/>
      <c r="XDW530"/>
      <c r="XDX530"/>
      <c r="XDY530"/>
      <c r="XDZ530"/>
      <c r="XEA530"/>
      <c r="XEB530"/>
      <c r="XEC530"/>
      <c r="XED530"/>
      <c r="XEE530"/>
      <c r="XEF530"/>
      <c r="XEG530"/>
      <c r="XEH530"/>
      <c r="XEI530"/>
      <c r="XEJ530"/>
      <c r="XEK530"/>
      <c r="XEL530"/>
      <c r="XEM530"/>
      <c r="XEN530"/>
      <c r="XEO530"/>
      <c r="XEP530"/>
      <c r="XEQ530"/>
      <c r="XER530"/>
      <c r="XES530"/>
      <c r="XET530"/>
      <c r="XEU530"/>
      <c r="XEV530"/>
      <c r="XEW530"/>
      <c r="XEX530"/>
      <c r="XEY530"/>
      <c r="XEZ530"/>
      <c r="XFA530"/>
      <c r="XFB530"/>
      <c r="XFC530"/>
      <c r="XFD530"/>
    </row>
    <row r="531" spans="1:18 16327:16384" s="26" customFormat="1" ht="29.1" customHeight="1" outlineLevel="3" x14ac:dyDescent="0.25">
      <c r="A531" s="42" t="s">
        <v>899</v>
      </c>
      <c r="B531" s="43"/>
      <c r="C531" s="66" t="s">
        <v>900</v>
      </c>
      <c r="D531" s="66"/>
      <c r="E531" s="43" t="s">
        <v>34</v>
      </c>
      <c r="F531" s="44"/>
      <c r="G531" s="43" t="s">
        <v>31</v>
      </c>
      <c r="H531" s="45">
        <v>1</v>
      </c>
      <c r="I531" s="46">
        <f>2</f>
        <v>2</v>
      </c>
      <c r="J531" s="23"/>
      <c r="K531" s="47"/>
      <c r="L531" s="48"/>
      <c r="M531" s="49"/>
      <c r="N531" s="49">
        <f t="shared" ref="N531:N562" si="17">ROUND((I531*K531),2)</f>
        <v>0</v>
      </c>
      <c r="O531" s="49"/>
      <c r="P531" s="49"/>
      <c r="Q531" s="49"/>
      <c r="R531" s="23"/>
      <c r="XCY531"/>
      <c r="XCZ531"/>
      <c r="XDA531"/>
      <c r="XDB531"/>
      <c r="XDC531"/>
      <c r="XDD531"/>
      <c r="XDE531"/>
      <c r="XDF531"/>
      <c r="XDG531"/>
      <c r="XDH531"/>
      <c r="XDI531"/>
      <c r="XDJ531"/>
      <c r="XDK531"/>
      <c r="XDL531"/>
      <c r="XDM531"/>
      <c r="XDN531"/>
      <c r="XDO531"/>
      <c r="XDP531"/>
      <c r="XDQ531"/>
      <c r="XDR531"/>
      <c r="XDS531"/>
      <c r="XDT531"/>
      <c r="XDU531"/>
      <c r="XDV531"/>
      <c r="XDW531"/>
      <c r="XDX531"/>
      <c r="XDY531"/>
      <c r="XDZ531"/>
      <c r="XEA531"/>
      <c r="XEB531"/>
      <c r="XEC531"/>
      <c r="XED531"/>
      <c r="XEE531"/>
      <c r="XEF531"/>
      <c r="XEG531"/>
      <c r="XEH531"/>
      <c r="XEI531"/>
      <c r="XEJ531"/>
      <c r="XEK531"/>
      <c r="XEL531"/>
      <c r="XEM531"/>
      <c r="XEN531"/>
      <c r="XEO531"/>
      <c r="XEP531"/>
      <c r="XEQ531"/>
      <c r="XER531"/>
      <c r="XES531"/>
      <c r="XET531"/>
      <c r="XEU531"/>
      <c r="XEV531"/>
      <c r="XEW531"/>
      <c r="XEX531"/>
      <c r="XEY531"/>
      <c r="XEZ531"/>
      <c r="XFA531"/>
      <c r="XFB531"/>
      <c r="XFC531"/>
      <c r="XFD531"/>
    </row>
    <row r="532" spans="1:18 16327:16384" s="26" customFormat="1" ht="29.1" customHeight="1" outlineLevel="3" x14ac:dyDescent="0.25">
      <c r="A532" s="42" t="s">
        <v>901</v>
      </c>
      <c r="B532" s="43"/>
      <c r="C532" s="66" t="s">
        <v>902</v>
      </c>
      <c r="D532" s="66"/>
      <c r="E532" s="43" t="s">
        <v>34</v>
      </c>
      <c r="F532" s="44"/>
      <c r="G532" s="43" t="s">
        <v>31</v>
      </c>
      <c r="H532" s="45">
        <v>1</v>
      </c>
      <c r="I532" s="46">
        <f>2</f>
        <v>2</v>
      </c>
      <c r="J532" s="23"/>
      <c r="K532" s="47"/>
      <c r="L532" s="48"/>
      <c r="M532" s="49"/>
      <c r="N532" s="49">
        <f t="shared" si="17"/>
        <v>0</v>
      </c>
      <c r="O532" s="49"/>
      <c r="P532" s="49"/>
      <c r="Q532" s="49"/>
      <c r="R532" s="23"/>
      <c r="XCY532"/>
      <c r="XCZ532"/>
      <c r="XDA532"/>
      <c r="XDB532"/>
      <c r="XDC532"/>
      <c r="XDD532"/>
      <c r="XDE532"/>
      <c r="XDF532"/>
      <c r="XDG532"/>
      <c r="XDH532"/>
      <c r="XDI532"/>
      <c r="XDJ532"/>
      <c r="XDK532"/>
      <c r="XDL532"/>
      <c r="XDM532"/>
      <c r="XDN532"/>
      <c r="XDO532"/>
      <c r="XDP532"/>
      <c r="XDQ532"/>
      <c r="XDR532"/>
      <c r="XDS532"/>
      <c r="XDT532"/>
      <c r="XDU532"/>
      <c r="XDV532"/>
      <c r="XDW532"/>
      <c r="XDX532"/>
      <c r="XDY532"/>
      <c r="XDZ532"/>
      <c r="XEA532"/>
      <c r="XEB532"/>
      <c r="XEC532"/>
      <c r="XED532"/>
      <c r="XEE532"/>
      <c r="XEF532"/>
      <c r="XEG532"/>
      <c r="XEH532"/>
      <c r="XEI532"/>
      <c r="XEJ532"/>
      <c r="XEK532"/>
      <c r="XEL532"/>
      <c r="XEM532"/>
      <c r="XEN532"/>
      <c r="XEO532"/>
      <c r="XEP532"/>
      <c r="XEQ532"/>
      <c r="XER532"/>
      <c r="XES532"/>
      <c r="XET532"/>
      <c r="XEU532"/>
      <c r="XEV532"/>
      <c r="XEW532"/>
      <c r="XEX532"/>
      <c r="XEY532"/>
      <c r="XEZ532"/>
      <c r="XFA532"/>
      <c r="XFB532"/>
      <c r="XFC532"/>
      <c r="XFD532"/>
    </row>
    <row r="533" spans="1:18 16327:16384" s="26" customFormat="1" ht="29.1" customHeight="1" outlineLevel="3" x14ac:dyDescent="0.25">
      <c r="A533" s="42" t="s">
        <v>903</v>
      </c>
      <c r="B533" s="43"/>
      <c r="C533" s="66" t="s">
        <v>904</v>
      </c>
      <c r="D533" s="66"/>
      <c r="E533" s="43" t="s">
        <v>34</v>
      </c>
      <c r="F533" s="44"/>
      <c r="G533" s="43" t="s">
        <v>31</v>
      </c>
      <c r="H533" s="45">
        <v>1</v>
      </c>
      <c r="I533" s="46">
        <f>31</f>
        <v>31</v>
      </c>
      <c r="J533" s="23"/>
      <c r="K533" s="47"/>
      <c r="L533" s="48"/>
      <c r="M533" s="49"/>
      <c r="N533" s="49">
        <f t="shared" si="17"/>
        <v>0</v>
      </c>
      <c r="O533" s="49"/>
      <c r="P533" s="49"/>
      <c r="Q533" s="49"/>
      <c r="R533" s="23"/>
      <c r="XCY533"/>
      <c r="XCZ533"/>
      <c r="XDA533"/>
      <c r="XDB533"/>
      <c r="XDC533"/>
      <c r="XDD533"/>
      <c r="XDE533"/>
      <c r="XDF533"/>
      <c r="XDG533"/>
      <c r="XDH533"/>
      <c r="XDI533"/>
      <c r="XDJ533"/>
      <c r="XDK533"/>
      <c r="XDL533"/>
      <c r="XDM533"/>
      <c r="XDN533"/>
      <c r="XDO533"/>
      <c r="XDP533"/>
      <c r="XDQ533"/>
      <c r="XDR533"/>
      <c r="XDS533"/>
      <c r="XDT533"/>
      <c r="XDU533"/>
      <c r="XDV533"/>
      <c r="XDW533"/>
      <c r="XDX533"/>
      <c r="XDY533"/>
      <c r="XDZ533"/>
      <c r="XEA533"/>
      <c r="XEB533"/>
      <c r="XEC533"/>
      <c r="XED533"/>
      <c r="XEE533"/>
      <c r="XEF533"/>
      <c r="XEG533"/>
      <c r="XEH533"/>
      <c r="XEI533"/>
      <c r="XEJ533"/>
      <c r="XEK533"/>
      <c r="XEL533"/>
      <c r="XEM533"/>
      <c r="XEN533"/>
      <c r="XEO533"/>
      <c r="XEP533"/>
      <c r="XEQ533"/>
      <c r="XER533"/>
      <c r="XES533"/>
      <c r="XET533"/>
      <c r="XEU533"/>
      <c r="XEV533"/>
      <c r="XEW533"/>
      <c r="XEX533"/>
      <c r="XEY533"/>
      <c r="XEZ533"/>
      <c r="XFA533"/>
      <c r="XFB533"/>
      <c r="XFC533"/>
      <c r="XFD533"/>
    </row>
    <row r="534" spans="1:18 16327:16384" s="26" customFormat="1" ht="29.1" customHeight="1" outlineLevel="3" x14ac:dyDescent="0.25">
      <c r="A534" s="42" t="s">
        <v>905</v>
      </c>
      <c r="B534" s="43"/>
      <c r="C534" s="66" t="s">
        <v>906</v>
      </c>
      <c r="D534" s="66"/>
      <c r="E534" s="43" t="s">
        <v>34</v>
      </c>
      <c r="F534" s="44"/>
      <c r="G534" s="43" t="s">
        <v>31</v>
      </c>
      <c r="H534" s="45">
        <v>1</v>
      </c>
      <c r="I534" s="46">
        <f>139</f>
        <v>139</v>
      </c>
      <c r="J534" s="23"/>
      <c r="K534" s="47"/>
      <c r="L534" s="48"/>
      <c r="M534" s="49"/>
      <c r="N534" s="49">
        <f t="shared" si="17"/>
        <v>0</v>
      </c>
      <c r="O534" s="49"/>
      <c r="P534" s="49"/>
      <c r="Q534" s="49"/>
      <c r="R534" s="23"/>
      <c r="XCY534"/>
      <c r="XCZ534"/>
      <c r="XDA534"/>
      <c r="XDB534"/>
      <c r="XDC534"/>
      <c r="XDD534"/>
      <c r="XDE534"/>
      <c r="XDF534"/>
      <c r="XDG534"/>
      <c r="XDH534"/>
      <c r="XDI534"/>
      <c r="XDJ534"/>
      <c r="XDK534"/>
      <c r="XDL534"/>
      <c r="XDM534"/>
      <c r="XDN534"/>
      <c r="XDO534"/>
      <c r="XDP534"/>
      <c r="XDQ534"/>
      <c r="XDR534"/>
      <c r="XDS534"/>
      <c r="XDT534"/>
      <c r="XDU534"/>
      <c r="XDV534"/>
      <c r="XDW534"/>
      <c r="XDX534"/>
      <c r="XDY534"/>
      <c r="XDZ534"/>
      <c r="XEA534"/>
      <c r="XEB534"/>
      <c r="XEC534"/>
      <c r="XED534"/>
      <c r="XEE534"/>
      <c r="XEF534"/>
      <c r="XEG534"/>
      <c r="XEH534"/>
      <c r="XEI534"/>
      <c r="XEJ534"/>
      <c r="XEK534"/>
      <c r="XEL534"/>
      <c r="XEM534"/>
      <c r="XEN534"/>
      <c r="XEO534"/>
      <c r="XEP534"/>
      <c r="XEQ534"/>
      <c r="XER534"/>
      <c r="XES534"/>
      <c r="XET534"/>
      <c r="XEU534"/>
      <c r="XEV534"/>
      <c r="XEW534"/>
      <c r="XEX534"/>
      <c r="XEY534"/>
      <c r="XEZ534"/>
      <c r="XFA534"/>
      <c r="XFB534"/>
      <c r="XFC534"/>
      <c r="XFD534"/>
    </row>
    <row r="535" spans="1:18 16327:16384" s="26" customFormat="1" ht="29.1" customHeight="1" outlineLevel="3" x14ac:dyDescent="0.25">
      <c r="A535" s="42" t="s">
        <v>907</v>
      </c>
      <c r="B535" s="43"/>
      <c r="C535" s="66" t="s">
        <v>908</v>
      </c>
      <c r="D535" s="66"/>
      <c r="E535" s="43" t="s">
        <v>34</v>
      </c>
      <c r="F535" s="44"/>
      <c r="G535" s="43" t="s">
        <v>31</v>
      </c>
      <c r="H535" s="45">
        <v>1</v>
      </c>
      <c r="I535" s="46">
        <f>115</f>
        <v>115</v>
      </c>
      <c r="J535" s="23"/>
      <c r="K535" s="47"/>
      <c r="L535" s="48"/>
      <c r="M535" s="49"/>
      <c r="N535" s="49">
        <f t="shared" si="17"/>
        <v>0</v>
      </c>
      <c r="O535" s="49"/>
      <c r="P535" s="49"/>
      <c r="Q535" s="49"/>
      <c r="R535" s="23"/>
      <c r="XCY535"/>
      <c r="XCZ535"/>
      <c r="XDA535"/>
      <c r="XDB535"/>
      <c r="XDC535"/>
      <c r="XDD535"/>
      <c r="XDE535"/>
      <c r="XDF535"/>
      <c r="XDG535"/>
      <c r="XDH535"/>
      <c r="XDI535"/>
      <c r="XDJ535"/>
      <c r="XDK535"/>
      <c r="XDL535"/>
      <c r="XDM535"/>
      <c r="XDN535"/>
      <c r="XDO535"/>
      <c r="XDP535"/>
      <c r="XDQ535"/>
      <c r="XDR535"/>
      <c r="XDS535"/>
      <c r="XDT535"/>
      <c r="XDU535"/>
      <c r="XDV535"/>
      <c r="XDW535"/>
      <c r="XDX535"/>
      <c r="XDY535"/>
      <c r="XDZ535"/>
      <c r="XEA535"/>
      <c r="XEB535"/>
      <c r="XEC535"/>
      <c r="XED535"/>
      <c r="XEE535"/>
      <c r="XEF535"/>
      <c r="XEG535"/>
      <c r="XEH535"/>
      <c r="XEI535"/>
      <c r="XEJ535"/>
      <c r="XEK535"/>
      <c r="XEL535"/>
      <c r="XEM535"/>
      <c r="XEN535"/>
      <c r="XEO535"/>
      <c r="XEP535"/>
      <c r="XEQ535"/>
      <c r="XER535"/>
      <c r="XES535"/>
      <c r="XET535"/>
      <c r="XEU535"/>
      <c r="XEV535"/>
      <c r="XEW535"/>
      <c r="XEX535"/>
      <c r="XEY535"/>
      <c r="XEZ535"/>
      <c r="XFA535"/>
      <c r="XFB535"/>
      <c r="XFC535"/>
      <c r="XFD535"/>
    </row>
    <row r="536" spans="1:18 16327:16384" s="26" customFormat="1" ht="29.1" customHeight="1" outlineLevel="3" x14ac:dyDescent="0.25">
      <c r="A536" s="42" t="s">
        <v>909</v>
      </c>
      <c r="B536" s="43"/>
      <c r="C536" s="66" t="s">
        <v>910</v>
      </c>
      <c r="D536" s="66"/>
      <c r="E536" s="43" t="s">
        <v>34</v>
      </c>
      <c r="F536" s="44"/>
      <c r="G536" s="43" t="s">
        <v>31</v>
      </c>
      <c r="H536" s="45">
        <v>1</v>
      </c>
      <c r="I536" s="46">
        <f>2042</f>
        <v>2042</v>
      </c>
      <c r="J536" s="23"/>
      <c r="K536" s="47"/>
      <c r="L536" s="48"/>
      <c r="M536" s="49"/>
      <c r="N536" s="49">
        <f t="shared" si="17"/>
        <v>0</v>
      </c>
      <c r="O536" s="49"/>
      <c r="P536" s="49"/>
      <c r="Q536" s="49"/>
      <c r="R536" s="23"/>
      <c r="XCY536"/>
      <c r="XCZ536"/>
      <c r="XDA536"/>
      <c r="XDB536"/>
      <c r="XDC536"/>
      <c r="XDD536"/>
      <c r="XDE536"/>
      <c r="XDF536"/>
      <c r="XDG536"/>
      <c r="XDH536"/>
      <c r="XDI536"/>
      <c r="XDJ536"/>
      <c r="XDK536"/>
      <c r="XDL536"/>
      <c r="XDM536"/>
      <c r="XDN536"/>
      <c r="XDO536"/>
      <c r="XDP536"/>
      <c r="XDQ536"/>
      <c r="XDR536"/>
      <c r="XDS536"/>
      <c r="XDT536"/>
      <c r="XDU536"/>
      <c r="XDV536"/>
      <c r="XDW536"/>
      <c r="XDX536"/>
      <c r="XDY536"/>
      <c r="XDZ536"/>
      <c r="XEA536"/>
      <c r="XEB536"/>
      <c r="XEC536"/>
      <c r="XED536"/>
      <c r="XEE536"/>
      <c r="XEF536"/>
      <c r="XEG536"/>
      <c r="XEH536"/>
      <c r="XEI536"/>
      <c r="XEJ536"/>
      <c r="XEK536"/>
      <c r="XEL536"/>
      <c r="XEM536"/>
      <c r="XEN536"/>
      <c r="XEO536"/>
      <c r="XEP536"/>
      <c r="XEQ536"/>
      <c r="XER536"/>
      <c r="XES536"/>
      <c r="XET536"/>
      <c r="XEU536"/>
      <c r="XEV536"/>
      <c r="XEW536"/>
      <c r="XEX536"/>
      <c r="XEY536"/>
      <c r="XEZ536"/>
      <c r="XFA536"/>
      <c r="XFB536"/>
      <c r="XFC536"/>
      <c r="XFD536"/>
    </row>
    <row r="537" spans="1:18 16327:16384" s="26" customFormat="1" ht="29.1" customHeight="1" outlineLevel="2" x14ac:dyDescent="0.25">
      <c r="A537" s="34" t="s">
        <v>911</v>
      </c>
      <c r="B537" s="35"/>
      <c r="C537" s="65" t="s">
        <v>912</v>
      </c>
      <c r="D537" s="65"/>
      <c r="E537" s="35"/>
      <c r="F537" s="36" t="s">
        <v>890</v>
      </c>
      <c r="G537" s="35" t="s">
        <v>65</v>
      </c>
      <c r="H537" s="37"/>
      <c r="I537" s="38">
        <f>21</f>
        <v>21</v>
      </c>
      <c r="J537" s="23"/>
      <c r="K537" s="39"/>
      <c r="L537" s="40"/>
      <c r="M537" s="41">
        <f>K537+L537</f>
        <v>0</v>
      </c>
      <c r="N537" s="41">
        <f t="shared" si="17"/>
        <v>0</v>
      </c>
      <c r="O537" s="41">
        <f>ROUND((I537*L537),2)</f>
        <v>0</v>
      </c>
      <c r="P537" s="41">
        <f>ROUND((I537*M537),2)</f>
        <v>0</v>
      </c>
      <c r="Q537" s="41"/>
      <c r="R537" s="23"/>
      <c r="XCY537"/>
      <c r="XCZ537"/>
      <c r="XDA537"/>
      <c r="XDB537"/>
      <c r="XDC537"/>
      <c r="XDD537"/>
      <c r="XDE537"/>
      <c r="XDF537"/>
      <c r="XDG537"/>
      <c r="XDH537"/>
      <c r="XDI537"/>
      <c r="XDJ537"/>
      <c r="XDK537"/>
      <c r="XDL537"/>
      <c r="XDM537"/>
      <c r="XDN537"/>
      <c r="XDO537"/>
      <c r="XDP537"/>
      <c r="XDQ537"/>
      <c r="XDR537"/>
      <c r="XDS537"/>
      <c r="XDT537"/>
      <c r="XDU537"/>
      <c r="XDV537"/>
      <c r="XDW537"/>
      <c r="XDX537"/>
      <c r="XDY537"/>
      <c r="XDZ537"/>
      <c r="XEA537"/>
      <c r="XEB537"/>
      <c r="XEC537"/>
      <c r="XED537"/>
      <c r="XEE537"/>
      <c r="XEF537"/>
      <c r="XEG537"/>
      <c r="XEH537"/>
      <c r="XEI537"/>
      <c r="XEJ537"/>
      <c r="XEK537"/>
      <c r="XEL537"/>
      <c r="XEM537"/>
      <c r="XEN537"/>
      <c r="XEO537"/>
      <c r="XEP537"/>
      <c r="XEQ537"/>
      <c r="XER537"/>
      <c r="XES537"/>
      <c r="XET537"/>
      <c r="XEU537"/>
      <c r="XEV537"/>
      <c r="XEW537"/>
      <c r="XEX537"/>
      <c r="XEY537"/>
      <c r="XEZ537"/>
      <c r="XFA537"/>
      <c r="XFB537"/>
      <c r="XFC537"/>
      <c r="XFD537"/>
    </row>
    <row r="538" spans="1:18 16327:16384" s="26" customFormat="1" ht="29.1" customHeight="1" outlineLevel="3" x14ac:dyDescent="0.25">
      <c r="A538" s="42" t="s">
        <v>913</v>
      </c>
      <c r="B538" s="43"/>
      <c r="C538" s="66" t="s">
        <v>914</v>
      </c>
      <c r="D538" s="66"/>
      <c r="E538" s="43" t="s">
        <v>34</v>
      </c>
      <c r="F538" s="44"/>
      <c r="G538" s="43" t="s">
        <v>65</v>
      </c>
      <c r="H538" s="45">
        <v>1.03</v>
      </c>
      <c r="I538" s="46">
        <f>21.63</f>
        <v>21.63</v>
      </c>
      <c r="J538" s="23"/>
      <c r="K538" s="47"/>
      <c r="L538" s="48"/>
      <c r="M538" s="49"/>
      <c r="N538" s="49">
        <f t="shared" si="17"/>
        <v>0</v>
      </c>
      <c r="O538" s="49"/>
      <c r="P538" s="49"/>
      <c r="Q538" s="49"/>
      <c r="R538" s="23"/>
      <c r="XCY538"/>
      <c r="XCZ538"/>
      <c r="XDA538"/>
      <c r="XDB538"/>
      <c r="XDC538"/>
      <c r="XDD538"/>
      <c r="XDE538"/>
      <c r="XDF538"/>
      <c r="XDG538"/>
      <c r="XDH538"/>
      <c r="XDI538"/>
      <c r="XDJ538"/>
      <c r="XDK538"/>
      <c r="XDL538"/>
      <c r="XDM538"/>
      <c r="XDN538"/>
      <c r="XDO538"/>
      <c r="XDP538"/>
      <c r="XDQ538"/>
      <c r="XDR538"/>
      <c r="XDS538"/>
      <c r="XDT538"/>
      <c r="XDU538"/>
      <c r="XDV538"/>
      <c r="XDW538"/>
      <c r="XDX538"/>
      <c r="XDY538"/>
      <c r="XDZ538"/>
      <c r="XEA538"/>
      <c r="XEB538"/>
      <c r="XEC538"/>
      <c r="XED538"/>
      <c r="XEE538"/>
      <c r="XEF538"/>
      <c r="XEG538"/>
      <c r="XEH538"/>
      <c r="XEI538"/>
      <c r="XEJ538"/>
      <c r="XEK538"/>
      <c r="XEL538"/>
      <c r="XEM538"/>
      <c r="XEN538"/>
      <c r="XEO538"/>
      <c r="XEP538"/>
      <c r="XEQ538"/>
      <c r="XER538"/>
      <c r="XES538"/>
      <c r="XET538"/>
      <c r="XEU538"/>
      <c r="XEV538"/>
      <c r="XEW538"/>
      <c r="XEX538"/>
      <c r="XEY538"/>
      <c r="XEZ538"/>
      <c r="XFA538"/>
      <c r="XFB538"/>
      <c r="XFC538"/>
      <c r="XFD538"/>
    </row>
    <row r="539" spans="1:18 16327:16384" s="26" customFormat="1" ht="29.1" customHeight="1" outlineLevel="3" x14ac:dyDescent="0.25">
      <c r="A539" s="42" t="s">
        <v>915</v>
      </c>
      <c r="B539" s="43"/>
      <c r="C539" s="66" t="s">
        <v>916</v>
      </c>
      <c r="D539" s="66"/>
      <c r="E539" s="43" t="s">
        <v>34</v>
      </c>
      <c r="F539" s="44"/>
      <c r="G539" s="43" t="s">
        <v>31</v>
      </c>
      <c r="H539" s="45">
        <v>1</v>
      </c>
      <c r="I539" s="46">
        <f>7</f>
        <v>7</v>
      </c>
      <c r="J539" s="23"/>
      <c r="K539" s="47"/>
      <c r="L539" s="48"/>
      <c r="M539" s="49"/>
      <c r="N539" s="49">
        <f t="shared" si="17"/>
        <v>0</v>
      </c>
      <c r="O539" s="49"/>
      <c r="P539" s="49"/>
      <c r="Q539" s="49"/>
      <c r="R539" s="23"/>
      <c r="XCY539"/>
      <c r="XCZ539"/>
      <c r="XDA539"/>
      <c r="XDB539"/>
      <c r="XDC539"/>
      <c r="XDD539"/>
      <c r="XDE539"/>
      <c r="XDF539"/>
      <c r="XDG539"/>
      <c r="XDH539"/>
      <c r="XDI539"/>
      <c r="XDJ539"/>
      <c r="XDK539"/>
      <c r="XDL539"/>
      <c r="XDM539"/>
      <c r="XDN539"/>
      <c r="XDO539"/>
      <c r="XDP539"/>
      <c r="XDQ539"/>
      <c r="XDR539"/>
      <c r="XDS539"/>
      <c r="XDT539"/>
      <c r="XDU539"/>
      <c r="XDV539"/>
      <c r="XDW539"/>
      <c r="XDX539"/>
      <c r="XDY539"/>
      <c r="XDZ539"/>
      <c r="XEA539"/>
      <c r="XEB539"/>
      <c r="XEC539"/>
      <c r="XED539"/>
      <c r="XEE539"/>
      <c r="XEF539"/>
      <c r="XEG539"/>
      <c r="XEH539"/>
      <c r="XEI539"/>
      <c r="XEJ539"/>
      <c r="XEK539"/>
      <c r="XEL539"/>
      <c r="XEM539"/>
      <c r="XEN539"/>
      <c r="XEO539"/>
      <c r="XEP539"/>
      <c r="XEQ539"/>
      <c r="XER539"/>
      <c r="XES539"/>
      <c r="XET539"/>
      <c r="XEU539"/>
      <c r="XEV539"/>
      <c r="XEW539"/>
      <c r="XEX539"/>
      <c r="XEY539"/>
      <c r="XEZ539"/>
      <c r="XFA539"/>
      <c r="XFB539"/>
      <c r="XFC539"/>
      <c r="XFD539"/>
    </row>
    <row r="540" spans="1:18 16327:16384" s="26" customFormat="1" ht="29.1" customHeight="1" outlineLevel="3" x14ac:dyDescent="0.25">
      <c r="A540" s="42" t="s">
        <v>917</v>
      </c>
      <c r="B540" s="43"/>
      <c r="C540" s="66" t="s">
        <v>918</v>
      </c>
      <c r="D540" s="66"/>
      <c r="E540" s="43" t="s">
        <v>34</v>
      </c>
      <c r="F540" s="44"/>
      <c r="G540" s="43" t="s">
        <v>31</v>
      </c>
      <c r="H540" s="45">
        <v>1</v>
      </c>
      <c r="I540" s="46">
        <f>1</f>
        <v>1</v>
      </c>
      <c r="J540" s="23"/>
      <c r="K540" s="47"/>
      <c r="L540" s="48"/>
      <c r="M540" s="49"/>
      <c r="N540" s="49">
        <f t="shared" si="17"/>
        <v>0</v>
      </c>
      <c r="O540" s="49"/>
      <c r="P540" s="49"/>
      <c r="Q540" s="49"/>
      <c r="R540" s="23"/>
      <c r="XCY540"/>
      <c r="XCZ540"/>
      <c r="XDA540"/>
      <c r="XDB540"/>
      <c r="XDC540"/>
      <c r="XDD540"/>
      <c r="XDE540"/>
      <c r="XDF540"/>
      <c r="XDG540"/>
      <c r="XDH540"/>
      <c r="XDI540"/>
      <c r="XDJ540"/>
      <c r="XDK540"/>
      <c r="XDL540"/>
      <c r="XDM540"/>
      <c r="XDN540"/>
      <c r="XDO540"/>
      <c r="XDP540"/>
      <c r="XDQ540"/>
      <c r="XDR540"/>
      <c r="XDS540"/>
      <c r="XDT540"/>
      <c r="XDU540"/>
      <c r="XDV540"/>
      <c r="XDW540"/>
      <c r="XDX540"/>
      <c r="XDY540"/>
      <c r="XDZ540"/>
      <c r="XEA540"/>
      <c r="XEB540"/>
      <c r="XEC540"/>
      <c r="XED540"/>
      <c r="XEE540"/>
      <c r="XEF540"/>
      <c r="XEG540"/>
      <c r="XEH540"/>
      <c r="XEI540"/>
      <c r="XEJ540"/>
      <c r="XEK540"/>
      <c r="XEL540"/>
      <c r="XEM540"/>
      <c r="XEN540"/>
      <c r="XEO540"/>
      <c r="XEP540"/>
      <c r="XEQ540"/>
      <c r="XER540"/>
      <c r="XES540"/>
      <c r="XET540"/>
      <c r="XEU540"/>
      <c r="XEV540"/>
      <c r="XEW540"/>
      <c r="XEX540"/>
      <c r="XEY540"/>
      <c r="XEZ540"/>
      <c r="XFA540"/>
      <c r="XFB540"/>
      <c r="XFC540"/>
      <c r="XFD540"/>
    </row>
    <row r="541" spans="1:18 16327:16384" s="26" customFormat="1" ht="29.1" customHeight="1" outlineLevel="3" x14ac:dyDescent="0.25">
      <c r="A541" s="42" t="s">
        <v>919</v>
      </c>
      <c r="B541" s="43"/>
      <c r="C541" s="66" t="s">
        <v>920</v>
      </c>
      <c r="D541" s="66"/>
      <c r="E541" s="43" t="s">
        <v>34</v>
      </c>
      <c r="F541" s="44"/>
      <c r="G541" s="43" t="s">
        <v>31</v>
      </c>
      <c r="H541" s="45">
        <v>1</v>
      </c>
      <c r="I541" s="46">
        <f>1</f>
        <v>1</v>
      </c>
      <c r="J541" s="23"/>
      <c r="K541" s="47"/>
      <c r="L541" s="48"/>
      <c r="M541" s="49"/>
      <c r="N541" s="49">
        <f t="shared" si="17"/>
        <v>0</v>
      </c>
      <c r="O541" s="49"/>
      <c r="P541" s="49"/>
      <c r="Q541" s="49"/>
      <c r="R541" s="23"/>
      <c r="XCY541"/>
      <c r="XCZ541"/>
      <c r="XDA541"/>
      <c r="XDB541"/>
      <c r="XDC541"/>
      <c r="XDD541"/>
      <c r="XDE541"/>
      <c r="XDF541"/>
      <c r="XDG541"/>
      <c r="XDH541"/>
      <c r="XDI541"/>
      <c r="XDJ541"/>
      <c r="XDK541"/>
      <c r="XDL541"/>
      <c r="XDM541"/>
      <c r="XDN541"/>
      <c r="XDO541"/>
      <c r="XDP541"/>
      <c r="XDQ541"/>
      <c r="XDR541"/>
      <c r="XDS541"/>
      <c r="XDT541"/>
      <c r="XDU541"/>
      <c r="XDV541"/>
      <c r="XDW541"/>
      <c r="XDX541"/>
      <c r="XDY541"/>
      <c r="XDZ541"/>
      <c r="XEA541"/>
      <c r="XEB541"/>
      <c r="XEC541"/>
      <c r="XED541"/>
      <c r="XEE541"/>
      <c r="XEF541"/>
      <c r="XEG541"/>
      <c r="XEH541"/>
      <c r="XEI541"/>
      <c r="XEJ541"/>
      <c r="XEK541"/>
      <c r="XEL541"/>
      <c r="XEM541"/>
      <c r="XEN541"/>
      <c r="XEO541"/>
      <c r="XEP541"/>
      <c r="XEQ541"/>
      <c r="XER541"/>
      <c r="XES541"/>
      <c r="XET541"/>
      <c r="XEU541"/>
      <c r="XEV541"/>
      <c r="XEW541"/>
      <c r="XEX541"/>
      <c r="XEY541"/>
      <c r="XEZ541"/>
      <c r="XFA541"/>
      <c r="XFB541"/>
      <c r="XFC541"/>
      <c r="XFD541"/>
    </row>
    <row r="542" spans="1:18 16327:16384" s="26" customFormat="1" ht="29.1" customHeight="1" outlineLevel="3" x14ac:dyDescent="0.25">
      <c r="A542" s="42" t="s">
        <v>921</v>
      </c>
      <c r="B542" s="43"/>
      <c r="C542" s="66" t="s">
        <v>922</v>
      </c>
      <c r="D542" s="66"/>
      <c r="E542" s="43" t="s">
        <v>34</v>
      </c>
      <c r="F542" s="44"/>
      <c r="G542" s="43" t="s">
        <v>31</v>
      </c>
      <c r="H542" s="45">
        <v>1</v>
      </c>
      <c r="I542" s="46">
        <f>6</f>
        <v>6</v>
      </c>
      <c r="J542" s="23"/>
      <c r="K542" s="47"/>
      <c r="L542" s="48"/>
      <c r="M542" s="49"/>
      <c r="N542" s="49">
        <f t="shared" si="17"/>
        <v>0</v>
      </c>
      <c r="O542" s="49"/>
      <c r="P542" s="49"/>
      <c r="Q542" s="49"/>
      <c r="R542" s="23"/>
      <c r="XCY542"/>
      <c r="XCZ542"/>
      <c r="XDA542"/>
      <c r="XDB542"/>
      <c r="XDC542"/>
      <c r="XDD542"/>
      <c r="XDE542"/>
      <c r="XDF542"/>
      <c r="XDG542"/>
      <c r="XDH542"/>
      <c r="XDI542"/>
      <c r="XDJ542"/>
      <c r="XDK542"/>
      <c r="XDL542"/>
      <c r="XDM542"/>
      <c r="XDN542"/>
      <c r="XDO542"/>
      <c r="XDP542"/>
      <c r="XDQ542"/>
      <c r="XDR542"/>
      <c r="XDS542"/>
      <c r="XDT542"/>
      <c r="XDU542"/>
      <c r="XDV542"/>
      <c r="XDW542"/>
      <c r="XDX542"/>
      <c r="XDY542"/>
      <c r="XDZ542"/>
      <c r="XEA542"/>
      <c r="XEB542"/>
      <c r="XEC542"/>
      <c r="XED542"/>
      <c r="XEE542"/>
      <c r="XEF542"/>
      <c r="XEG542"/>
      <c r="XEH542"/>
      <c r="XEI542"/>
      <c r="XEJ542"/>
      <c r="XEK542"/>
      <c r="XEL542"/>
      <c r="XEM542"/>
      <c r="XEN542"/>
      <c r="XEO542"/>
      <c r="XEP542"/>
      <c r="XEQ542"/>
      <c r="XER542"/>
      <c r="XES542"/>
      <c r="XET542"/>
      <c r="XEU542"/>
      <c r="XEV542"/>
      <c r="XEW542"/>
      <c r="XEX542"/>
      <c r="XEY542"/>
      <c r="XEZ542"/>
      <c r="XFA542"/>
      <c r="XFB542"/>
      <c r="XFC542"/>
      <c r="XFD542"/>
    </row>
    <row r="543" spans="1:18 16327:16384" s="26" customFormat="1" ht="29.1" customHeight="1" outlineLevel="3" x14ac:dyDescent="0.25">
      <c r="A543" s="42" t="s">
        <v>923</v>
      </c>
      <c r="B543" s="43"/>
      <c r="C543" s="66" t="s">
        <v>924</v>
      </c>
      <c r="D543" s="66"/>
      <c r="E543" s="43" t="s">
        <v>34</v>
      </c>
      <c r="F543" s="44"/>
      <c r="G543" s="43" t="s">
        <v>31</v>
      </c>
      <c r="H543" s="45">
        <v>1</v>
      </c>
      <c r="I543" s="46">
        <f>6</f>
        <v>6</v>
      </c>
      <c r="J543" s="23"/>
      <c r="K543" s="47"/>
      <c r="L543" s="48"/>
      <c r="M543" s="49"/>
      <c r="N543" s="49">
        <f t="shared" si="17"/>
        <v>0</v>
      </c>
      <c r="O543" s="49"/>
      <c r="P543" s="49"/>
      <c r="Q543" s="49"/>
      <c r="R543" s="23"/>
      <c r="XCY543"/>
      <c r="XCZ543"/>
      <c r="XDA543"/>
      <c r="XDB543"/>
      <c r="XDC543"/>
      <c r="XDD543"/>
      <c r="XDE543"/>
      <c r="XDF543"/>
      <c r="XDG543"/>
      <c r="XDH543"/>
      <c r="XDI543"/>
      <c r="XDJ543"/>
      <c r="XDK543"/>
      <c r="XDL543"/>
      <c r="XDM543"/>
      <c r="XDN543"/>
      <c r="XDO543"/>
      <c r="XDP543"/>
      <c r="XDQ543"/>
      <c r="XDR543"/>
      <c r="XDS543"/>
      <c r="XDT543"/>
      <c r="XDU543"/>
      <c r="XDV543"/>
      <c r="XDW543"/>
      <c r="XDX543"/>
      <c r="XDY543"/>
      <c r="XDZ543"/>
      <c r="XEA543"/>
      <c r="XEB543"/>
      <c r="XEC543"/>
      <c r="XED543"/>
      <c r="XEE543"/>
      <c r="XEF543"/>
      <c r="XEG543"/>
      <c r="XEH543"/>
      <c r="XEI543"/>
      <c r="XEJ543"/>
      <c r="XEK543"/>
      <c r="XEL543"/>
      <c r="XEM543"/>
      <c r="XEN543"/>
      <c r="XEO543"/>
      <c r="XEP543"/>
      <c r="XEQ543"/>
      <c r="XER543"/>
      <c r="XES543"/>
      <c r="XET543"/>
      <c r="XEU543"/>
      <c r="XEV543"/>
      <c r="XEW543"/>
      <c r="XEX543"/>
      <c r="XEY543"/>
      <c r="XEZ543"/>
      <c r="XFA543"/>
      <c r="XFB543"/>
      <c r="XFC543"/>
      <c r="XFD543"/>
    </row>
    <row r="544" spans="1:18 16327:16384" s="26" customFormat="1" ht="29.1" customHeight="1" outlineLevel="3" x14ac:dyDescent="0.25">
      <c r="A544" s="42" t="s">
        <v>925</v>
      </c>
      <c r="B544" s="43"/>
      <c r="C544" s="66" t="s">
        <v>926</v>
      </c>
      <c r="D544" s="66"/>
      <c r="E544" s="43" t="s">
        <v>34</v>
      </c>
      <c r="F544" s="44"/>
      <c r="G544" s="43" t="s">
        <v>31</v>
      </c>
      <c r="H544" s="45">
        <v>1</v>
      </c>
      <c r="I544" s="46">
        <f>2</f>
        <v>2</v>
      </c>
      <c r="J544" s="23"/>
      <c r="K544" s="47"/>
      <c r="L544" s="48"/>
      <c r="M544" s="49"/>
      <c r="N544" s="49">
        <f t="shared" si="17"/>
        <v>0</v>
      </c>
      <c r="O544" s="49"/>
      <c r="P544" s="49"/>
      <c r="Q544" s="49"/>
      <c r="R544" s="23"/>
      <c r="XCY544"/>
      <c r="XCZ544"/>
      <c r="XDA544"/>
      <c r="XDB544"/>
      <c r="XDC544"/>
      <c r="XDD544"/>
      <c r="XDE544"/>
      <c r="XDF544"/>
      <c r="XDG544"/>
      <c r="XDH544"/>
      <c r="XDI544"/>
      <c r="XDJ544"/>
      <c r="XDK544"/>
      <c r="XDL544"/>
      <c r="XDM544"/>
      <c r="XDN544"/>
      <c r="XDO544"/>
      <c r="XDP544"/>
      <c r="XDQ544"/>
      <c r="XDR544"/>
      <c r="XDS544"/>
      <c r="XDT544"/>
      <c r="XDU544"/>
      <c r="XDV544"/>
      <c r="XDW544"/>
      <c r="XDX544"/>
      <c r="XDY544"/>
      <c r="XDZ544"/>
      <c r="XEA544"/>
      <c r="XEB544"/>
      <c r="XEC544"/>
      <c r="XED544"/>
      <c r="XEE544"/>
      <c r="XEF544"/>
      <c r="XEG544"/>
      <c r="XEH544"/>
      <c r="XEI544"/>
      <c r="XEJ544"/>
      <c r="XEK544"/>
      <c r="XEL544"/>
      <c r="XEM544"/>
      <c r="XEN544"/>
      <c r="XEO544"/>
      <c r="XEP544"/>
      <c r="XEQ544"/>
      <c r="XER544"/>
      <c r="XES544"/>
      <c r="XET544"/>
      <c r="XEU544"/>
      <c r="XEV544"/>
      <c r="XEW544"/>
      <c r="XEX544"/>
      <c r="XEY544"/>
      <c r="XEZ544"/>
      <c r="XFA544"/>
      <c r="XFB544"/>
      <c r="XFC544"/>
      <c r="XFD544"/>
    </row>
    <row r="545" spans="1:18 16327:16384" s="26" customFormat="1" ht="29.1" customHeight="1" outlineLevel="3" x14ac:dyDescent="0.25">
      <c r="A545" s="42" t="s">
        <v>927</v>
      </c>
      <c r="B545" s="43"/>
      <c r="C545" s="66" t="s">
        <v>928</v>
      </c>
      <c r="D545" s="66"/>
      <c r="E545" s="43" t="s">
        <v>34</v>
      </c>
      <c r="F545" s="44"/>
      <c r="G545" s="43" t="s">
        <v>31</v>
      </c>
      <c r="H545" s="45">
        <v>1</v>
      </c>
      <c r="I545" s="46">
        <f>2</f>
        <v>2</v>
      </c>
      <c r="J545" s="23"/>
      <c r="K545" s="47"/>
      <c r="L545" s="48"/>
      <c r="M545" s="49"/>
      <c r="N545" s="49">
        <f t="shared" si="17"/>
        <v>0</v>
      </c>
      <c r="O545" s="49"/>
      <c r="P545" s="49"/>
      <c r="Q545" s="49"/>
      <c r="R545" s="23"/>
      <c r="XCY545"/>
      <c r="XCZ545"/>
      <c r="XDA545"/>
      <c r="XDB545"/>
      <c r="XDC545"/>
      <c r="XDD545"/>
      <c r="XDE545"/>
      <c r="XDF545"/>
      <c r="XDG545"/>
      <c r="XDH545"/>
      <c r="XDI545"/>
      <c r="XDJ545"/>
      <c r="XDK545"/>
      <c r="XDL545"/>
      <c r="XDM545"/>
      <c r="XDN545"/>
      <c r="XDO545"/>
      <c r="XDP545"/>
      <c r="XDQ545"/>
      <c r="XDR545"/>
      <c r="XDS545"/>
      <c r="XDT545"/>
      <c r="XDU545"/>
      <c r="XDV545"/>
      <c r="XDW545"/>
      <c r="XDX545"/>
      <c r="XDY545"/>
      <c r="XDZ545"/>
      <c r="XEA545"/>
      <c r="XEB545"/>
      <c r="XEC545"/>
      <c r="XED545"/>
      <c r="XEE545"/>
      <c r="XEF545"/>
      <c r="XEG545"/>
      <c r="XEH545"/>
      <c r="XEI545"/>
      <c r="XEJ545"/>
      <c r="XEK545"/>
      <c r="XEL545"/>
      <c r="XEM545"/>
      <c r="XEN545"/>
      <c r="XEO545"/>
      <c r="XEP545"/>
      <c r="XEQ545"/>
      <c r="XER545"/>
      <c r="XES545"/>
      <c r="XET545"/>
      <c r="XEU545"/>
      <c r="XEV545"/>
      <c r="XEW545"/>
      <c r="XEX545"/>
      <c r="XEY545"/>
      <c r="XEZ545"/>
      <c r="XFA545"/>
      <c r="XFB545"/>
      <c r="XFC545"/>
      <c r="XFD545"/>
    </row>
    <row r="546" spans="1:18 16327:16384" s="26" customFormat="1" ht="29.1" customHeight="1" outlineLevel="3" x14ac:dyDescent="0.25">
      <c r="A546" s="42" t="s">
        <v>929</v>
      </c>
      <c r="B546" s="43"/>
      <c r="C546" s="66" t="s">
        <v>906</v>
      </c>
      <c r="D546" s="66"/>
      <c r="E546" s="43" t="s">
        <v>34</v>
      </c>
      <c r="F546" s="44"/>
      <c r="G546" s="43" t="s">
        <v>31</v>
      </c>
      <c r="H546" s="45">
        <v>1</v>
      </c>
      <c r="I546" s="46">
        <f>29</f>
        <v>29</v>
      </c>
      <c r="J546" s="23"/>
      <c r="K546" s="47"/>
      <c r="L546" s="48"/>
      <c r="M546" s="49"/>
      <c r="N546" s="49">
        <f t="shared" si="17"/>
        <v>0</v>
      </c>
      <c r="O546" s="49"/>
      <c r="P546" s="49"/>
      <c r="Q546" s="49"/>
      <c r="R546" s="23"/>
      <c r="XCY546"/>
      <c r="XCZ546"/>
      <c r="XDA546"/>
      <c r="XDB546"/>
      <c r="XDC546"/>
      <c r="XDD546"/>
      <c r="XDE546"/>
      <c r="XDF546"/>
      <c r="XDG546"/>
      <c r="XDH546"/>
      <c r="XDI546"/>
      <c r="XDJ546"/>
      <c r="XDK546"/>
      <c r="XDL546"/>
      <c r="XDM546"/>
      <c r="XDN546"/>
      <c r="XDO546"/>
      <c r="XDP546"/>
      <c r="XDQ546"/>
      <c r="XDR546"/>
      <c r="XDS546"/>
      <c r="XDT546"/>
      <c r="XDU546"/>
      <c r="XDV546"/>
      <c r="XDW546"/>
      <c r="XDX546"/>
      <c r="XDY546"/>
      <c r="XDZ546"/>
      <c r="XEA546"/>
      <c r="XEB546"/>
      <c r="XEC546"/>
      <c r="XED546"/>
      <c r="XEE546"/>
      <c r="XEF546"/>
      <c r="XEG546"/>
      <c r="XEH546"/>
      <c r="XEI546"/>
      <c r="XEJ546"/>
      <c r="XEK546"/>
      <c r="XEL546"/>
      <c r="XEM546"/>
      <c r="XEN546"/>
      <c r="XEO546"/>
      <c r="XEP546"/>
      <c r="XEQ546"/>
      <c r="XER546"/>
      <c r="XES546"/>
      <c r="XET546"/>
      <c r="XEU546"/>
      <c r="XEV546"/>
      <c r="XEW546"/>
      <c r="XEX546"/>
      <c r="XEY546"/>
      <c r="XEZ546"/>
      <c r="XFA546"/>
      <c r="XFB546"/>
      <c r="XFC546"/>
      <c r="XFD546"/>
    </row>
    <row r="547" spans="1:18 16327:16384" s="26" customFormat="1" ht="29.1" customHeight="1" outlineLevel="3" x14ac:dyDescent="0.25">
      <c r="A547" s="42" t="s">
        <v>930</v>
      </c>
      <c r="B547" s="43"/>
      <c r="C547" s="66" t="s">
        <v>908</v>
      </c>
      <c r="D547" s="66"/>
      <c r="E547" s="43" t="s">
        <v>34</v>
      </c>
      <c r="F547" s="44"/>
      <c r="G547" s="43" t="s">
        <v>31</v>
      </c>
      <c r="H547" s="45">
        <v>1</v>
      </c>
      <c r="I547" s="46">
        <f>23</f>
        <v>23</v>
      </c>
      <c r="J547" s="23"/>
      <c r="K547" s="47"/>
      <c r="L547" s="48"/>
      <c r="M547" s="49"/>
      <c r="N547" s="49">
        <f t="shared" si="17"/>
        <v>0</v>
      </c>
      <c r="O547" s="49"/>
      <c r="P547" s="49"/>
      <c r="Q547" s="49"/>
      <c r="R547" s="23"/>
      <c r="XCY547"/>
      <c r="XCZ547"/>
      <c r="XDA547"/>
      <c r="XDB547"/>
      <c r="XDC547"/>
      <c r="XDD547"/>
      <c r="XDE547"/>
      <c r="XDF547"/>
      <c r="XDG547"/>
      <c r="XDH547"/>
      <c r="XDI547"/>
      <c r="XDJ547"/>
      <c r="XDK547"/>
      <c r="XDL547"/>
      <c r="XDM547"/>
      <c r="XDN547"/>
      <c r="XDO547"/>
      <c r="XDP547"/>
      <c r="XDQ547"/>
      <c r="XDR547"/>
      <c r="XDS547"/>
      <c r="XDT547"/>
      <c r="XDU547"/>
      <c r="XDV547"/>
      <c r="XDW547"/>
      <c r="XDX547"/>
      <c r="XDY547"/>
      <c r="XDZ547"/>
      <c r="XEA547"/>
      <c r="XEB547"/>
      <c r="XEC547"/>
      <c r="XED547"/>
      <c r="XEE547"/>
      <c r="XEF547"/>
      <c r="XEG547"/>
      <c r="XEH547"/>
      <c r="XEI547"/>
      <c r="XEJ547"/>
      <c r="XEK547"/>
      <c r="XEL547"/>
      <c r="XEM547"/>
      <c r="XEN547"/>
      <c r="XEO547"/>
      <c r="XEP547"/>
      <c r="XEQ547"/>
      <c r="XER547"/>
      <c r="XES547"/>
      <c r="XET547"/>
      <c r="XEU547"/>
      <c r="XEV547"/>
      <c r="XEW547"/>
      <c r="XEX547"/>
      <c r="XEY547"/>
      <c r="XEZ547"/>
      <c r="XFA547"/>
      <c r="XFB547"/>
      <c r="XFC547"/>
      <c r="XFD547"/>
    </row>
    <row r="548" spans="1:18 16327:16384" s="26" customFormat="1" ht="29.1" customHeight="1" outlineLevel="3" x14ac:dyDescent="0.25">
      <c r="A548" s="42" t="s">
        <v>931</v>
      </c>
      <c r="B548" s="43"/>
      <c r="C548" s="66" t="s">
        <v>932</v>
      </c>
      <c r="D548" s="66"/>
      <c r="E548" s="43" t="s">
        <v>34</v>
      </c>
      <c r="F548" s="44"/>
      <c r="G548" s="43" t="s">
        <v>31</v>
      </c>
      <c r="H548" s="45">
        <v>1</v>
      </c>
      <c r="I548" s="46">
        <f>418</f>
        <v>418</v>
      </c>
      <c r="J548" s="23"/>
      <c r="K548" s="47"/>
      <c r="L548" s="48"/>
      <c r="M548" s="49"/>
      <c r="N548" s="49">
        <f t="shared" si="17"/>
        <v>0</v>
      </c>
      <c r="O548" s="49"/>
      <c r="P548" s="49"/>
      <c r="Q548" s="49"/>
      <c r="R548" s="23"/>
      <c r="XCY548"/>
      <c r="XCZ548"/>
      <c r="XDA548"/>
      <c r="XDB548"/>
      <c r="XDC548"/>
      <c r="XDD548"/>
      <c r="XDE548"/>
      <c r="XDF548"/>
      <c r="XDG548"/>
      <c r="XDH548"/>
      <c r="XDI548"/>
      <c r="XDJ548"/>
      <c r="XDK548"/>
      <c r="XDL548"/>
      <c r="XDM548"/>
      <c r="XDN548"/>
      <c r="XDO548"/>
      <c r="XDP548"/>
      <c r="XDQ548"/>
      <c r="XDR548"/>
      <c r="XDS548"/>
      <c r="XDT548"/>
      <c r="XDU548"/>
      <c r="XDV548"/>
      <c r="XDW548"/>
      <c r="XDX548"/>
      <c r="XDY548"/>
      <c r="XDZ548"/>
      <c r="XEA548"/>
      <c r="XEB548"/>
      <c r="XEC548"/>
      <c r="XED548"/>
      <c r="XEE548"/>
      <c r="XEF548"/>
      <c r="XEG548"/>
      <c r="XEH548"/>
      <c r="XEI548"/>
      <c r="XEJ548"/>
      <c r="XEK548"/>
      <c r="XEL548"/>
      <c r="XEM548"/>
      <c r="XEN548"/>
      <c r="XEO548"/>
      <c r="XEP548"/>
      <c r="XEQ548"/>
      <c r="XER548"/>
      <c r="XES548"/>
      <c r="XET548"/>
      <c r="XEU548"/>
      <c r="XEV548"/>
      <c r="XEW548"/>
      <c r="XEX548"/>
      <c r="XEY548"/>
      <c r="XEZ548"/>
      <c r="XFA548"/>
      <c r="XFB548"/>
      <c r="XFC548"/>
      <c r="XFD548"/>
    </row>
    <row r="549" spans="1:18 16327:16384" s="26" customFormat="1" ht="29.1" customHeight="1" outlineLevel="2" x14ac:dyDescent="0.25">
      <c r="A549" s="34" t="s">
        <v>933</v>
      </c>
      <c r="B549" s="35"/>
      <c r="C549" s="65" t="s">
        <v>739</v>
      </c>
      <c r="D549" s="65"/>
      <c r="E549" s="35"/>
      <c r="F549" s="36" t="s">
        <v>890</v>
      </c>
      <c r="G549" s="35" t="s">
        <v>65</v>
      </c>
      <c r="H549" s="37"/>
      <c r="I549" s="38">
        <f>50</f>
        <v>50</v>
      </c>
      <c r="J549" s="23"/>
      <c r="K549" s="39"/>
      <c r="L549" s="40"/>
      <c r="M549" s="41"/>
      <c r="N549" s="41"/>
      <c r="O549" s="41"/>
      <c r="P549" s="41"/>
      <c r="Q549" s="41"/>
      <c r="R549" s="23"/>
      <c r="XCY549"/>
      <c r="XCZ549"/>
      <c r="XDA549"/>
      <c r="XDB549"/>
      <c r="XDC549"/>
      <c r="XDD549"/>
      <c r="XDE549"/>
      <c r="XDF549"/>
      <c r="XDG549"/>
      <c r="XDH549"/>
      <c r="XDI549"/>
      <c r="XDJ549"/>
      <c r="XDK549"/>
      <c r="XDL549"/>
      <c r="XDM549"/>
      <c r="XDN549"/>
      <c r="XDO549"/>
      <c r="XDP549"/>
      <c r="XDQ549"/>
      <c r="XDR549"/>
      <c r="XDS549"/>
      <c r="XDT549"/>
      <c r="XDU549"/>
      <c r="XDV549"/>
      <c r="XDW549"/>
      <c r="XDX549"/>
      <c r="XDY549"/>
      <c r="XDZ549"/>
      <c r="XEA549"/>
      <c r="XEB549"/>
      <c r="XEC549"/>
      <c r="XED549"/>
      <c r="XEE549"/>
      <c r="XEF549"/>
      <c r="XEG549"/>
      <c r="XEH549"/>
      <c r="XEI549"/>
      <c r="XEJ549"/>
      <c r="XEK549"/>
      <c r="XEL549"/>
      <c r="XEM549"/>
      <c r="XEN549"/>
      <c r="XEO549"/>
      <c r="XEP549"/>
      <c r="XEQ549"/>
      <c r="XER549"/>
      <c r="XES549"/>
      <c r="XET549"/>
      <c r="XEU549"/>
      <c r="XEV549"/>
      <c r="XEW549"/>
      <c r="XEX549"/>
      <c r="XEY549"/>
      <c r="XEZ549"/>
      <c r="XFA549"/>
      <c r="XFB549"/>
      <c r="XFC549"/>
      <c r="XFD549"/>
    </row>
    <row r="550" spans="1:18 16327:16384" s="26" customFormat="1" ht="29.1" customHeight="1" outlineLevel="3" x14ac:dyDescent="0.25">
      <c r="A550" s="42" t="s">
        <v>934</v>
      </c>
      <c r="B550" s="43"/>
      <c r="C550" s="66" t="s">
        <v>741</v>
      </c>
      <c r="D550" s="66"/>
      <c r="E550" s="43" t="s">
        <v>34</v>
      </c>
      <c r="F550" s="44"/>
      <c r="G550" s="43" t="s">
        <v>65</v>
      </c>
      <c r="H550" s="45">
        <v>1.02</v>
      </c>
      <c r="I550" s="46">
        <f>51</f>
        <v>51</v>
      </c>
      <c r="J550" s="23"/>
      <c r="K550" s="47"/>
      <c r="L550" s="48"/>
      <c r="M550" s="49"/>
      <c r="N550" s="49">
        <f t="shared" si="17"/>
        <v>0</v>
      </c>
      <c r="O550" s="49"/>
      <c r="P550" s="49"/>
      <c r="Q550" s="49"/>
      <c r="R550" s="23"/>
      <c r="XCY550"/>
      <c r="XCZ550"/>
      <c r="XDA550"/>
      <c r="XDB550"/>
      <c r="XDC550"/>
      <c r="XDD550"/>
      <c r="XDE550"/>
      <c r="XDF550"/>
      <c r="XDG550"/>
      <c r="XDH550"/>
      <c r="XDI550"/>
      <c r="XDJ550"/>
      <c r="XDK550"/>
      <c r="XDL550"/>
      <c r="XDM550"/>
      <c r="XDN550"/>
      <c r="XDO550"/>
      <c r="XDP550"/>
      <c r="XDQ550"/>
      <c r="XDR550"/>
      <c r="XDS550"/>
      <c r="XDT550"/>
      <c r="XDU550"/>
      <c r="XDV550"/>
      <c r="XDW550"/>
      <c r="XDX550"/>
      <c r="XDY550"/>
      <c r="XDZ550"/>
      <c r="XEA550"/>
      <c r="XEB550"/>
      <c r="XEC550"/>
      <c r="XED550"/>
      <c r="XEE550"/>
      <c r="XEF550"/>
      <c r="XEG550"/>
      <c r="XEH550"/>
      <c r="XEI550"/>
      <c r="XEJ550"/>
      <c r="XEK550"/>
      <c r="XEL550"/>
      <c r="XEM550"/>
      <c r="XEN550"/>
      <c r="XEO550"/>
      <c r="XEP550"/>
      <c r="XEQ550"/>
      <c r="XER550"/>
      <c r="XES550"/>
      <c r="XET550"/>
      <c r="XEU550"/>
      <c r="XEV550"/>
      <c r="XEW550"/>
      <c r="XEX550"/>
      <c r="XEY550"/>
      <c r="XEZ550"/>
      <c r="XFA550"/>
      <c r="XFB550"/>
      <c r="XFC550"/>
      <c r="XFD550"/>
    </row>
    <row r="551" spans="1:18 16327:16384" s="26" customFormat="1" ht="29.1" customHeight="1" outlineLevel="2" x14ac:dyDescent="0.25">
      <c r="A551" s="34" t="s">
        <v>935</v>
      </c>
      <c r="B551" s="35"/>
      <c r="C551" s="65" t="s">
        <v>889</v>
      </c>
      <c r="D551" s="65"/>
      <c r="E551" s="35"/>
      <c r="F551" s="36" t="s">
        <v>936</v>
      </c>
      <c r="G551" s="35" t="s">
        <v>65</v>
      </c>
      <c r="H551" s="37"/>
      <c r="I551" s="38">
        <f>1062</f>
        <v>1062</v>
      </c>
      <c r="J551" s="23"/>
      <c r="K551" s="39"/>
      <c r="L551" s="40"/>
      <c r="M551" s="41">
        <f>K551+L551</f>
        <v>0</v>
      </c>
      <c r="N551" s="41">
        <f t="shared" si="17"/>
        <v>0</v>
      </c>
      <c r="O551" s="41">
        <f>ROUND((I551*L551),2)</f>
        <v>0</v>
      </c>
      <c r="P551" s="41">
        <f>ROUND((I551*M551),2)</f>
        <v>0</v>
      </c>
      <c r="Q551" s="41"/>
      <c r="R551" s="23"/>
      <c r="XCY551"/>
      <c r="XCZ551"/>
      <c r="XDA551"/>
      <c r="XDB551"/>
      <c r="XDC551"/>
      <c r="XDD551"/>
      <c r="XDE551"/>
      <c r="XDF551"/>
      <c r="XDG551"/>
      <c r="XDH551"/>
      <c r="XDI551"/>
      <c r="XDJ551"/>
      <c r="XDK551"/>
      <c r="XDL551"/>
      <c r="XDM551"/>
      <c r="XDN551"/>
      <c r="XDO551"/>
      <c r="XDP551"/>
      <c r="XDQ551"/>
      <c r="XDR551"/>
      <c r="XDS551"/>
      <c r="XDT551"/>
      <c r="XDU551"/>
      <c r="XDV551"/>
      <c r="XDW551"/>
      <c r="XDX551"/>
      <c r="XDY551"/>
      <c r="XDZ551"/>
      <c r="XEA551"/>
      <c r="XEB551"/>
      <c r="XEC551"/>
      <c r="XED551"/>
      <c r="XEE551"/>
      <c r="XEF551"/>
      <c r="XEG551"/>
      <c r="XEH551"/>
      <c r="XEI551"/>
      <c r="XEJ551"/>
      <c r="XEK551"/>
      <c r="XEL551"/>
      <c r="XEM551"/>
      <c r="XEN551"/>
      <c r="XEO551"/>
      <c r="XEP551"/>
      <c r="XEQ551"/>
      <c r="XER551"/>
      <c r="XES551"/>
      <c r="XET551"/>
      <c r="XEU551"/>
      <c r="XEV551"/>
      <c r="XEW551"/>
      <c r="XEX551"/>
      <c r="XEY551"/>
      <c r="XEZ551"/>
      <c r="XFA551"/>
      <c r="XFB551"/>
      <c r="XFC551"/>
      <c r="XFD551"/>
    </row>
    <row r="552" spans="1:18 16327:16384" s="26" customFormat="1" ht="29.1" customHeight="1" outlineLevel="3" x14ac:dyDescent="0.25">
      <c r="A552" s="42" t="s">
        <v>937</v>
      </c>
      <c r="B552" s="43"/>
      <c r="C552" s="66" t="s">
        <v>938</v>
      </c>
      <c r="D552" s="66"/>
      <c r="E552" s="43" t="s">
        <v>34</v>
      </c>
      <c r="F552" s="44"/>
      <c r="G552" s="43" t="s">
        <v>65</v>
      </c>
      <c r="H552" s="45">
        <v>1.03</v>
      </c>
      <c r="I552" s="46">
        <f>1093.86</f>
        <v>1093.8599999999999</v>
      </c>
      <c r="J552" s="23"/>
      <c r="K552" s="47"/>
      <c r="L552" s="48"/>
      <c r="M552" s="49"/>
      <c r="N552" s="49">
        <f t="shared" si="17"/>
        <v>0</v>
      </c>
      <c r="O552" s="49"/>
      <c r="P552" s="49"/>
      <c r="Q552" s="49"/>
      <c r="R552" s="23"/>
      <c r="XCY552"/>
      <c r="XCZ552"/>
      <c r="XDA552"/>
      <c r="XDB552"/>
      <c r="XDC552"/>
      <c r="XDD552"/>
      <c r="XDE552"/>
      <c r="XDF552"/>
      <c r="XDG552"/>
      <c r="XDH552"/>
      <c r="XDI552"/>
      <c r="XDJ552"/>
      <c r="XDK552"/>
      <c r="XDL552"/>
      <c r="XDM552"/>
      <c r="XDN552"/>
      <c r="XDO552"/>
      <c r="XDP552"/>
      <c r="XDQ552"/>
      <c r="XDR552"/>
      <c r="XDS552"/>
      <c r="XDT552"/>
      <c r="XDU552"/>
      <c r="XDV552"/>
      <c r="XDW552"/>
      <c r="XDX552"/>
      <c r="XDY552"/>
      <c r="XDZ552"/>
      <c r="XEA552"/>
      <c r="XEB552"/>
      <c r="XEC552"/>
      <c r="XED552"/>
      <c r="XEE552"/>
      <c r="XEF552"/>
      <c r="XEG552"/>
      <c r="XEH552"/>
      <c r="XEI552"/>
      <c r="XEJ552"/>
      <c r="XEK552"/>
      <c r="XEL552"/>
      <c r="XEM552"/>
      <c r="XEN552"/>
      <c r="XEO552"/>
      <c r="XEP552"/>
      <c r="XEQ552"/>
      <c r="XER552"/>
      <c r="XES552"/>
      <c r="XET552"/>
      <c r="XEU552"/>
      <c r="XEV552"/>
      <c r="XEW552"/>
      <c r="XEX552"/>
      <c r="XEY552"/>
      <c r="XEZ552"/>
      <c r="XFA552"/>
      <c r="XFB552"/>
      <c r="XFC552"/>
      <c r="XFD552"/>
    </row>
    <row r="553" spans="1:18 16327:16384" s="26" customFormat="1" ht="29.1" customHeight="1" outlineLevel="3" x14ac:dyDescent="0.25">
      <c r="A553" s="42" t="s">
        <v>939</v>
      </c>
      <c r="B553" s="43"/>
      <c r="C553" s="66" t="s">
        <v>940</v>
      </c>
      <c r="D553" s="66"/>
      <c r="E553" s="43" t="s">
        <v>34</v>
      </c>
      <c r="F553" s="44"/>
      <c r="G553" s="43" t="s">
        <v>31</v>
      </c>
      <c r="H553" s="45">
        <v>1</v>
      </c>
      <c r="I553" s="46">
        <f>354</f>
        <v>354</v>
      </c>
      <c r="J553" s="23"/>
      <c r="K553" s="47"/>
      <c r="L553" s="48"/>
      <c r="M553" s="49"/>
      <c r="N553" s="49">
        <f t="shared" si="17"/>
        <v>0</v>
      </c>
      <c r="O553" s="49"/>
      <c r="P553" s="49"/>
      <c r="Q553" s="49"/>
      <c r="R553" s="23"/>
      <c r="XCY553"/>
      <c r="XCZ553"/>
      <c r="XDA553"/>
      <c r="XDB553"/>
      <c r="XDC553"/>
      <c r="XDD553"/>
      <c r="XDE553"/>
      <c r="XDF553"/>
      <c r="XDG553"/>
      <c r="XDH553"/>
      <c r="XDI553"/>
      <c r="XDJ553"/>
      <c r="XDK553"/>
      <c r="XDL553"/>
      <c r="XDM553"/>
      <c r="XDN553"/>
      <c r="XDO553"/>
      <c r="XDP553"/>
      <c r="XDQ553"/>
      <c r="XDR553"/>
      <c r="XDS553"/>
      <c r="XDT553"/>
      <c r="XDU553"/>
      <c r="XDV553"/>
      <c r="XDW553"/>
      <c r="XDX553"/>
      <c r="XDY553"/>
      <c r="XDZ553"/>
      <c r="XEA553"/>
      <c r="XEB553"/>
      <c r="XEC553"/>
      <c r="XED553"/>
      <c r="XEE553"/>
      <c r="XEF553"/>
      <c r="XEG553"/>
      <c r="XEH553"/>
      <c r="XEI553"/>
      <c r="XEJ553"/>
      <c r="XEK553"/>
      <c r="XEL553"/>
      <c r="XEM553"/>
      <c r="XEN553"/>
      <c r="XEO553"/>
      <c r="XEP553"/>
      <c r="XEQ553"/>
      <c r="XER553"/>
      <c r="XES553"/>
      <c r="XET553"/>
      <c r="XEU553"/>
      <c r="XEV553"/>
      <c r="XEW553"/>
      <c r="XEX553"/>
      <c r="XEY553"/>
      <c r="XEZ553"/>
      <c r="XFA553"/>
      <c r="XFB553"/>
      <c r="XFC553"/>
      <c r="XFD553"/>
    </row>
    <row r="554" spans="1:18 16327:16384" s="26" customFormat="1" ht="33.75" customHeight="1" outlineLevel="3" x14ac:dyDescent="0.25">
      <c r="A554" s="42" t="s">
        <v>941</v>
      </c>
      <c r="B554" s="43"/>
      <c r="C554" s="66" t="s">
        <v>942</v>
      </c>
      <c r="D554" s="66"/>
      <c r="E554" s="43" t="s">
        <v>34</v>
      </c>
      <c r="F554" s="44"/>
      <c r="G554" s="43" t="s">
        <v>31</v>
      </c>
      <c r="H554" s="45">
        <v>1</v>
      </c>
      <c r="I554" s="46">
        <f>2124</f>
        <v>2124</v>
      </c>
      <c r="J554" s="23"/>
      <c r="K554" s="47"/>
      <c r="L554" s="48"/>
      <c r="M554" s="49"/>
      <c r="N554" s="49">
        <f t="shared" si="17"/>
        <v>0</v>
      </c>
      <c r="O554" s="49"/>
      <c r="P554" s="49"/>
      <c r="Q554" s="49"/>
      <c r="R554" s="23"/>
      <c r="XCY554"/>
      <c r="XCZ554"/>
      <c r="XDA554"/>
      <c r="XDB554"/>
      <c r="XDC554"/>
      <c r="XDD554"/>
      <c r="XDE554"/>
      <c r="XDF554"/>
      <c r="XDG554"/>
      <c r="XDH554"/>
      <c r="XDI554"/>
      <c r="XDJ554"/>
      <c r="XDK554"/>
      <c r="XDL554"/>
      <c r="XDM554"/>
      <c r="XDN554"/>
      <c r="XDO554"/>
      <c r="XDP554"/>
      <c r="XDQ554"/>
      <c r="XDR554"/>
      <c r="XDS554"/>
      <c r="XDT554"/>
      <c r="XDU554"/>
      <c r="XDV554"/>
      <c r="XDW554"/>
      <c r="XDX554"/>
      <c r="XDY554"/>
      <c r="XDZ554"/>
      <c r="XEA554"/>
      <c r="XEB554"/>
      <c r="XEC554"/>
      <c r="XED554"/>
      <c r="XEE554"/>
      <c r="XEF554"/>
      <c r="XEG554"/>
      <c r="XEH554"/>
      <c r="XEI554"/>
      <c r="XEJ554"/>
      <c r="XEK554"/>
      <c r="XEL554"/>
      <c r="XEM554"/>
      <c r="XEN554"/>
      <c r="XEO554"/>
      <c r="XEP554"/>
      <c r="XEQ554"/>
      <c r="XER554"/>
      <c r="XES554"/>
      <c r="XET554"/>
      <c r="XEU554"/>
      <c r="XEV554"/>
      <c r="XEW554"/>
      <c r="XEX554"/>
      <c r="XEY554"/>
      <c r="XEZ554"/>
      <c r="XFA554"/>
      <c r="XFB554"/>
      <c r="XFC554"/>
      <c r="XFD554"/>
    </row>
    <row r="555" spans="1:18 16327:16384" s="26" customFormat="1" ht="44.25" customHeight="1" outlineLevel="3" x14ac:dyDescent="0.25">
      <c r="A555" s="42" t="s">
        <v>943</v>
      </c>
      <c r="B555" s="43"/>
      <c r="C555" s="66" t="s">
        <v>944</v>
      </c>
      <c r="D555" s="66"/>
      <c r="E555" s="43" t="s">
        <v>34</v>
      </c>
      <c r="F555" s="44"/>
      <c r="G555" s="43" t="s">
        <v>31</v>
      </c>
      <c r="H555" s="45">
        <v>1</v>
      </c>
      <c r="I555" s="46">
        <f>12744</f>
        <v>12744</v>
      </c>
      <c r="J555" s="23"/>
      <c r="K555" s="47"/>
      <c r="L555" s="48"/>
      <c r="M555" s="49"/>
      <c r="N555" s="49">
        <f t="shared" si="17"/>
        <v>0</v>
      </c>
      <c r="O555" s="49"/>
      <c r="P555" s="49"/>
      <c r="Q555" s="49"/>
      <c r="R555" s="23"/>
      <c r="XCY555"/>
      <c r="XCZ555"/>
      <c r="XDA555"/>
      <c r="XDB555"/>
      <c r="XDC555"/>
      <c r="XDD555"/>
      <c r="XDE555"/>
      <c r="XDF555"/>
      <c r="XDG555"/>
      <c r="XDH555"/>
      <c r="XDI555"/>
      <c r="XDJ555"/>
      <c r="XDK555"/>
      <c r="XDL555"/>
      <c r="XDM555"/>
      <c r="XDN555"/>
      <c r="XDO555"/>
      <c r="XDP555"/>
      <c r="XDQ555"/>
      <c r="XDR555"/>
      <c r="XDS555"/>
      <c r="XDT555"/>
      <c r="XDU555"/>
      <c r="XDV555"/>
      <c r="XDW555"/>
      <c r="XDX555"/>
      <c r="XDY555"/>
      <c r="XDZ555"/>
      <c r="XEA555"/>
      <c r="XEB555"/>
      <c r="XEC555"/>
      <c r="XED555"/>
      <c r="XEE555"/>
      <c r="XEF555"/>
      <c r="XEG555"/>
      <c r="XEH555"/>
      <c r="XEI555"/>
      <c r="XEJ555"/>
      <c r="XEK555"/>
      <c r="XEL555"/>
      <c r="XEM555"/>
      <c r="XEN555"/>
      <c r="XEO555"/>
      <c r="XEP555"/>
      <c r="XEQ555"/>
      <c r="XER555"/>
      <c r="XES555"/>
      <c r="XET555"/>
      <c r="XEU555"/>
      <c r="XEV555"/>
      <c r="XEW555"/>
      <c r="XEX555"/>
      <c r="XEY555"/>
      <c r="XEZ555"/>
      <c r="XFA555"/>
      <c r="XFB555"/>
      <c r="XFC555"/>
      <c r="XFD555"/>
    </row>
    <row r="556" spans="1:18 16327:16384" s="26" customFormat="1" ht="29.1" customHeight="1" outlineLevel="3" x14ac:dyDescent="0.25">
      <c r="A556" s="42" t="s">
        <v>945</v>
      </c>
      <c r="B556" s="43"/>
      <c r="C556" s="66" t="s">
        <v>735</v>
      </c>
      <c r="D556" s="66"/>
      <c r="E556" s="43" t="s">
        <v>34</v>
      </c>
      <c r="F556" s="44"/>
      <c r="G556" s="43" t="s">
        <v>31</v>
      </c>
      <c r="H556" s="45">
        <v>1</v>
      </c>
      <c r="I556" s="46">
        <f>612</f>
        <v>612</v>
      </c>
      <c r="J556" s="23"/>
      <c r="K556" s="47"/>
      <c r="L556" s="48"/>
      <c r="M556" s="49"/>
      <c r="N556" s="49">
        <f t="shared" si="17"/>
        <v>0</v>
      </c>
      <c r="O556" s="49"/>
      <c r="P556" s="49"/>
      <c r="Q556" s="49"/>
      <c r="R556" s="23"/>
      <c r="XCY556"/>
      <c r="XCZ556"/>
      <c r="XDA556"/>
      <c r="XDB556"/>
      <c r="XDC556"/>
      <c r="XDD556"/>
      <c r="XDE556"/>
      <c r="XDF556"/>
      <c r="XDG556"/>
      <c r="XDH556"/>
      <c r="XDI556"/>
      <c r="XDJ556"/>
      <c r="XDK556"/>
      <c r="XDL556"/>
      <c r="XDM556"/>
      <c r="XDN556"/>
      <c r="XDO556"/>
      <c r="XDP556"/>
      <c r="XDQ556"/>
      <c r="XDR556"/>
      <c r="XDS556"/>
      <c r="XDT556"/>
      <c r="XDU556"/>
      <c r="XDV556"/>
      <c r="XDW556"/>
      <c r="XDX556"/>
      <c r="XDY556"/>
      <c r="XDZ556"/>
      <c r="XEA556"/>
      <c r="XEB556"/>
      <c r="XEC556"/>
      <c r="XED556"/>
      <c r="XEE556"/>
      <c r="XEF556"/>
      <c r="XEG556"/>
      <c r="XEH556"/>
      <c r="XEI556"/>
      <c r="XEJ556"/>
      <c r="XEK556"/>
      <c r="XEL556"/>
      <c r="XEM556"/>
      <c r="XEN556"/>
      <c r="XEO556"/>
      <c r="XEP556"/>
      <c r="XEQ556"/>
      <c r="XER556"/>
      <c r="XES556"/>
      <c r="XET556"/>
      <c r="XEU556"/>
      <c r="XEV556"/>
      <c r="XEW556"/>
      <c r="XEX556"/>
      <c r="XEY556"/>
      <c r="XEZ556"/>
      <c r="XFA556"/>
      <c r="XFB556"/>
      <c r="XFC556"/>
      <c r="XFD556"/>
    </row>
    <row r="557" spans="1:18 16327:16384" s="26" customFormat="1" ht="29.1" customHeight="1" outlineLevel="3" x14ac:dyDescent="0.25">
      <c r="A557" s="42" t="s">
        <v>946</v>
      </c>
      <c r="B557" s="43"/>
      <c r="C557" s="66" t="s">
        <v>947</v>
      </c>
      <c r="D557" s="66"/>
      <c r="E557" s="43" t="s">
        <v>34</v>
      </c>
      <c r="F557" s="44"/>
      <c r="G557" s="43" t="s">
        <v>31</v>
      </c>
      <c r="H557" s="45">
        <v>1</v>
      </c>
      <c r="I557" s="46">
        <f>36</f>
        <v>36</v>
      </c>
      <c r="J557" s="23"/>
      <c r="K557" s="47"/>
      <c r="L557" s="48"/>
      <c r="M557" s="49"/>
      <c r="N557" s="49">
        <f t="shared" si="17"/>
        <v>0</v>
      </c>
      <c r="O557" s="49"/>
      <c r="P557" s="49"/>
      <c r="Q557" s="49"/>
      <c r="R557" s="23"/>
      <c r="XCY557"/>
      <c r="XCZ557"/>
      <c r="XDA557"/>
      <c r="XDB557"/>
      <c r="XDC557"/>
      <c r="XDD557"/>
      <c r="XDE557"/>
      <c r="XDF557"/>
      <c r="XDG557"/>
      <c r="XDH557"/>
      <c r="XDI557"/>
      <c r="XDJ557"/>
      <c r="XDK557"/>
      <c r="XDL557"/>
      <c r="XDM557"/>
      <c r="XDN557"/>
      <c r="XDO557"/>
      <c r="XDP557"/>
      <c r="XDQ557"/>
      <c r="XDR557"/>
      <c r="XDS557"/>
      <c r="XDT557"/>
      <c r="XDU557"/>
      <c r="XDV557"/>
      <c r="XDW557"/>
      <c r="XDX557"/>
      <c r="XDY557"/>
      <c r="XDZ557"/>
      <c r="XEA557"/>
      <c r="XEB557"/>
      <c r="XEC557"/>
      <c r="XED557"/>
      <c r="XEE557"/>
      <c r="XEF557"/>
      <c r="XEG557"/>
      <c r="XEH557"/>
      <c r="XEI557"/>
      <c r="XEJ557"/>
      <c r="XEK557"/>
      <c r="XEL557"/>
      <c r="XEM557"/>
      <c r="XEN557"/>
      <c r="XEO557"/>
      <c r="XEP557"/>
      <c r="XEQ557"/>
      <c r="XER557"/>
      <c r="XES557"/>
      <c r="XET557"/>
      <c r="XEU557"/>
      <c r="XEV557"/>
      <c r="XEW557"/>
      <c r="XEX557"/>
      <c r="XEY557"/>
      <c r="XEZ557"/>
      <c r="XFA557"/>
      <c r="XFB557"/>
      <c r="XFC557"/>
      <c r="XFD557"/>
    </row>
    <row r="558" spans="1:18 16327:16384" s="26" customFormat="1" ht="29.1" customHeight="1" outlineLevel="2" x14ac:dyDescent="0.25">
      <c r="A558" s="34" t="s">
        <v>948</v>
      </c>
      <c r="B558" s="35"/>
      <c r="C558" s="65" t="s">
        <v>739</v>
      </c>
      <c r="D558" s="65"/>
      <c r="E558" s="35"/>
      <c r="F558" s="36" t="s">
        <v>936</v>
      </c>
      <c r="G558" s="35" t="s">
        <v>65</v>
      </c>
      <c r="H558" s="37"/>
      <c r="I558" s="38">
        <f>1062</f>
        <v>1062</v>
      </c>
      <c r="J558" s="23"/>
      <c r="K558" s="39"/>
      <c r="L558" s="40"/>
      <c r="M558" s="41"/>
      <c r="N558" s="41"/>
      <c r="O558" s="41"/>
      <c r="P558" s="41"/>
      <c r="Q558" s="41"/>
      <c r="R558" s="23"/>
      <c r="XCY558"/>
      <c r="XCZ558"/>
      <c r="XDA558"/>
      <c r="XDB558"/>
      <c r="XDC558"/>
      <c r="XDD558"/>
      <c r="XDE558"/>
      <c r="XDF558"/>
      <c r="XDG558"/>
      <c r="XDH558"/>
      <c r="XDI558"/>
      <c r="XDJ558"/>
      <c r="XDK558"/>
      <c r="XDL558"/>
      <c r="XDM558"/>
      <c r="XDN558"/>
      <c r="XDO558"/>
      <c r="XDP558"/>
      <c r="XDQ558"/>
      <c r="XDR558"/>
      <c r="XDS558"/>
      <c r="XDT558"/>
      <c r="XDU558"/>
      <c r="XDV558"/>
      <c r="XDW558"/>
      <c r="XDX558"/>
      <c r="XDY558"/>
      <c r="XDZ558"/>
      <c r="XEA558"/>
      <c r="XEB558"/>
      <c r="XEC558"/>
      <c r="XED558"/>
      <c r="XEE558"/>
      <c r="XEF558"/>
      <c r="XEG558"/>
      <c r="XEH558"/>
      <c r="XEI558"/>
      <c r="XEJ558"/>
      <c r="XEK558"/>
      <c r="XEL558"/>
      <c r="XEM558"/>
      <c r="XEN558"/>
      <c r="XEO558"/>
      <c r="XEP558"/>
      <c r="XEQ558"/>
      <c r="XER558"/>
      <c r="XES558"/>
      <c r="XET558"/>
      <c r="XEU558"/>
      <c r="XEV558"/>
      <c r="XEW558"/>
      <c r="XEX558"/>
      <c r="XEY558"/>
      <c r="XEZ558"/>
      <c r="XFA558"/>
      <c r="XFB558"/>
      <c r="XFC558"/>
      <c r="XFD558"/>
    </row>
    <row r="559" spans="1:18 16327:16384" s="26" customFormat="1" ht="29.1" customHeight="1" outlineLevel="3" x14ac:dyDescent="0.25">
      <c r="A559" s="42" t="s">
        <v>949</v>
      </c>
      <c r="B559" s="43"/>
      <c r="C559" s="66" t="s">
        <v>741</v>
      </c>
      <c r="D559" s="66"/>
      <c r="E559" s="43" t="s">
        <v>34</v>
      </c>
      <c r="F559" s="44"/>
      <c r="G559" s="43" t="s">
        <v>65</v>
      </c>
      <c r="H559" s="45">
        <v>1.02</v>
      </c>
      <c r="I559" s="46">
        <f>1083.24</f>
        <v>1083.24</v>
      </c>
      <c r="J559" s="23"/>
      <c r="K559" s="47"/>
      <c r="L559" s="48"/>
      <c r="M559" s="49"/>
      <c r="N559" s="49">
        <f t="shared" si="17"/>
        <v>0</v>
      </c>
      <c r="O559" s="49"/>
      <c r="P559" s="49"/>
      <c r="Q559" s="49"/>
      <c r="R559" s="23"/>
      <c r="XCY559"/>
      <c r="XCZ559"/>
      <c r="XDA559"/>
      <c r="XDB559"/>
      <c r="XDC559"/>
      <c r="XDD559"/>
      <c r="XDE559"/>
      <c r="XDF559"/>
      <c r="XDG559"/>
      <c r="XDH559"/>
      <c r="XDI559"/>
      <c r="XDJ559"/>
      <c r="XDK559"/>
      <c r="XDL559"/>
      <c r="XDM559"/>
      <c r="XDN559"/>
      <c r="XDO559"/>
      <c r="XDP559"/>
      <c r="XDQ559"/>
      <c r="XDR559"/>
      <c r="XDS559"/>
      <c r="XDT559"/>
      <c r="XDU559"/>
      <c r="XDV559"/>
      <c r="XDW559"/>
      <c r="XDX559"/>
      <c r="XDY559"/>
      <c r="XDZ559"/>
      <c r="XEA559"/>
      <c r="XEB559"/>
      <c r="XEC559"/>
      <c r="XED559"/>
      <c r="XEE559"/>
      <c r="XEF559"/>
      <c r="XEG559"/>
      <c r="XEH559"/>
      <c r="XEI559"/>
      <c r="XEJ559"/>
      <c r="XEK559"/>
      <c r="XEL559"/>
      <c r="XEM559"/>
      <c r="XEN559"/>
      <c r="XEO559"/>
      <c r="XEP559"/>
      <c r="XEQ559"/>
      <c r="XER559"/>
      <c r="XES559"/>
      <c r="XET559"/>
      <c r="XEU559"/>
      <c r="XEV559"/>
      <c r="XEW559"/>
      <c r="XEX559"/>
      <c r="XEY559"/>
      <c r="XEZ559"/>
      <c r="XFA559"/>
      <c r="XFB559"/>
      <c r="XFC559"/>
      <c r="XFD559"/>
    </row>
    <row r="560" spans="1:18 16327:16384" s="26" customFormat="1" ht="29.1" customHeight="1" outlineLevel="2" x14ac:dyDescent="0.25">
      <c r="A560" s="34" t="s">
        <v>950</v>
      </c>
      <c r="B560" s="35"/>
      <c r="C560" s="65" t="s">
        <v>278</v>
      </c>
      <c r="D560" s="65"/>
      <c r="E560" s="35"/>
      <c r="F560" s="36" t="s">
        <v>936</v>
      </c>
      <c r="G560" s="35" t="s">
        <v>31</v>
      </c>
      <c r="H560" s="37"/>
      <c r="I560" s="38">
        <f>1600</f>
        <v>1600</v>
      </c>
      <c r="J560" s="23"/>
      <c r="K560" s="39"/>
      <c r="L560" s="40"/>
      <c r="M560" s="41">
        <f>K560+L560</f>
        <v>0</v>
      </c>
      <c r="N560" s="41">
        <f t="shared" si="17"/>
        <v>0</v>
      </c>
      <c r="O560" s="41">
        <f>ROUND((I560*L560),2)</f>
        <v>0</v>
      </c>
      <c r="P560" s="41">
        <f>ROUND((I560*M560),2)</f>
        <v>0</v>
      </c>
      <c r="Q560" s="41"/>
      <c r="R560" s="23"/>
      <c r="XCY560"/>
      <c r="XCZ560"/>
      <c r="XDA560"/>
      <c r="XDB560"/>
      <c r="XDC560"/>
      <c r="XDD560"/>
      <c r="XDE560"/>
      <c r="XDF560"/>
      <c r="XDG560"/>
      <c r="XDH560"/>
      <c r="XDI560"/>
      <c r="XDJ560"/>
      <c r="XDK560"/>
      <c r="XDL560"/>
      <c r="XDM560"/>
      <c r="XDN560"/>
      <c r="XDO560"/>
      <c r="XDP560"/>
      <c r="XDQ560"/>
      <c r="XDR560"/>
      <c r="XDS560"/>
      <c r="XDT560"/>
      <c r="XDU560"/>
      <c r="XDV560"/>
      <c r="XDW560"/>
      <c r="XDX560"/>
      <c r="XDY560"/>
      <c r="XDZ560"/>
      <c r="XEA560"/>
      <c r="XEB560"/>
      <c r="XEC560"/>
      <c r="XED560"/>
      <c r="XEE560"/>
      <c r="XEF560"/>
      <c r="XEG560"/>
      <c r="XEH560"/>
      <c r="XEI560"/>
      <c r="XEJ560"/>
      <c r="XEK560"/>
      <c r="XEL560"/>
      <c r="XEM560"/>
      <c r="XEN560"/>
      <c r="XEO560"/>
      <c r="XEP560"/>
      <c r="XEQ560"/>
      <c r="XER560"/>
      <c r="XES560"/>
      <c r="XET560"/>
      <c r="XEU560"/>
      <c r="XEV560"/>
      <c r="XEW560"/>
      <c r="XEX560"/>
      <c r="XEY560"/>
      <c r="XEZ560"/>
      <c r="XFA560"/>
      <c r="XFB560"/>
      <c r="XFC560"/>
      <c r="XFD560"/>
    </row>
    <row r="561" spans="1:18 16327:16384" s="26" customFormat="1" ht="29.1" customHeight="1" outlineLevel="3" x14ac:dyDescent="0.25">
      <c r="A561" s="42" t="s">
        <v>951</v>
      </c>
      <c r="B561" s="43"/>
      <c r="C561" s="66" t="s">
        <v>744</v>
      </c>
      <c r="D561" s="66"/>
      <c r="E561" s="43" t="s">
        <v>34</v>
      </c>
      <c r="F561" s="44"/>
      <c r="G561" s="43" t="s">
        <v>65</v>
      </c>
      <c r="H561" s="45">
        <v>1</v>
      </c>
      <c r="I561" s="46">
        <f>400</f>
        <v>400</v>
      </c>
      <c r="J561" s="23"/>
      <c r="K561" s="47"/>
      <c r="L561" s="48"/>
      <c r="M561" s="49"/>
      <c r="N561" s="49">
        <f t="shared" si="17"/>
        <v>0</v>
      </c>
      <c r="O561" s="49"/>
      <c r="P561" s="49"/>
      <c r="Q561" s="49"/>
      <c r="R561" s="23"/>
      <c r="XCY561"/>
      <c r="XCZ561"/>
      <c r="XDA561"/>
      <c r="XDB561"/>
      <c r="XDC561"/>
      <c r="XDD561"/>
      <c r="XDE561"/>
      <c r="XDF561"/>
      <c r="XDG561"/>
      <c r="XDH561"/>
      <c r="XDI561"/>
      <c r="XDJ561"/>
      <c r="XDK561"/>
      <c r="XDL561"/>
      <c r="XDM561"/>
      <c r="XDN561"/>
      <c r="XDO561"/>
      <c r="XDP561"/>
      <c r="XDQ561"/>
      <c r="XDR561"/>
      <c r="XDS561"/>
      <c r="XDT561"/>
      <c r="XDU561"/>
      <c r="XDV561"/>
      <c r="XDW561"/>
      <c r="XDX561"/>
      <c r="XDY561"/>
      <c r="XDZ561"/>
      <c r="XEA561"/>
      <c r="XEB561"/>
      <c r="XEC561"/>
      <c r="XED561"/>
      <c r="XEE561"/>
      <c r="XEF561"/>
      <c r="XEG561"/>
      <c r="XEH561"/>
      <c r="XEI561"/>
      <c r="XEJ561"/>
      <c r="XEK561"/>
      <c r="XEL561"/>
      <c r="XEM561"/>
      <c r="XEN561"/>
      <c r="XEO561"/>
      <c r="XEP561"/>
      <c r="XEQ561"/>
      <c r="XER561"/>
      <c r="XES561"/>
      <c r="XET561"/>
      <c r="XEU561"/>
      <c r="XEV561"/>
      <c r="XEW561"/>
      <c r="XEX561"/>
      <c r="XEY561"/>
      <c r="XEZ561"/>
      <c r="XFA561"/>
      <c r="XFB561"/>
      <c r="XFC561"/>
      <c r="XFD561"/>
    </row>
    <row r="562" spans="1:18 16327:16384" s="26" customFormat="1" ht="29.1" customHeight="1" outlineLevel="3" x14ac:dyDescent="0.25">
      <c r="A562" s="42" t="s">
        <v>952</v>
      </c>
      <c r="B562" s="43"/>
      <c r="C562" s="66" t="s">
        <v>953</v>
      </c>
      <c r="D562" s="66"/>
      <c r="E562" s="43" t="s">
        <v>34</v>
      </c>
      <c r="F562" s="44"/>
      <c r="G562" s="43" t="s">
        <v>747</v>
      </c>
      <c r="H562" s="45">
        <v>1</v>
      </c>
      <c r="I562" s="46">
        <f>0.068</f>
        <v>6.8000000000000005E-2</v>
      </c>
      <c r="J562" s="23"/>
      <c r="K562" s="47"/>
      <c r="L562" s="48"/>
      <c r="M562" s="49"/>
      <c r="N562" s="49">
        <f t="shared" si="17"/>
        <v>0</v>
      </c>
      <c r="O562" s="49"/>
      <c r="P562" s="49"/>
      <c r="Q562" s="49"/>
      <c r="R562" s="23"/>
      <c r="XCY562"/>
      <c r="XCZ562"/>
      <c r="XDA562"/>
      <c r="XDB562"/>
      <c r="XDC562"/>
      <c r="XDD562"/>
      <c r="XDE562"/>
      <c r="XDF562"/>
      <c r="XDG562"/>
      <c r="XDH562"/>
      <c r="XDI562"/>
      <c r="XDJ562"/>
      <c r="XDK562"/>
      <c r="XDL562"/>
      <c r="XDM562"/>
      <c r="XDN562"/>
      <c r="XDO562"/>
      <c r="XDP562"/>
      <c r="XDQ562"/>
      <c r="XDR562"/>
      <c r="XDS562"/>
      <c r="XDT562"/>
      <c r="XDU562"/>
      <c r="XDV562"/>
      <c r="XDW562"/>
      <c r="XDX562"/>
      <c r="XDY562"/>
      <c r="XDZ562"/>
      <c r="XEA562"/>
      <c r="XEB562"/>
      <c r="XEC562"/>
      <c r="XED562"/>
      <c r="XEE562"/>
      <c r="XEF562"/>
      <c r="XEG562"/>
      <c r="XEH562"/>
      <c r="XEI562"/>
      <c r="XEJ562"/>
      <c r="XEK562"/>
      <c r="XEL562"/>
      <c r="XEM562"/>
      <c r="XEN562"/>
      <c r="XEO562"/>
      <c r="XEP562"/>
      <c r="XEQ562"/>
      <c r="XER562"/>
      <c r="XES562"/>
      <c r="XET562"/>
      <c r="XEU562"/>
      <c r="XEV562"/>
      <c r="XEW562"/>
      <c r="XEX562"/>
      <c r="XEY562"/>
      <c r="XEZ562"/>
      <c r="XFA562"/>
      <c r="XFB562"/>
      <c r="XFC562"/>
      <c r="XFD562"/>
    </row>
    <row r="563" spans="1:18 16327:16384" s="26" customFormat="1" ht="29.1" customHeight="1" outlineLevel="3" x14ac:dyDescent="0.25">
      <c r="A563" s="42" t="s">
        <v>954</v>
      </c>
      <c r="B563" s="43"/>
      <c r="C563" s="66" t="s">
        <v>749</v>
      </c>
      <c r="D563" s="66"/>
      <c r="E563" s="43" t="s">
        <v>34</v>
      </c>
      <c r="F563" s="44"/>
      <c r="G563" s="43" t="s">
        <v>31</v>
      </c>
      <c r="H563" s="45">
        <v>1</v>
      </c>
      <c r="I563" s="46">
        <f>75</f>
        <v>75</v>
      </c>
      <c r="J563" s="23"/>
      <c r="K563" s="47"/>
      <c r="L563" s="48"/>
      <c r="M563" s="49"/>
      <c r="N563" s="49">
        <f t="shared" ref="N563:N594" si="18">ROUND((I563*K563),2)</f>
        <v>0</v>
      </c>
      <c r="O563" s="49"/>
      <c r="P563" s="49"/>
      <c r="Q563" s="49"/>
      <c r="R563" s="23"/>
      <c r="XCY563"/>
      <c r="XCZ563"/>
      <c r="XDA563"/>
      <c r="XDB563"/>
      <c r="XDC563"/>
      <c r="XDD563"/>
      <c r="XDE563"/>
      <c r="XDF563"/>
      <c r="XDG563"/>
      <c r="XDH563"/>
      <c r="XDI563"/>
      <c r="XDJ563"/>
      <c r="XDK563"/>
      <c r="XDL563"/>
      <c r="XDM563"/>
      <c r="XDN563"/>
      <c r="XDO563"/>
      <c r="XDP563"/>
      <c r="XDQ563"/>
      <c r="XDR563"/>
      <c r="XDS563"/>
      <c r="XDT563"/>
      <c r="XDU563"/>
      <c r="XDV563"/>
      <c r="XDW563"/>
      <c r="XDX563"/>
      <c r="XDY563"/>
      <c r="XDZ563"/>
      <c r="XEA563"/>
      <c r="XEB563"/>
      <c r="XEC563"/>
      <c r="XED563"/>
      <c r="XEE563"/>
      <c r="XEF563"/>
      <c r="XEG563"/>
      <c r="XEH563"/>
      <c r="XEI563"/>
      <c r="XEJ563"/>
      <c r="XEK563"/>
      <c r="XEL563"/>
      <c r="XEM563"/>
      <c r="XEN563"/>
      <c r="XEO563"/>
      <c r="XEP563"/>
      <c r="XEQ563"/>
      <c r="XER563"/>
      <c r="XES563"/>
      <c r="XET563"/>
      <c r="XEU563"/>
      <c r="XEV563"/>
      <c r="XEW563"/>
      <c r="XEX563"/>
      <c r="XEY563"/>
      <c r="XEZ563"/>
      <c r="XFA563"/>
      <c r="XFB563"/>
      <c r="XFC563"/>
      <c r="XFD563"/>
    </row>
    <row r="564" spans="1:18 16327:16384" s="26" customFormat="1" ht="29.1" customHeight="1" outlineLevel="3" x14ac:dyDescent="0.25">
      <c r="A564" s="42" t="s">
        <v>955</v>
      </c>
      <c r="B564" s="43"/>
      <c r="C564" s="66" t="s">
        <v>839</v>
      </c>
      <c r="D564" s="66"/>
      <c r="E564" s="43" t="s">
        <v>34</v>
      </c>
      <c r="F564" s="44"/>
      <c r="G564" s="43" t="s">
        <v>285</v>
      </c>
      <c r="H564" s="45">
        <v>1</v>
      </c>
      <c r="I564" s="46">
        <f>138</f>
        <v>138</v>
      </c>
      <c r="J564" s="23"/>
      <c r="K564" s="47"/>
      <c r="L564" s="48"/>
      <c r="M564" s="49"/>
      <c r="N564" s="49">
        <f t="shared" si="18"/>
        <v>0</v>
      </c>
      <c r="O564" s="49"/>
      <c r="P564" s="49"/>
      <c r="Q564" s="49"/>
      <c r="R564" s="23"/>
      <c r="XCY564"/>
      <c r="XCZ564"/>
      <c r="XDA564"/>
      <c r="XDB564"/>
      <c r="XDC564"/>
      <c r="XDD564"/>
      <c r="XDE564"/>
      <c r="XDF564"/>
      <c r="XDG564"/>
      <c r="XDH564"/>
      <c r="XDI564"/>
      <c r="XDJ564"/>
      <c r="XDK564"/>
      <c r="XDL564"/>
      <c r="XDM564"/>
      <c r="XDN564"/>
      <c r="XDO564"/>
      <c r="XDP564"/>
      <c r="XDQ564"/>
      <c r="XDR564"/>
      <c r="XDS564"/>
      <c r="XDT564"/>
      <c r="XDU564"/>
      <c r="XDV564"/>
      <c r="XDW564"/>
      <c r="XDX564"/>
      <c r="XDY564"/>
      <c r="XDZ564"/>
      <c r="XEA564"/>
      <c r="XEB564"/>
      <c r="XEC564"/>
      <c r="XED564"/>
      <c r="XEE564"/>
      <c r="XEF564"/>
      <c r="XEG564"/>
      <c r="XEH564"/>
      <c r="XEI564"/>
      <c r="XEJ564"/>
      <c r="XEK564"/>
      <c r="XEL564"/>
      <c r="XEM564"/>
      <c r="XEN564"/>
      <c r="XEO564"/>
      <c r="XEP564"/>
      <c r="XEQ564"/>
      <c r="XER564"/>
      <c r="XES564"/>
      <c r="XET564"/>
      <c r="XEU564"/>
      <c r="XEV564"/>
      <c r="XEW564"/>
      <c r="XEX564"/>
      <c r="XEY564"/>
      <c r="XEZ564"/>
      <c r="XFA564"/>
      <c r="XFB564"/>
      <c r="XFC564"/>
      <c r="XFD564"/>
    </row>
    <row r="565" spans="1:18 16327:16384" s="26" customFormat="1" ht="29.1" customHeight="1" outlineLevel="3" x14ac:dyDescent="0.25">
      <c r="A565" s="42" t="s">
        <v>956</v>
      </c>
      <c r="B565" s="43"/>
      <c r="C565" s="66" t="s">
        <v>752</v>
      </c>
      <c r="D565" s="66"/>
      <c r="E565" s="43" t="s">
        <v>34</v>
      </c>
      <c r="F565" s="44"/>
      <c r="G565" s="43" t="s">
        <v>753</v>
      </c>
      <c r="H565" s="45">
        <v>1</v>
      </c>
      <c r="I565" s="46">
        <f>2.5</f>
        <v>2.5</v>
      </c>
      <c r="J565" s="23"/>
      <c r="K565" s="47"/>
      <c r="L565" s="48"/>
      <c r="M565" s="49"/>
      <c r="N565" s="49">
        <f t="shared" si="18"/>
        <v>0</v>
      </c>
      <c r="O565" s="49"/>
      <c r="P565" s="49"/>
      <c r="Q565" s="49"/>
      <c r="R565" s="23"/>
      <c r="XCY565"/>
      <c r="XCZ565"/>
      <c r="XDA565"/>
      <c r="XDB565"/>
      <c r="XDC565"/>
      <c r="XDD565"/>
      <c r="XDE565"/>
      <c r="XDF565"/>
      <c r="XDG565"/>
      <c r="XDH565"/>
      <c r="XDI565"/>
      <c r="XDJ565"/>
      <c r="XDK565"/>
      <c r="XDL565"/>
      <c r="XDM565"/>
      <c r="XDN565"/>
      <c r="XDO565"/>
      <c r="XDP565"/>
      <c r="XDQ565"/>
      <c r="XDR565"/>
      <c r="XDS565"/>
      <c r="XDT565"/>
      <c r="XDU565"/>
      <c r="XDV565"/>
      <c r="XDW565"/>
      <c r="XDX565"/>
      <c r="XDY565"/>
      <c r="XDZ565"/>
      <c r="XEA565"/>
      <c r="XEB565"/>
      <c r="XEC565"/>
      <c r="XED565"/>
      <c r="XEE565"/>
      <c r="XEF565"/>
      <c r="XEG565"/>
      <c r="XEH565"/>
      <c r="XEI565"/>
      <c r="XEJ565"/>
      <c r="XEK565"/>
      <c r="XEL565"/>
      <c r="XEM565"/>
      <c r="XEN565"/>
      <c r="XEO565"/>
      <c r="XEP565"/>
      <c r="XEQ565"/>
      <c r="XER565"/>
      <c r="XES565"/>
      <c r="XET565"/>
      <c r="XEU565"/>
      <c r="XEV565"/>
      <c r="XEW565"/>
      <c r="XEX565"/>
      <c r="XEY565"/>
      <c r="XEZ565"/>
      <c r="XFA565"/>
      <c r="XFB565"/>
      <c r="XFC565"/>
      <c r="XFD565"/>
    </row>
    <row r="566" spans="1:18 16327:16384" s="26" customFormat="1" ht="29.1" customHeight="1" outlineLevel="2" x14ac:dyDescent="0.25">
      <c r="A566" s="34" t="s">
        <v>957</v>
      </c>
      <c r="B566" s="35"/>
      <c r="C566" s="65" t="s">
        <v>958</v>
      </c>
      <c r="D566" s="65"/>
      <c r="E566" s="35"/>
      <c r="F566" s="36" t="s">
        <v>959</v>
      </c>
      <c r="G566" s="35" t="s">
        <v>65</v>
      </c>
      <c r="H566" s="37"/>
      <c r="I566" s="38">
        <f>18</f>
        <v>18</v>
      </c>
      <c r="J566" s="23"/>
      <c r="K566" s="39"/>
      <c r="L566" s="40"/>
      <c r="M566" s="41">
        <f>K566+L566</f>
        <v>0</v>
      </c>
      <c r="N566" s="41">
        <f t="shared" si="18"/>
        <v>0</v>
      </c>
      <c r="O566" s="41">
        <f>ROUND((I566*L566),2)</f>
        <v>0</v>
      </c>
      <c r="P566" s="41">
        <f>ROUND((I566*M566),2)</f>
        <v>0</v>
      </c>
      <c r="Q566" s="41"/>
      <c r="R566" s="23"/>
      <c r="XCY566"/>
      <c r="XCZ566"/>
      <c r="XDA566"/>
      <c r="XDB566"/>
      <c r="XDC566"/>
      <c r="XDD566"/>
      <c r="XDE566"/>
      <c r="XDF566"/>
      <c r="XDG566"/>
      <c r="XDH566"/>
      <c r="XDI566"/>
      <c r="XDJ566"/>
      <c r="XDK566"/>
      <c r="XDL566"/>
      <c r="XDM566"/>
      <c r="XDN566"/>
      <c r="XDO566"/>
      <c r="XDP566"/>
      <c r="XDQ566"/>
      <c r="XDR566"/>
      <c r="XDS566"/>
      <c r="XDT566"/>
      <c r="XDU566"/>
      <c r="XDV566"/>
      <c r="XDW566"/>
      <c r="XDX566"/>
      <c r="XDY566"/>
      <c r="XDZ566"/>
      <c r="XEA566"/>
      <c r="XEB566"/>
      <c r="XEC566"/>
      <c r="XED566"/>
      <c r="XEE566"/>
      <c r="XEF566"/>
      <c r="XEG566"/>
      <c r="XEH566"/>
      <c r="XEI566"/>
      <c r="XEJ566"/>
      <c r="XEK566"/>
      <c r="XEL566"/>
      <c r="XEM566"/>
      <c r="XEN566"/>
      <c r="XEO566"/>
      <c r="XEP566"/>
      <c r="XEQ566"/>
      <c r="XER566"/>
      <c r="XES566"/>
      <c r="XET566"/>
      <c r="XEU566"/>
      <c r="XEV566"/>
      <c r="XEW566"/>
      <c r="XEX566"/>
      <c r="XEY566"/>
      <c r="XEZ566"/>
      <c r="XFA566"/>
      <c r="XFB566"/>
      <c r="XFC566"/>
      <c r="XFD566"/>
    </row>
    <row r="567" spans="1:18 16327:16384" s="26" customFormat="1" ht="29.1" customHeight="1" outlineLevel="3" x14ac:dyDescent="0.25">
      <c r="A567" s="42" t="s">
        <v>960</v>
      </c>
      <c r="B567" s="43"/>
      <c r="C567" s="66" t="s">
        <v>961</v>
      </c>
      <c r="D567" s="66"/>
      <c r="E567" s="43" t="s">
        <v>34</v>
      </c>
      <c r="F567" s="44"/>
      <c r="G567" s="43" t="s">
        <v>65</v>
      </c>
      <c r="H567" s="45">
        <v>1.03</v>
      </c>
      <c r="I567" s="46">
        <f>18.54</f>
        <v>18.54</v>
      </c>
      <c r="J567" s="23"/>
      <c r="K567" s="47"/>
      <c r="L567" s="48"/>
      <c r="M567" s="49"/>
      <c r="N567" s="49">
        <f t="shared" si="18"/>
        <v>0</v>
      </c>
      <c r="O567" s="49"/>
      <c r="P567" s="49"/>
      <c r="Q567" s="49"/>
      <c r="R567" s="23"/>
      <c r="XCY567"/>
      <c r="XCZ567"/>
      <c r="XDA567"/>
      <c r="XDB567"/>
      <c r="XDC567"/>
      <c r="XDD567"/>
      <c r="XDE567"/>
      <c r="XDF567"/>
      <c r="XDG567"/>
      <c r="XDH567"/>
      <c r="XDI567"/>
      <c r="XDJ567"/>
      <c r="XDK567"/>
      <c r="XDL567"/>
      <c r="XDM567"/>
      <c r="XDN567"/>
      <c r="XDO567"/>
      <c r="XDP567"/>
      <c r="XDQ567"/>
      <c r="XDR567"/>
      <c r="XDS567"/>
      <c r="XDT567"/>
      <c r="XDU567"/>
      <c r="XDV567"/>
      <c r="XDW567"/>
      <c r="XDX567"/>
      <c r="XDY567"/>
      <c r="XDZ567"/>
      <c r="XEA567"/>
      <c r="XEB567"/>
      <c r="XEC567"/>
      <c r="XED567"/>
      <c r="XEE567"/>
      <c r="XEF567"/>
      <c r="XEG567"/>
      <c r="XEH567"/>
      <c r="XEI567"/>
      <c r="XEJ567"/>
      <c r="XEK567"/>
      <c r="XEL567"/>
      <c r="XEM567"/>
      <c r="XEN567"/>
      <c r="XEO567"/>
      <c r="XEP567"/>
      <c r="XEQ567"/>
      <c r="XER567"/>
      <c r="XES567"/>
      <c r="XET567"/>
      <c r="XEU567"/>
      <c r="XEV567"/>
      <c r="XEW567"/>
      <c r="XEX567"/>
      <c r="XEY567"/>
      <c r="XEZ567"/>
      <c r="XFA567"/>
      <c r="XFB567"/>
      <c r="XFC567"/>
      <c r="XFD567"/>
    </row>
    <row r="568" spans="1:18 16327:16384" s="26" customFormat="1" ht="29.1" customHeight="1" outlineLevel="3" x14ac:dyDescent="0.25">
      <c r="A568" s="42" t="s">
        <v>962</v>
      </c>
      <c r="B568" s="43"/>
      <c r="C568" s="66" t="s">
        <v>963</v>
      </c>
      <c r="D568" s="66"/>
      <c r="E568" s="43" t="s">
        <v>34</v>
      </c>
      <c r="F568" s="44"/>
      <c r="G568" s="43" t="s">
        <v>31</v>
      </c>
      <c r="H568" s="45">
        <v>1</v>
      </c>
      <c r="I568" s="46">
        <f>6</f>
        <v>6</v>
      </c>
      <c r="J568" s="23"/>
      <c r="K568" s="47"/>
      <c r="L568" s="48"/>
      <c r="M568" s="49"/>
      <c r="N568" s="49">
        <f t="shared" si="18"/>
        <v>0</v>
      </c>
      <c r="O568" s="49"/>
      <c r="P568" s="49"/>
      <c r="Q568" s="49"/>
      <c r="R568" s="23"/>
      <c r="XCY568"/>
      <c r="XCZ568"/>
      <c r="XDA568"/>
      <c r="XDB568"/>
      <c r="XDC568"/>
      <c r="XDD568"/>
      <c r="XDE568"/>
      <c r="XDF568"/>
      <c r="XDG568"/>
      <c r="XDH568"/>
      <c r="XDI568"/>
      <c r="XDJ568"/>
      <c r="XDK568"/>
      <c r="XDL568"/>
      <c r="XDM568"/>
      <c r="XDN568"/>
      <c r="XDO568"/>
      <c r="XDP568"/>
      <c r="XDQ568"/>
      <c r="XDR568"/>
      <c r="XDS568"/>
      <c r="XDT568"/>
      <c r="XDU568"/>
      <c r="XDV568"/>
      <c r="XDW568"/>
      <c r="XDX568"/>
      <c r="XDY568"/>
      <c r="XDZ568"/>
      <c r="XEA568"/>
      <c r="XEB568"/>
      <c r="XEC568"/>
      <c r="XED568"/>
      <c r="XEE568"/>
      <c r="XEF568"/>
      <c r="XEG568"/>
      <c r="XEH568"/>
      <c r="XEI568"/>
      <c r="XEJ568"/>
      <c r="XEK568"/>
      <c r="XEL568"/>
      <c r="XEM568"/>
      <c r="XEN568"/>
      <c r="XEO568"/>
      <c r="XEP568"/>
      <c r="XEQ568"/>
      <c r="XER568"/>
      <c r="XES568"/>
      <c r="XET568"/>
      <c r="XEU568"/>
      <c r="XEV568"/>
      <c r="XEW568"/>
      <c r="XEX568"/>
      <c r="XEY568"/>
      <c r="XEZ568"/>
      <c r="XFA568"/>
      <c r="XFB568"/>
      <c r="XFC568"/>
      <c r="XFD568"/>
    </row>
    <row r="569" spans="1:18 16327:16384" s="26" customFormat="1" ht="29.1" customHeight="1" outlineLevel="3" x14ac:dyDescent="0.25">
      <c r="A569" s="42" t="s">
        <v>964</v>
      </c>
      <c r="B569" s="43"/>
      <c r="C569" s="66" t="s">
        <v>965</v>
      </c>
      <c r="D569" s="66"/>
      <c r="E569" s="43" t="s">
        <v>34</v>
      </c>
      <c r="F569" s="44"/>
      <c r="G569" s="43" t="s">
        <v>31</v>
      </c>
      <c r="H569" s="45">
        <v>1</v>
      </c>
      <c r="I569" s="46">
        <f>6</f>
        <v>6</v>
      </c>
      <c r="J569" s="23"/>
      <c r="K569" s="47"/>
      <c r="L569" s="48"/>
      <c r="M569" s="49"/>
      <c r="N569" s="49">
        <f t="shared" si="18"/>
        <v>0</v>
      </c>
      <c r="O569" s="49"/>
      <c r="P569" s="49"/>
      <c r="Q569" s="49"/>
      <c r="R569" s="23"/>
      <c r="XCY569"/>
      <c r="XCZ569"/>
      <c r="XDA569"/>
      <c r="XDB569"/>
      <c r="XDC569"/>
      <c r="XDD569"/>
      <c r="XDE569"/>
      <c r="XDF569"/>
      <c r="XDG569"/>
      <c r="XDH569"/>
      <c r="XDI569"/>
      <c r="XDJ569"/>
      <c r="XDK569"/>
      <c r="XDL569"/>
      <c r="XDM569"/>
      <c r="XDN569"/>
      <c r="XDO569"/>
      <c r="XDP569"/>
      <c r="XDQ569"/>
      <c r="XDR569"/>
      <c r="XDS569"/>
      <c r="XDT569"/>
      <c r="XDU569"/>
      <c r="XDV569"/>
      <c r="XDW569"/>
      <c r="XDX569"/>
      <c r="XDY569"/>
      <c r="XDZ569"/>
      <c r="XEA569"/>
      <c r="XEB569"/>
      <c r="XEC569"/>
      <c r="XED569"/>
      <c r="XEE569"/>
      <c r="XEF569"/>
      <c r="XEG569"/>
      <c r="XEH569"/>
      <c r="XEI569"/>
      <c r="XEJ569"/>
      <c r="XEK569"/>
      <c r="XEL569"/>
      <c r="XEM569"/>
      <c r="XEN569"/>
      <c r="XEO569"/>
      <c r="XEP569"/>
      <c r="XEQ569"/>
      <c r="XER569"/>
      <c r="XES569"/>
      <c r="XET569"/>
      <c r="XEU569"/>
      <c r="XEV569"/>
      <c r="XEW569"/>
      <c r="XEX569"/>
      <c r="XEY569"/>
      <c r="XEZ569"/>
      <c r="XFA569"/>
      <c r="XFB569"/>
      <c r="XFC569"/>
      <c r="XFD569"/>
    </row>
    <row r="570" spans="1:18 16327:16384" s="26" customFormat="1" ht="29.1" customHeight="1" outlineLevel="3" x14ac:dyDescent="0.25">
      <c r="A570" s="42" t="s">
        <v>966</v>
      </c>
      <c r="B570" s="43"/>
      <c r="C570" s="66" t="s">
        <v>967</v>
      </c>
      <c r="D570" s="66"/>
      <c r="E570" s="43" t="s">
        <v>34</v>
      </c>
      <c r="F570" s="44"/>
      <c r="G570" s="43" t="s">
        <v>31</v>
      </c>
      <c r="H570" s="45">
        <v>1</v>
      </c>
      <c r="I570" s="46">
        <f>6</f>
        <v>6</v>
      </c>
      <c r="J570" s="23"/>
      <c r="K570" s="47"/>
      <c r="L570" s="48"/>
      <c r="M570" s="49"/>
      <c r="N570" s="49">
        <f t="shared" si="18"/>
        <v>0</v>
      </c>
      <c r="O570" s="49"/>
      <c r="P570" s="49"/>
      <c r="Q570" s="49"/>
      <c r="R570" s="23"/>
      <c r="XCY570"/>
      <c r="XCZ570"/>
      <c r="XDA570"/>
      <c r="XDB570"/>
      <c r="XDC570"/>
      <c r="XDD570"/>
      <c r="XDE570"/>
      <c r="XDF570"/>
      <c r="XDG570"/>
      <c r="XDH570"/>
      <c r="XDI570"/>
      <c r="XDJ570"/>
      <c r="XDK570"/>
      <c r="XDL570"/>
      <c r="XDM570"/>
      <c r="XDN570"/>
      <c r="XDO570"/>
      <c r="XDP570"/>
      <c r="XDQ570"/>
      <c r="XDR570"/>
      <c r="XDS570"/>
      <c r="XDT570"/>
      <c r="XDU570"/>
      <c r="XDV570"/>
      <c r="XDW570"/>
      <c r="XDX570"/>
      <c r="XDY570"/>
      <c r="XDZ570"/>
      <c r="XEA570"/>
      <c r="XEB570"/>
      <c r="XEC570"/>
      <c r="XED570"/>
      <c r="XEE570"/>
      <c r="XEF570"/>
      <c r="XEG570"/>
      <c r="XEH570"/>
      <c r="XEI570"/>
      <c r="XEJ570"/>
      <c r="XEK570"/>
      <c r="XEL570"/>
      <c r="XEM570"/>
      <c r="XEN570"/>
      <c r="XEO570"/>
      <c r="XEP570"/>
      <c r="XEQ570"/>
      <c r="XER570"/>
      <c r="XES570"/>
      <c r="XET570"/>
      <c r="XEU570"/>
      <c r="XEV570"/>
      <c r="XEW570"/>
      <c r="XEX570"/>
      <c r="XEY570"/>
      <c r="XEZ570"/>
      <c r="XFA570"/>
      <c r="XFB570"/>
      <c r="XFC570"/>
      <c r="XFD570"/>
    </row>
    <row r="571" spans="1:18 16327:16384" s="26" customFormat="1" ht="29.1" customHeight="1" outlineLevel="3" x14ac:dyDescent="0.25">
      <c r="A571" s="42" t="s">
        <v>968</v>
      </c>
      <c r="B571" s="43"/>
      <c r="C571" s="66" t="s">
        <v>969</v>
      </c>
      <c r="D571" s="66"/>
      <c r="E571" s="43" t="s">
        <v>34</v>
      </c>
      <c r="F571" s="44"/>
      <c r="G571" s="43" t="s">
        <v>31</v>
      </c>
      <c r="H571" s="45">
        <v>1</v>
      </c>
      <c r="I571" s="46">
        <f>50</f>
        <v>50</v>
      </c>
      <c r="J571" s="23"/>
      <c r="K571" s="47"/>
      <c r="L571" s="48"/>
      <c r="M571" s="49"/>
      <c r="N571" s="49">
        <f t="shared" si="18"/>
        <v>0</v>
      </c>
      <c r="O571" s="49"/>
      <c r="P571" s="49"/>
      <c r="Q571" s="49"/>
      <c r="R571" s="23"/>
      <c r="XCY571"/>
      <c r="XCZ571"/>
      <c r="XDA571"/>
      <c r="XDB571"/>
      <c r="XDC571"/>
      <c r="XDD571"/>
      <c r="XDE571"/>
      <c r="XDF571"/>
      <c r="XDG571"/>
      <c r="XDH571"/>
      <c r="XDI571"/>
      <c r="XDJ571"/>
      <c r="XDK571"/>
      <c r="XDL571"/>
      <c r="XDM571"/>
      <c r="XDN571"/>
      <c r="XDO571"/>
      <c r="XDP571"/>
      <c r="XDQ571"/>
      <c r="XDR571"/>
      <c r="XDS571"/>
      <c r="XDT571"/>
      <c r="XDU571"/>
      <c r="XDV571"/>
      <c r="XDW571"/>
      <c r="XDX571"/>
      <c r="XDY571"/>
      <c r="XDZ571"/>
      <c r="XEA571"/>
      <c r="XEB571"/>
      <c r="XEC571"/>
      <c r="XED571"/>
      <c r="XEE571"/>
      <c r="XEF571"/>
      <c r="XEG571"/>
      <c r="XEH571"/>
      <c r="XEI571"/>
      <c r="XEJ571"/>
      <c r="XEK571"/>
      <c r="XEL571"/>
      <c r="XEM571"/>
      <c r="XEN571"/>
      <c r="XEO571"/>
      <c r="XEP571"/>
      <c r="XEQ571"/>
      <c r="XER571"/>
      <c r="XES571"/>
      <c r="XET571"/>
      <c r="XEU571"/>
      <c r="XEV571"/>
      <c r="XEW571"/>
      <c r="XEX571"/>
      <c r="XEY571"/>
      <c r="XEZ571"/>
      <c r="XFA571"/>
      <c r="XFB571"/>
      <c r="XFC571"/>
      <c r="XFD571"/>
    </row>
    <row r="572" spans="1:18 16327:16384" s="26" customFormat="1" ht="29.1" customHeight="1" outlineLevel="3" x14ac:dyDescent="0.25">
      <c r="A572" s="42" t="s">
        <v>970</v>
      </c>
      <c r="B572" s="43"/>
      <c r="C572" s="66" t="s">
        <v>971</v>
      </c>
      <c r="D572" s="66"/>
      <c r="E572" s="43" t="s">
        <v>34</v>
      </c>
      <c r="F572" s="44"/>
      <c r="G572" s="43" t="s">
        <v>31</v>
      </c>
      <c r="H572" s="45">
        <v>1</v>
      </c>
      <c r="I572" s="46">
        <f>17</f>
        <v>17</v>
      </c>
      <c r="J572" s="23"/>
      <c r="K572" s="47"/>
      <c r="L572" s="48"/>
      <c r="M572" s="49"/>
      <c r="N572" s="49">
        <f t="shared" si="18"/>
        <v>0</v>
      </c>
      <c r="O572" s="49"/>
      <c r="P572" s="49"/>
      <c r="Q572" s="49"/>
      <c r="R572" s="23"/>
      <c r="XCY572"/>
      <c r="XCZ572"/>
      <c r="XDA572"/>
      <c r="XDB572"/>
      <c r="XDC572"/>
      <c r="XDD572"/>
      <c r="XDE572"/>
      <c r="XDF572"/>
      <c r="XDG572"/>
      <c r="XDH572"/>
      <c r="XDI572"/>
      <c r="XDJ572"/>
      <c r="XDK572"/>
      <c r="XDL572"/>
      <c r="XDM572"/>
      <c r="XDN572"/>
      <c r="XDO572"/>
      <c r="XDP572"/>
      <c r="XDQ572"/>
      <c r="XDR572"/>
      <c r="XDS572"/>
      <c r="XDT572"/>
      <c r="XDU572"/>
      <c r="XDV572"/>
      <c r="XDW572"/>
      <c r="XDX572"/>
      <c r="XDY572"/>
      <c r="XDZ572"/>
      <c r="XEA572"/>
      <c r="XEB572"/>
      <c r="XEC572"/>
      <c r="XED572"/>
      <c r="XEE572"/>
      <c r="XEF572"/>
      <c r="XEG572"/>
      <c r="XEH572"/>
      <c r="XEI572"/>
      <c r="XEJ572"/>
      <c r="XEK572"/>
      <c r="XEL572"/>
      <c r="XEM572"/>
      <c r="XEN572"/>
      <c r="XEO572"/>
      <c r="XEP572"/>
      <c r="XEQ572"/>
      <c r="XER572"/>
      <c r="XES572"/>
      <c r="XET572"/>
      <c r="XEU572"/>
      <c r="XEV572"/>
      <c r="XEW572"/>
      <c r="XEX572"/>
      <c r="XEY572"/>
      <c r="XEZ572"/>
      <c r="XFA572"/>
      <c r="XFB572"/>
      <c r="XFC572"/>
      <c r="XFD572"/>
    </row>
    <row r="573" spans="1:18 16327:16384" s="26" customFormat="1" ht="29.1" customHeight="1" outlineLevel="3" x14ac:dyDescent="0.25">
      <c r="A573" s="42" t="s">
        <v>972</v>
      </c>
      <c r="B573" s="43"/>
      <c r="C573" s="66" t="s">
        <v>973</v>
      </c>
      <c r="D573" s="66"/>
      <c r="E573" s="43" t="s">
        <v>34</v>
      </c>
      <c r="F573" s="44"/>
      <c r="G573" s="43" t="s">
        <v>31</v>
      </c>
      <c r="H573" s="45">
        <v>1</v>
      </c>
      <c r="I573" s="46">
        <f>21</f>
        <v>21</v>
      </c>
      <c r="J573" s="23"/>
      <c r="K573" s="47"/>
      <c r="L573" s="48"/>
      <c r="M573" s="49"/>
      <c r="N573" s="49">
        <f t="shared" si="18"/>
        <v>0</v>
      </c>
      <c r="O573" s="49"/>
      <c r="P573" s="49"/>
      <c r="Q573" s="49"/>
      <c r="R573" s="23"/>
      <c r="XCY573"/>
      <c r="XCZ573"/>
      <c r="XDA573"/>
      <c r="XDB573"/>
      <c r="XDC573"/>
      <c r="XDD573"/>
      <c r="XDE573"/>
      <c r="XDF573"/>
      <c r="XDG573"/>
      <c r="XDH573"/>
      <c r="XDI573"/>
      <c r="XDJ573"/>
      <c r="XDK573"/>
      <c r="XDL573"/>
      <c r="XDM573"/>
      <c r="XDN573"/>
      <c r="XDO573"/>
      <c r="XDP573"/>
      <c r="XDQ573"/>
      <c r="XDR573"/>
      <c r="XDS573"/>
      <c r="XDT573"/>
      <c r="XDU573"/>
      <c r="XDV573"/>
      <c r="XDW573"/>
      <c r="XDX573"/>
      <c r="XDY573"/>
      <c r="XDZ573"/>
      <c r="XEA573"/>
      <c r="XEB573"/>
      <c r="XEC573"/>
      <c r="XED573"/>
      <c r="XEE573"/>
      <c r="XEF573"/>
      <c r="XEG573"/>
      <c r="XEH573"/>
      <c r="XEI573"/>
      <c r="XEJ573"/>
      <c r="XEK573"/>
      <c r="XEL573"/>
      <c r="XEM573"/>
      <c r="XEN573"/>
      <c r="XEO573"/>
      <c r="XEP573"/>
      <c r="XEQ573"/>
      <c r="XER573"/>
      <c r="XES573"/>
      <c r="XET573"/>
      <c r="XEU573"/>
      <c r="XEV573"/>
      <c r="XEW573"/>
      <c r="XEX573"/>
      <c r="XEY573"/>
      <c r="XEZ573"/>
      <c r="XFA573"/>
      <c r="XFB573"/>
      <c r="XFC573"/>
      <c r="XFD573"/>
    </row>
    <row r="574" spans="1:18 16327:16384" s="26" customFormat="1" ht="29.1" customHeight="1" outlineLevel="3" x14ac:dyDescent="0.25">
      <c r="A574" s="42" t="s">
        <v>974</v>
      </c>
      <c r="B574" s="43"/>
      <c r="C574" s="66" t="s">
        <v>975</v>
      </c>
      <c r="D574" s="66"/>
      <c r="E574" s="43" t="s">
        <v>34</v>
      </c>
      <c r="F574" s="44"/>
      <c r="G574" s="43" t="s">
        <v>31</v>
      </c>
      <c r="H574" s="45">
        <v>1</v>
      </c>
      <c r="I574" s="46">
        <f>2</f>
        <v>2</v>
      </c>
      <c r="J574" s="23"/>
      <c r="K574" s="47"/>
      <c r="L574" s="48"/>
      <c r="M574" s="49"/>
      <c r="N574" s="49">
        <f t="shared" si="18"/>
        <v>0</v>
      </c>
      <c r="O574" s="49"/>
      <c r="P574" s="49"/>
      <c r="Q574" s="49"/>
      <c r="R574" s="23"/>
      <c r="XCY574"/>
      <c r="XCZ574"/>
      <c r="XDA574"/>
      <c r="XDB574"/>
      <c r="XDC574"/>
      <c r="XDD574"/>
      <c r="XDE574"/>
      <c r="XDF574"/>
      <c r="XDG574"/>
      <c r="XDH574"/>
      <c r="XDI574"/>
      <c r="XDJ574"/>
      <c r="XDK574"/>
      <c r="XDL574"/>
      <c r="XDM574"/>
      <c r="XDN574"/>
      <c r="XDO574"/>
      <c r="XDP574"/>
      <c r="XDQ574"/>
      <c r="XDR574"/>
      <c r="XDS574"/>
      <c r="XDT574"/>
      <c r="XDU574"/>
      <c r="XDV574"/>
      <c r="XDW574"/>
      <c r="XDX574"/>
      <c r="XDY574"/>
      <c r="XDZ574"/>
      <c r="XEA574"/>
      <c r="XEB574"/>
      <c r="XEC574"/>
      <c r="XED574"/>
      <c r="XEE574"/>
      <c r="XEF574"/>
      <c r="XEG574"/>
      <c r="XEH574"/>
      <c r="XEI574"/>
      <c r="XEJ574"/>
      <c r="XEK574"/>
      <c r="XEL574"/>
      <c r="XEM574"/>
      <c r="XEN574"/>
      <c r="XEO574"/>
      <c r="XEP574"/>
      <c r="XEQ574"/>
      <c r="XER574"/>
      <c r="XES574"/>
      <c r="XET574"/>
      <c r="XEU574"/>
      <c r="XEV574"/>
      <c r="XEW574"/>
      <c r="XEX574"/>
      <c r="XEY574"/>
      <c r="XEZ574"/>
      <c r="XFA574"/>
      <c r="XFB574"/>
      <c r="XFC574"/>
      <c r="XFD574"/>
    </row>
    <row r="575" spans="1:18 16327:16384" s="26" customFormat="1" ht="29.1" customHeight="1" outlineLevel="3" x14ac:dyDescent="0.25">
      <c r="A575" s="42" t="s">
        <v>976</v>
      </c>
      <c r="B575" s="43"/>
      <c r="C575" s="66" t="s">
        <v>977</v>
      </c>
      <c r="D575" s="66"/>
      <c r="E575" s="43" t="s">
        <v>34</v>
      </c>
      <c r="F575" s="44"/>
      <c r="G575" s="43" t="s">
        <v>31</v>
      </c>
      <c r="H575" s="45">
        <v>1</v>
      </c>
      <c r="I575" s="46">
        <f>6</f>
        <v>6</v>
      </c>
      <c r="J575" s="23"/>
      <c r="K575" s="47"/>
      <c r="L575" s="48"/>
      <c r="M575" s="49"/>
      <c r="N575" s="49">
        <f t="shared" si="18"/>
        <v>0</v>
      </c>
      <c r="O575" s="49"/>
      <c r="P575" s="49"/>
      <c r="Q575" s="49"/>
      <c r="R575" s="23"/>
      <c r="XCY575"/>
      <c r="XCZ575"/>
      <c r="XDA575"/>
      <c r="XDB575"/>
      <c r="XDC575"/>
      <c r="XDD575"/>
      <c r="XDE575"/>
      <c r="XDF575"/>
      <c r="XDG575"/>
      <c r="XDH575"/>
      <c r="XDI575"/>
      <c r="XDJ575"/>
      <c r="XDK575"/>
      <c r="XDL575"/>
      <c r="XDM575"/>
      <c r="XDN575"/>
      <c r="XDO575"/>
      <c r="XDP575"/>
      <c r="XDQ575"/>
      <c r="XDR575"/>
      <c r="XDS575"/>
      <c r="XDT575"/>
      <c r="XDU575"/>
      <c r="XDV575"/>
      <c r="XDW575"/>
      <c r="XDX575"/>
      <c r="XDY575"/>
      <c r="XDZ575"/>
      <c r="XEA575"/>
      <c r="XEB575"/>
      <c r="XEC575"/>
      <c r="XED575"/>
      <c r="XEE575"/>
      <c r="XEF575"/>
      <c r="XEG575"/>
      <c r="XEH575"/>
      <c r="XEI575"/>
      <c r="XEJ575"/>
      <c r="XEK575"/>
      <c r="XEL575"/>
      <c r="XEM575"/>
      <c r="XEN575"/>
      <c r="XEO575"/>
      <c r="XEP575"/>
      <c r="XEQ575"/>
      <c r="XER575"/>
      <c r="XES575"/>
      <c r="XET575"/>
      <c r="XEU575"/>
      <c r="XEV575"/>
      <c r="XEW575"/>
      <c r="XEX575"/>
      <c r="XEY575"/>
      <c r="XEZ575"/>
      <c r="XFA575"/>
      <c r="XFB575"/>
      <c r="XFC575"/>
      <c r="XFD575"/>
    </row>
    <row r="576" spans="1:18 16327:16384" s="26" customFormat="1" ht="29.1" customHeight="1" outlineLevel="3" x14ac:dyDescent="0.25">
      <c r="A576" s="42" t="s">
        <v>978</v>
      </c>
      <c r="B576" s="43"/>
      <c r="C576" s="66" t="s">
        <v>979</v>
      </c>
      <c r="D576" s="66"/>
      <c r="E576" s="43" t="s">
        <v>34</v>
      </c>
      <c r="F576" s="44"/>
      <c r="G576" s="43" t="s">
        <v>31</v>
      </c>
      <c r="H576" s="45">
        <v>1</v>
      </c>
      <c r="I576" s="46">
        <f>6</f>
        <v>6</v>
      </c>
      <c r="J576" s="23"/>
      <c r="K576" s="47"/>
      <c r="L576" s="48"/>
      <c r="M576" s="49"/>
      <c r="N576" s="49">
        <f t="shared" si="18"/>
        <v>0</v>
      </c>
      <c r="O576" s="49"/>
      <c r="P576" s="49"/>
      <c r="Q576" s="49"/>
      <c r="R576" s="23"/>
      <c r="XCY576"/>
      <c r="XCZ576"/>
      <c r="XDA576"/>
      <c r="XDB576"/>
      <c r="XDC576"/>
      <c r="XDD576"/>
      <c r="XDE576"/>
      <c r="XDF576"/>
      <c r="XDG576"/>
      <c r="XDH576"/>
      <c r="XDI576"/>
      <c r="XDJ576"/>
      <c r="XDK576"/>
      <c r="XDL576"/>
      <c r="XDM576"/>
      <c r="XDN576"/>
      <c r="XDO576"/>
      <c r="XDP576"/>
      <c r="XDQ576"/>
      <c r="XDR576"/>
      <c r="XDS576"/>
      <c r="XDT576"/>
      <c r="XDU576"/>
      <c r="XDV576"/>
      <c r="XDW576"/>
      <c r="XDX576"/>
      <c r="XDY576"/>
      <c r="XDZ576"/>
      <c r="XEA576"/>
      <c r="XEB576"/>
      <c r="XEC576"/>
      <c r="XED576"/>
      <c r="XEE576"/>
      <c r="XEF576"/>
      <c r="XEG576"/>
      <c r="XEH576"/>
      <c r="XEI576"/>
      <c r="XEJ576"/>
      <c r="XEK576"/>
      <c r="XEL576"/>
      <c r="XEM576"/>
      <c r="XEN576"/>
      <c r="XEO576"/>
      <c r="XEP576"/>
      <c r="XEQ576"/>
      <c r="XER576"/>
      <c r="XES576"/>
      <c r="XET576"/>
      <c r="XEU576"/>
      <c r="XEV576"/>
      <c r="XEW576"/>
      <c r="XEX576"/>
      <c r="XEY576"/>
      <c r="XEZ576"/>
      <c r="XFA576"/>
      <c r="XFB576"/>
      <c r="XFC576"/>
      <c r="XFD576"/>
    </row>
    <row r="577" spans="1:18 16327:16384" s="26" customFormat="1" ht="29.1" customHeight="1" outlineLevel="3" x14ac:dyDescent="0.25">
      <c r="A577" s="42" t="s">
        <v>980</v>
      </c>
      <c r="B577" s="43"/>
      <c r="C577" s="66" t="s">
        <v>981</v>
      </c>
      <c r="D577" s="66"/>
      <c r="E577" s="43" t="s">
        <v>34</v>
      </c>
      <c r="F577" s="44"/>
      <c r="G577" s="43" t="s">
        <v>31</v>
      </c>
      <c r="H577" s="45">
        <v>1</v>
      </c>
      <c r="I577" s="46">
        <f>6</f>
        <v>6</v>
      </c>
      <c r="J577" s="23"/>
      <c r="K577" s="47"/>
      <c r="L577" s="48"/>
      <c r="M577" s="49"/>
      <c r="N577" s="49">
        <f t="shared" si="18"/>
        <v>0</v>
      </c>
      <c r="O577" s="49"/>
      <c r="P577" s="49"/>
      <c r="Q577" s="49"/>
      <c r="R577" s="23"/>
      <c r="XCY577"/>
      <c r="XCZ577"/>
      <c r="XDA577"/>
      <c r="XDB577"/>
      <c r="XDC577"/>
      <c r="XDD577"/>
      <c r="XDE577"/>
      <c r="XDF577"/>
      <c r="XDG577"/>
      <c r="XDH577"/>
      <c r="XDI577"/>
      <c r="XDJ577"/>
      <c r="XDK577"/>
      <c r="XDL577"/>
      <c r="XDM577"/>
      <c r="XDN577"/>
      <c r="XDO577"/>
      <c r="XDP577"/>
      <c r="XDQ577"/>
      <c r="XDR577"/>
      <c r="XDS577"/>
      <c r="XDT577"/>
      <c r="XDU577"/>
      <c r="XDV577"/>
      <c r="XDW577"/>
      <c r="XDX577"/>
      <c r="XDY577"/>
      <c r="XDZ577"/>
      <c r="XEA577"/>
      <c r="XEB577"/>
      <c r="XEC577"/>
      <c r="XED577"/>
      <c r="XEE577"/>
      <c r="XEF577"/>
      <c r="XEG577"/>
      <c r="XEH577"/>
      <c r="XEI577"/>
      <c r="XEJ577"/>
      <c r="XEK577"/>
      <c r="XEL577"/>
      <c r="XEM577"/>
      <c r="XEN577"/>
      <c r="XEO577"/>
      <c r="XEP577"/>
      <c r="XEQ577"/>
      <c r="XER577"/>
      <c r="XES577"/>
      <c r="XET577"/>
      <c r="XEU577"/>
      <c r="XEV577"/>
      <c r="XEW577"/>
      <c r="XEX577"/>
      <c r="XEY577"/>
      <c r="XEZ577"/>
      <c r="XFA577"/>
      <c r="XFB577"/>
      <c r="XFC577"/>
      <c r="XFD577"/>
    </row>
    <row r="578" spans="1:18 16327:16384" s="26" customFormat="1" ht="29.1" customHeight="1" outlineLevel="3" x14ac:dyDescent="0.25">
      <c r="A578" s="42" t="s">
        <v>982</v>
      </c>
      <c r="B578" s="43"/>
      <c r="C578" s="66" t="s">
        <v>983</v>
      </c>
      <c r="D578" s="66"/>
      <c r="E578" s="43" t="s">
        <v>34</v>
      </c>
      <c r="F578" s="44"/>
      <c r="G578" s="43" t="s">
        <v>31</v>
      </c>
      <c r="H578" s="45">
        <v>1</v>
      </c>
      <c r="I578" s="46">
        <f>359</f>
        <v>359</v>
      </c>
      <c r="J578" s="23"/>
      <c r="K578" s="47"/>
      <c r="L578" s="48"/>
      <c r="M578" s="49"/>
      <c r="N578" s="49">
        <f t="shared" si="18"/>
        <v>0</v>
      </c>
      <c r="O578" s="49"/>
      <c r="P578" s="49"/>
      <c r="Q578" s="49"/>
      <c r="R578" s="23"/>
      <c r="XCY578"/>
      <c r="XCZ578"/>
      <c r="XDA578"/>
      <c r="XDB578"/>
      <c r="XDC578"/>
      <c r="XDD578"/>
      <c r="XDE578"/>
      <c r="XDF578"/>
      <c r="XDG578"/>
      <c r="XDH578"/>
      <c r="XDI578"/>
      <c r="XDJ578"/>
      <c r="XDK578"/>
      <c r="XDL578"/>
      <c r="XDM578"/>
      <c r="XDN578"/>
      <c r="XDO578"/>
      <c r="XDP578"/>
      <c r="XDQ578"/>
      <c r="XDR578"/>
      <c r="XDS578"/>
      <c r="XDT578"/>
      <c r="XDU578"/>
      <c r="XDV578"/>
      <c r="XDW578"/>
      <c r="XDX578"/>
      <c r="XDY578"/>
      <c r="XDZ578"/>
      <c r="XEA578"/>
      <c r="XEB578"/>
      <c r="XEC578"/>
      <c r="XED578"/>
      <c r="XEE578"/>
      <c r="XEF578"/>
      <c r="XEG578"/>
      <c r="XEH578"/>
      <c r="XEI578"/>
      <c r="XEJ578"/>
      <c r="XEK578"/>
      <c r="XEL578"/>
      <c r="XEM578"/>
      <c r="XEN578"/>
      <c r="XEO578"/>
      <c r="XEP578"/>
      <c r="XEQ578"/>
      <c r="XER578"/>
      <c r="XES578"/>
      <c r="XET578"/>
      <c r="XEU578"/>
      <c r="XEV578"/>
      <c r="XEW578"/>
      <c r="XEX578"/>
      <c r="XEY578"/>
      <c r="XEZ578"/>
      <c r="XFA578"/>
      <c r="XFB578"/>
      <c r="XFC578"/>
      <c r="XFD578"/>
    </row>
    <row r="579" spans="1:18 16327:16384" s="26" customFormat="1" ht="29.1" customHeight="1" outlineLevel="3" x14ac:dyDescent="0.25">
      <c r="A579" s="42" t="s">
        <v>984</v>
      </c>
      <c r="B579" s="43"/>
      <c r="C579" s="66" t="s">
        <v>735</v>
      </c>
      <c r="D579" s="66"/>
      <c r="E579" s="43" t="s">
        <v>34</v>
      </c>
      <c r="F579" s="44"/>
      <c r="G579" s="43" t="s">
        <v>31</v>
      </c>
      <c r="H579" s="45">
        <v>1</v>
      </c>
      <c r="I579" s="46">
        <f>4</f>
        <v>4</v>
      </c>
      <c r="J579" s="23"/>
      <c r="K579" s="47"/>
      <c r="L579" s="48"/>
      <c r="M579" s="49"/>
      <c r="N579" s="49">
        <f t="shared" si="18"/>
        <v>0</v>
      </c>
      <c r="O579" s="49"/>
      <c r="P579" s="49"/>
      <c r="Q579" s="49"/>
      <c r="R579" s="23"/>
      <c r="XCY579"/>
      <c r="XCZ579"/>
      <c r="XDA579"/>
      <c r="XDB579"/>
      <c r="XDC579"/>
      <c r="XDD579"/>
      <c r="XDE579"/>
      <c r="XDF579"/>
      <c r="XDG579"/>
      <c r="XDH579"/>
      <c r="XDI579"/>
      <c r="XDJ579"/>
      <c r="XDK579"/>
      <c r="XDL579"/>
      <c r="XDM579"/>
      <c r="XDN579"/>
      <c r="XDO579"/>
      <c r="XDP579"/>
      <c r="XDQ579"/>
      <c r="XDR579"/>
      <c r="XDS579"/>
      <c r="XDT579"/>
      <c r="XDU579"/>
      <c r="XDV579"/>
      <c r="XDW579"/>
      <c r="XDX579"/>
      <c r="XDY579"/>
      <c r="XDZ579"/>
      <c r="XEA579"/>
      <c r="XEB579"/>
      <c r="XEC579"/>
      <c r="XED579"/>
      <c r="XEE579"/>
      <c r="XEF579"/>
      <c r="XEG579"/>
      <c r="XEH579"/>
      <c r="XEI579"/>
      <c r="XEJ579"/>
      <c r="XEK579"/>
      <c r="XEL579"/>
      <c r="XEM579"/>
      <c r="XEN579"/>
      <c r="XEO579"/>
      <c r="XEP579"/>
      <c r="XEQ579"/>
      <c r="XER579"/>
      <c r="XES579"/>
      <c r="XET579"/>
      <c r="XEU579"/>
      <c r="XEV579"/>
      <c r="XEW579"/>
      <c r="XEX579"/>
      <c r="XEY579"/>
      <c r="XEZ579"/>
      <c r="XFA579"/>
      <c r="XFB579"/>
      <c r="XFC579"/>
      <c r="XFD579"/>
    </row>
    <row r="580" spans="1:18 16327:16384" s="26" customFormat="1" ht="29.1" customHeight="1" outlineLevel="2" x14ac:dyDescent="0.25">
      <c r="A580" s="34" t="s">
        <v>985</v>
      </c>
      <c r="B580" s="35"/>
      <c r="C580" s="65" t="s">
        <v>889</v>
      </c>
      <c r="D580" s="65"/>
      <c r="E580" s="35"/>
      <c r="F580" s="36" t="s">
        <v>959</v>
      </c>
      <c r="G580" s="35" t="s">
        <v>65</v>
      </c>
      <c r="H580" s="37"/>
      <c r="I580" s="38">
        <f>257</f>
        <v>257</v>
      </c>
      <c r="J580" s="23"/>
      <c r="K580" s="39"/>
      <c r="L580" s="40"/>
      <c r="M580" s="41">
        <f>K580+L580</f>
        <v>0</v>
      </c>
      <c r="N580" s="41">
        <f t="shared" si="18"/>
        <v>0</v>
      </c>
      <c r="O580" s="41">
        <f>ROUND((I580*L580),2)</f>
        <v>0</v>
      </c>
      <c r="P580" s="41">
        <f>ROUND((I580*M580),2)</f>
        <v>0</v>
      </c>
      <c r="Q580" s="41"/>
      <c r="R580" s="23"/>
      <c r="XCY580"/>
      <c r="XCZ580"/>
      <c r="XDA580"/>
      <c r="XDB580"/>
      <c r="XDC580"/>
      <c r="XDD580"/>
      <c r="XDE580"/>
      <c r="XDF580"/>
      <c r="XDG580"/>
      <c r="XDH580"/>
      <c r="XDI580"/>
      <c r="XDJ580"/>
      <c r="XDK580"/>
      <c r="XDL580"/>
      <c r="XDM580"/>
      <c r="XDN580"/>
      <c r="XDO580"/>
      <c r="XDP580"/>
      <c r="XDQ580"/>
      <c r="XDR580"/>
      <c r="XDS580"/>
      <c r="XDT580"/>
      <c r="XDU580"/>
      <c r="XDV580"/>
      <c r="XDW580"/>
      <c r="XDX580"/>
      <c r="XDY580"/>
      <c r="XDZ580"/>
      <c r="XEA580"/>
      <c r="XEB580"/>
      <c r="XEC580"/>
      <c r="XED580"/>
      <c r="XEE580"/>
      <c r="XEF580"/>
      <c r="XEG580"/>
      <c r="XEH580"/>
      <c r="XEI580"/>
      <c r="XEJ580"/>
      <c r="XEK580"/>
      <c r="XEL580"/>
      <c r="XEM580"/>
      <c r="XEN580"/>
      <c r="XEO580"/>
      <c r="XEP580"/>
      <c r="XEQ580"/>
      <c r="XER580"/>
      <c r="XES580"/>
      <c r="XET580"/>
      <c r="XEU580"/>
      <c r="XEV580"/>
      <c r="XEW580"/>
      <c r="XEX580"/>
      <c r="XEY580"/>
      <c r="XEZ580"/>
      <c r="XFA580"/>
      <c r="XFB580"/>
      <c r="XFC580"/>
      <c r="XFD580"/>
    </row>
    <row r="581" spans="1:18 16327:16384" s="26" customFormat="1" ht="29.1" customHeight="1" outlineLevel="3" x14ac:dyDescent="0.25">
      <c r="A581" s="42" t="s">
        <v>986</v>
      </c>
      <c r="B581" s="43"/>
      <c r="C581" s="66" t="s">
        <v>987</v>
      </c>
      <c r="D581" s="66"/>
      <c r="E581" s="43" t="s">
        <v>34</v>
      </c>
      <c r="F581" s="44"/>
      <c r="G581" s="43" t="s">
        <v>65</v>
      </c>
      <c r="H581" s="45">
        <v>1.03</v>
      </c>
      <c r="I581" s="46">
        <f>264.71</f>
        <v>264.70999999999998</v>
      </c>
      <c r="J581" s="23"/>
      <c r="K581" s="47"/>
      <c r="L581" s="48"/>
      <c r="M581" s="49"/>
      <c r="N581" s="49">
        <f t="shared" si="18"/>
        <v>0</v>
      </c>
      <c r="O581" s="49"/>
      <c r="P581" s="49"/>
      <c r="Q581" s="49"/>
      <c r="R581" s="23"/>
      <c r="XCY581"/>
      <c r="XCZ581"/>
      <c r="XDA581"/>
      <c r="XDB581"/>
      <c r="XDC581"/>
      <c r="XDD581"/>
      <c r="XDE581"/>
      <c r="XDF581"/>
      <c r="XDG581"/>
      <c r="XDH581"/>
      <c r="XDI581"/>
      <c r="XDJ581"/>
      <c r="XDK581"/>
      <c r="XDL581"/>
      <c r="XDM581"/>
      <c r="XDN581"/>
      <c r="XDO581"/>
      <c r="XDP581"/>
      <c r="XDQ581"/>
      <c r="XDR581"/>
      <c r="XDS581"/>
      <c r="XDT581"/>
      <c r="XDU581"/>
      <c r="XDV581"/>
      <c r="XDW581"/>
      <c r="XDX581"/>
      <c r="XDY581"/>
      <c r="XDZ581"/>
      <c r="XEA581"/>
      <c r="XEB581"/>
      <c r="XEC581"/>
      <c r="XED581"/>
      <c r="XEE581"/>
      <c r="XEF581"/>
      <c r="XEG581"/>
      <c r="XEH581"/>
      <c r="XEI581"/>
      <c r="XEJ581"/>
      <c r="XEK581"/>
      <c r="XEL581"/>
      <c r="XEM581"/>
      <c r="XEN581"/>
      <c r="XEO581"/>
      <c r="XEP581"/>
      <c r="XEQ581"/>
      <c r="XER581"/>
      <c r="XES581"/>
      <c r="XET581"/>
      <c r="XEU581"/>
      <c r="XEV581"/>
      <c r="XEW581"/>
      <c r="XEX581"/>
      <c r="XEY581"/>
      <c r="XEZ581"/>
      <c r="XFA581"/>
      <c r="XFB581"/>
      <c r="XFC581"/>
      <c r="XFD581"/>
    </row>
    <row r="582" spans="1:18 16327:16384" s="26" customFormat="1" ht="29.1" customHeight="1" outlineLevel="3" x14ac:dyDescent="0.25">
      <c r="A582" s="42" t="s">
        <v>988</v>
      </c>
      <c r="B582" s="43"/>
      <c r="C582" s="66" t="s">
        <v>989</v>
      </c>
      <c r="D582" s="66"/>
      <c r="E582" s="43" t="s">
        <v>34</v>
      </c>
      <c r="F582" s="44"/>
      <c r="G582" s="43" t="s">
        <v>31</v>
      </c>
      <c r="H582" s="45">
        <v>1</v>
      </c>
      <c r="I582" s="46">
        <f>86</f>
        <v>86</v>
      </c>
      <c r="J582" s="23"/>
      <c r="K582" s="47"/>
      <c r="L582" s="48"/>
      <c r="M582" s="49"/>
      <c r="N582" s="49">
        <f t="shared" si="18"/>
        <v>0</v>
      </c>
      <c r="O582" s="49"/>
      <c r="P582" s="49"/>
      <c r="Q582" s="49"/>
      <c r="R582" s="23"/>
      <c r="XCY582"/>
      <c r="XCZ582"/>
      <c r="XDA582"/>
      <c r="XDB582"/>
      <c r="XDC582"/>
      <c r="XDD582"/>
      <c r="XDE582"/>
      <c r="XDF582"/>
      <c r="XDG582"/>
      <c r="XDH582"/>
      <c r="XDI582"/>
      <c r="XDJ582"/>
      <c r="XDK582"/>
      <c r="XDL582"/>
      <c r="XDM582"/>
      <c r="XDN582"/>
      <c r="XDO582"/>
      <c r="XDP582"/>
      <c r="XDQ582"/>
      <c r="XDR582"/>
      <c r="XDS582"/>
      <c r="XDT582"/>
      <c r="XDU582"/>
      <c r="XDV582"/>
      <c r="XDW582"/>
      <c r="XDX582"/>
      <c r="XDY582"/>
      <c r="XDZ582"/>
      <c r="XEA582"/>
      <c r="XEB582"/>
      <c r="XEC582"/>
      <c r="XED582"/>
      <c r="XEE582"/>
      <c r="XEF582"/>
      <c r="XEG582"/>
      <c r="XEH582"/>
      <c r="XEI582"/>
      <c r="XEJ582"/>
      <c r="XEK582"/>
      <c r="XEL582"/>
      <c r="XEM582"/>
      <c r="XEN582"/>
      <c r="XEO582"/>
      <c r="XEP582"/>
      <c r="XEQ582"/>
      <c r="XER582"/>
      <c r="XES582"/>
      <c r="XET582"/>
      <c r="XEU582"/>
      <c r="XEV582"/>
      <c r="XEW582"/>
      <c r="XEX582"/>
      <c r="XEY582"/>
      <c r="XEZ582"/>
      <c r="XFA582"/>
      <c r="XFB582"/>
      <c r="XFC582"/>
      <c r="XFD582"/>
    </row>
    <row r="583" spans="1:18 16327:16384" s="26" customFormat="1" ht="29.1" customHeight="1" outlineLevel="3" x14ac:dyDescent="0.25">
      <c r="A583" s="42" t="s">
        <v>990</v>
      </c>
      <c r="B583" s="43"/>
      <c r="C583" s="66" t="s">
        <v>991</v>
      </c>
      <c r="D583" s="66"/>
      <c r="E583" s="43" t="s">
        <v>34</v>
      </c>
      <c r="F583" s="44"/>
      <c r="G583" s="43" t="s">
        <v>31</v>
      </c>
      <c r="H583" s="45">
        <v>1</v>
      </c>
      <c r="I583" s="46">
        <f>6</f>
        <v>6</v>
      </c>
      <c r="J583" s="23"/>
      <c r="K583" s="47"/>
      <c r="L583" s="48"/>
      <c r="M583" s="49"/>
      <c r="N583" s="49">
        <f t="shared" si="18"/>
        <v>0</v>
      </c>
      <c r="O583" s="49"/>
      <c r="P583" s="49"/>
      <c r="Q583" s="49"/>
      <c r="R583" s="23"/>
      <c r="XCY583"/>
      <c r="XCZ583"/>
      <c r="XDA583"/>
      <c r="XDB583"/>
      <c r="XDC583"/>
      <c r="XDD583"/>
      <c r="XDE583"/>
      <c r="XDF583"/>
      <c r="XDG583"/>
      <c r="XDH583"/>
      <c r="XDI583"/>
      <c r="XDJ583"/>
      <c r="XDK583"/>
      <c r="XDL583"/>
      <c r="XDM583"/>
      <c r="XDN583"/>
      <c r="XDO583"/>
      <c r="XDP583"/>
      <c r="XDQ583"/>
      <c r="XDR583"/>
      <c r="XDS583"/>
      <c r="XDT583"/>
      <c r="XDU583"/>
      <c r="XDV583"/>
      <c r="XDW583"/>
      <c r="XDX583"/>
      <c r="XDY583"/>
      <c r="XDZ583"/>
      <c r="XEA583"/>
      <c r="XEB583"/>
      <c r="XEC583"/>
      <c r="XED583"/>
      <c r="XEE583"/>
      <c r="XEF583"/>
      <c r="XEG583"/>
      <c r="XEH583"/>
      <c r="XEI583"/>
      <c r="XEJ583"/>
      <c r="XEK583"/>
      <c r="XEL583"/>
      <c r="XEM583"/>
      <c r="XEN583"/>
      <c r="XEO583"/>
      <c r="XEP583"/>
      <c r="XEQ583"/>
      <c r="XER583"/>
      <c r="XES583"/>
      <c r="XET583"/>
      <c r="XEU583"/>
      <c r="XEV583"/>
      <c r="XEW583"/>
      <c r="XEX583"/>
      <c r="XEY583"/>
      <c r="XEZ583"/>
      <c r="XFA583"/>
      <c r="XFB583"/>
      <c r="XFC583"/>
      <c r="XFD583"/>
    </row>
    <row r="584" spans="1:18 16327:16384" s="26" customFormat="1" ht="29.1" customHeight="1" outlineLevel="3" x14ac:dyDescent="0.25">
      <c r="A584" s="42" t="s">
        <v>992</v>
      </c>
      <c r="B584" s="43"/>
      <c r="C584" s="66" t="s">
        <v>993</v>
      </c>
      <c r="D584" s="66"/>
      <c r="E584" s="43" t="s">
        <v>34</v>
      </c>
      <c r="F584" s="44"/>
      <c r="G584" s="43" t="s">
        <v>31</v>
      </c>
      <c r="H584" s="45">
        <v>1</v>
      </c>
      <c r="I584" s="46">
        <f>6</f>
        <v>6</v>
      </c>
      <c r="J584" s="23"/>
      <c r="K584" s="47"/>
      <c r="L584" s="48"/>
      <c r="M584" s="49"/>
      <c r="N584" s="49">
        <f t="shared" si="18"/>
        <v>0</v>
      </c>
      <c r="O584" s="49"/>
      <c r="P584" s="49"/>
      <c r="Q584" s="49"/>
      <c r="R584" s="23"/>
      <c r="XCY584"/>
      <c r="XCZ584"/>
      <c r="XDA584"/>
      <c r="XDB584"/>
      <c r="XDC584"/>
      <c r="XDD584"/>
      <c r="XDE584"/>
      <c r="XDF584"/>
      <c r="XDG584"/>
      <c r="XDH584"/>
      <c r="XDI584"/>
      <c r="XDJ584"/>
      <c r="XDK584"/>
      <c r="XDL584"/>
      <c r="XDM584"/>
      <c r="XDN584"/>
      <c r="XDO584"/>
      <c r="XDP584"/>
      <c r="XDQ584"/>
      <c r="XDR584"/>
      <c r="XDS584"/>
      <c r="XDT584"/>
      <c r="XDU584"/>
      <c r="XDV584"/>
      <c r="XDW584"/>
      <c r="XDX584"/>
      <c r="XDY584"/>
      <c r="XDZ584"/>
      <c r="XEA584"/>
      <c r="XEB584"/>
      <c r="XEC584"/>
      <c r="XED584"/>
      <c r="XEE584"/>
      <c r="XEF584"/>
      <c r="XEG584"/>
      <c r="XEH584"/>
      <c r="XEI584"/>
      <c r="XEJ584"/>
      <c r="XEK584"/>
      <c r="XEL584"/>
      <c r="XEM584"/>
      <c r="XEN584"/>
      <c r="XEO584"/>
      <c r="XEP584"/>
      <c r="XEQ584"/>
      <c r="XER584"/>
      <c r="XES584"/>
      <c r="XET584"/>
      <c r="XEU584"/>
      <c r="XEV584"/>
      <c r="XEW584"/>
      <c r="XEX584"/>
      <c r="XEY584"/>
      <c r="XEZ584"/>
      <c r="XFA584"/>
      <c r="XFB584"/>
      <c r="XFC584"/>
      <c r="XFD584"/>
    </row>
    <row r="585" spans="1:18 16327:16384" s="26" customFormat="1" ht="29.1" customHeight="1" outlineLevel="3" x14ac:dyDescent="0.25">
      <c r="A585" s="42" t="s">
        <v>994</v>
      </c>
      <c r="B585" s="43"/>
      <c r="C585" s="66" t="s">
        <v>995</v>
      </c>
      <c r="D585" s="66"/>
      <c r="E585" s="43" t="s">
        <v>34</v>
      </c>
      <c r="F585" s="44"/>
      <c r="G585" s="43" t="s">
        <v>31</v>
      </c>
      <c r="H585" s="45">
        <v>1</v>
      </c>
      <c r="I585" s="46">
        <f>28</f>
        <v>28</v>
      </c>
      <c r="J585" s="23"/>
      <c r="K585" s="47"/>
      <c r="L585" s="48"/>
      <c r="M585" s="49"/>
      <c r="N585" s="49">
        <f t="shared" si="18"/>
        <v>0</v>
      </c>
      <c r="O585" s="49"/>
      <c r="P585" s="49"/>
      <c r="Q585" s="49"/>
      <c r="R585" s="23"/>
      <c r="XCY585"/>
      <c r="XCZ585"/>
      <c r="XDA585"/>
      <c r="XDB585"/>
      <c r="XDC585"/>
      <c r="XDD585"/>
      <c r="XDE585"/>
      <c r="XDF585"/>
      <c r="XDG585"/>
      <c r="XDH585"/>
      <c r="XDI585"/>
      <c r="XDJ585"/>
      <c r="XDK585"/>
      <c r="XDL585"/>
      <c r="XDM585"/>
      <c r="XDN585"/>
      <c r="XDO585"/>
      <c r="XDP585"/>
      <c r="XDQ585"/>
      <c r="XDR585"/>
      <c r="XDS585"/>
      <c r="XDT585"/>
      <c r="XDU585"/>
      <c r="XDV585"/>
      <c r="XDW585"/>
      <c r="XDX585"/>
      <c r="XDY585"/>
      <c r="XDZ585"/>
      <c r="XEA585"/>
      <c r="XEB585"/>
      <c r="XEC585"/>
      <c r="XED585"/>
      <c r="XEE585"/>
      <c r="XEF585"/>
      <c r="XEG585"/>
      <c r="XEH585"/>
      <c r="XEI585"/>
      <c r="XEJ585"/>
      <c r="XEK585"/>
      <c r="XEL585"/>
      <c r="XEM585"/>
      <c r="XEN585"/>
      <c r="XEO585"/>
      <c r="XEP585"/>
      <c r="XEQ585"/>
      <c r="XER585"/>
      <c r="XES585"/>
      <c r="XET585"/>
      <c r="XEU585"/>
      <c r="XEV585"/>
      <c r="XEW585"/>
      <c r="XEX585"/>
      <c r="XEY585"/>
      <c r="XEZ585"/>
      <c r="XFA585"/>
      <c r="XFB585"/>
      <c r="XFC585"/>
      <c r="XFD585"/>
    </row>
    <row r="586" spans="1:18 16327:16384" s="26" customFormat="1" ht="29.1" customHeight="1" outlineLevel="3" x14ac:dyDescent="0.25">
      <c r="A586" s="42" t="s">
        <v>996</v>
      </c>
      <c r="B586" s="43"/>
      <c r="C586" s="66" t="s">
        <v>997</v>
      </c>
      <c r="D586" s="66"/>
      <c r="E586" s="43" t="s">
        <v>34</v>
      </c>
      <c r="F586" s="44"/>
      <c r="G586" s="43" t="s">
        <v>31</v>
      </c>
      <c r="H586" s="45">
        <v>1</v>
      </c>
      <c r="I586" s="46">
        <f>28</f>
        <v>28</v>
      </c>
      <c r="J586" s="23"/>
      <c r="K586" s="47"/>
      <c r="L586" s="48"/>
      <c r="M586" s="49"/>
      <c r="N586" s="49">
        <f t="shared" si="18"/>
        <v>0</v>
      </c>
      <c r="O586" s="49"/>
      <c r="P586" s="49"/>
      <c r="Q586" s="49"/>
      <c r="R586" s="23"/>
      <c r="XCY586"/>
      <c r="XCZ586"/>
      <c r="XDA586"/>
      <c r="XDB586"/>
      <c r="XDC586"/>
      <c r="XDD586"/>
      <c r="XDE586"/>
      <c r="XDF586"/>
      <c r="XDG586"/>
      <c r="XDH586"/>
      <c r="XDI586"/>
      <c r="XDJ586"/>
      <c r="XDK586"/>
      <c r="XDL586"/>
      <c r="XDM586"/>
      <c r="XDN586"/>
      <c r="XDO586"/>
      <c r="XDP586"/>
      <c r="XDQ586"/>
      <c r="XDR586"/>
      <c r="XDS586"/>
      <c r="XDT586"/>
      <c r="XDU586"/>
      <c r="XDV586"/>
      <c r="XDW586"/>
      <c r="XDX586"/>
      <c r="XDY586"/>
      <c r="XDZ586"/>
      <c r="XEA586"/>
      <c r="XEB586"/>
      <c r="XEC586"/>
      <c r="XED586"/>
      <c r="XEE586"/>
      <c r="XEF586"/>
      <c r="XEG586"/>
      <c r="XEH586"/>
      <c r="XEI586"/>
      <c r="XEJ586"/>
      <c r="XEK586"/>
      <c r="XEL586"/>
      <c r="XEM586"/>
      <c r="XEN586"/>
      <c r="XEO586"/>
      <c r="XEP586"/>
      <c r="XEQ586"/>
      <c r="XER586"/>
      <c r="XES586"/>
      <c r="XET586"/>
      <c r="XEU586"/>
      <c r="XEV586"/>
      <c r="XEW586"/>
      <c r="XEX586"/>
      <c r="XEY586"/>
      <c r="XEZ586"/>
      <c r="XFA586"/>
      <c r="XFB586"/>
      <c r="XFC586"/>
      <c r="XFD586"/>
    </row>
    <row r="587" spans="1:18 16327:16384" s="26" customFormat="1" ht="29.1" customHeight="1" outlineLevel="3" x14ac:dyDescent="0.25">
      <c r="A587" s="42" t="s">
        <v>998</v>
      </c>
      <c r="B587" s="43"/>
      <c r="C587" s="66" t="s">
        <v>999</v>
      </c>
      <c r="D587" s="66"/>
      <c r="E587" s="43" t="s">
        <v>34</v>
      </c>
      <c r="F587" s="44"/>
      <c r="G587" s="43" t="s">
        <v>31</v>
      </c>
      <c r="H587" s="45">
        <v>1</v>
      </c>
      <c r="I587" s="46">
        <f>12</f>
        <v>12</v>
      </c>
      <c r="J587" s="23"/>
      <c r="K587" s="47"/>
      <c r="L587" s="48"/>
      <c r="M587" s="49"/>
      <c r="N587" s="49">
        <f t="shared" si="18"/>
        <v>0</v>
      </c>
      <c r="O587" s="49"/>
      <c r="P587" s="49"/>
      <c r="Q587" s="49"/>
      <c r="R587" s="23"/>
      <c r="XCY587"/>
      <c r="XCZ587"/>
      <c r="XDA587"/>
      <c r="XDB587"/>
      <c r="XDC587"/>
      <c r="XDD587"/>
      <c r="XDE587"/>
      <c r="XDF587"/>
      <c r="XDG587"/>
      <c r="XDH587"/>
      <c r="XDI587"/>
      <c r="XDJ587"/>
      <c r="XDK587"/>
      <c r="XDL587"/>
      <c r="XDM587"/>
      <c r="XDN587"/>
      <c r="XDO587"/>
      <c r="XDP587"/>
      <c r="XDQ587"/>
      <c r="XDR587"/>
      <c r="XDS587"/>
      <c r="XDT587"/>
      <c r="XDU587"/>
      <c r="XDV587"/>
      <c r="XDW587"/>
      <c r="XDX587"/>
      <c r="XDY587"/>
      <c r="XDZ587"/>
      <c r="XEA587"/>
      <c r="XEB587"/>
      <c r="XEC587"/>
      <c r="XED587"/>
      <c r="XEE587"/>
      <c r="XEF587"/>
      <c r="XEG587"/>
      <c r="XEH587"/>
      <c r="XEI587"/>
      <c r="XEJ587"/>
      <c r="XEK587"/>
      <c r="XEL587"/>
      <c r="XEM587"/>
      <c r="XEN587"/>
      <c r="XEO587"/>
      <c r="XEP587"/>
      <c r="XEQ587"/>
      <c r="XER587"/>
      <c r="XES587"/>
      <c r="XET587"/>
      <c r="XEU587"/>
      <c r="XEV587"/>
      <c r="XEW587"/>
      <c r="XEX587"/>
      <c r="XEY587"/>
      <c r="XEZ587"/>
      <c r="XFA587"/>
      <c r="XFB587"/>
      <c r="XFC587"/>
      <c r="XFD587"/>
    </row>
    <row r="588" spans="1:18 16327:16384" s="26" customFormat="1" ht="29.1" customHeight="1" outlineLevel="3" x14ac:dyDescent="0.25">
      <c r="A588" s="42" t="s">
        <v>1000</v>
      </c>
      <c r="B588" s="43"/>
      <c r="C588" s="66" t="s">
        <v>1001</v>
      </c>
      <c r="D588" s="66"/>
      <c r="E588" s="43" t="s">
        <v>34</v>
      </c>
      <c r="F588" s="44"/>
      <c r="G588" s="43" t="s">
        <v>31</v>
      </c>
      <c r="H588" s="45">
        <v>1</v>
      </c>
      <c r="I588" s="46">
        <f>12</f>
        <v>12</v>
      </c>
      <c r="J588" s="23"/>
      <c r="K588" s="47"/>
      <c r="L588" s="48"/>
      <c r="M588" s="49"/>
      <c r="N588" s="49">
        <f t="shared" si="18"/>
        <v>0</v>
      </c>
      <c r="O588" s="49"/>
      <c r="P588" s="49"/>
      <c r="Q588" s="49"/>
      <c r="R588" s="23"/>
      <c r="XCY588"/>
      <c r="XCZ588"/>
      <c r="XDA588"/>
      <c r="XDB588"/>
      <c r="XDC588"/>
      <c r="XDD588"/>
      <c r="XDE588"/>
      <c r="XDF588"/>
      <c r="XDG588"/>
      <c r="XDH588"/>
      <c r="XDI588"/>
      <c r="XDJ588"/>
      <c r="XDK588"/>
      <c r="XDL588"/>
      <c r="XDM588"/>
      <c r="XDN588"/>
      <c r="XDO588"/>
      <c r="XDP588"/>
      <c r="XDQ588"/>
      <c r="XDR588"/>
      <c r="XDS588"/>
      <c r="XDT588"/>
      <c r="XDU588"/>
      <c r="XDV588"/>
      <c r="XDW588"/>
      <c r="XDX588"/>
      <c r="XDY588"/>
      <c r="XDZ588"/>
      <c r="XEA588"/>
      <c r="XEB588"/>
      <c r="XEC588"/>
      <c r="XED588"/>
      <c r="XEE588"/>
      <c r="XEF588"/>
      <c r="XEG588"/>
      <c r="XEH588"/>
      <c r="XEI588"/>
      <c r="XEJ588"/>
      <c r="XEK588"/>
      <c r="XEL588"/>
      <c r="XEM588"/>
      <c r="XEN588"/>
      <c r="XEO588"/>
      <c r="XEP588"/>
      <c r="XEQ588"/>
      <c r="XER588"/>
      <c r="XES588"/>
      <c r="XET588"/>
      <c r="XEU588"/>
      <c r="XEV588"/>
      <c r="XEW588"/>
      <c r="XEX588"/>
      <c r="XEY588"/>
      <c r="XEZ588"/>
      <c r="XFA588"/>
      <c r="XFB588"/>
      <c r="XFC588"/>
      <c r="XFD588"/>
    </row>
    <row r="589" spans="1:18 16327:16384" s="26" customFormat="1" ht="29.1" customHeight="1" outlineLevel="3" x14ac:dyDescent="0.25">
      <c r="A589" s="42" t="s">
        <v>1002</v>
      </c>
      <c r="B589" s="43"/>
      <c r="C589" s="66" t="s">
        <v>1003</v>
      </c>
      <c r="D589" s="66"/>
      <c r="E589" s="43" t="s">
        <v>34</v>
      </c>
      <c r="F589" s="44"/>
      <c r="G589" s="43" t="s">
        <v>31</v>
      </c>
      <c r="H589" s="45">
        <v>1</v>
      </c>
      <c r="I589" s="46">
        <f>223</f>
        <v>223</v>
      </c>
      <c r="J589" s="23"/>
      <c r="K589" s="47"/>
      <c r="L589" s="48"/>
      <c r="M589" s="49"/>
      <c r="N589" s="49">
        <f t="shared" si="18"/>
        <v>0</v>
      </c>
      <c r="O589" s="49"/>
      <c r="P589" s="49"/>
      <c r="Q589" s="49"/>
      <c r="R589" s="23"/>
      <c r="XCY589"/>
      <c r="XCZ589"/>
      <c r="XDA589"/>
      <c r="XDB589"/>
      <c r="XDC589"/>
      <c r="XDD589"/>
      <c r="XDE589"/>
      <c r="XDF589"/>
      <c r="XDG589"/>
      <c r="XDH589"/>
      <c r="XDI589"/>
      <c r="XDJ589"/>
      <c r="XDK589"/>
      <c r="XDL589"/>
      <c r="XDM589"/>
      <c r="XDN589"/>
      <c r="XDO589"/>
      <c r="XDP589"/>
      <c r="XDQ589"/>
      <c r="XDR589"/>
      <c r="XDS589"/>
      <c r="XDT589"/>
      <c r="XDU589"/>
      <c r="XDV589"/>
      <c r="XDW589"/>
      <c r="XDX589"/>
      <c r="XDY589"/>
      <c r="XDZ589"/>
      <c r="XEA589"/>
      <c r="XEB589"/>
      <c r="XEC589"/>
      <c r="XED589"/>
      <c r="XEE589"/>
      <c r="XEF589"/>
      <c r="XEG589"/>
      <c r="XEH589"/>
      <c r="XEI589"/>
      <c r="XEJ589"/>
      <c r="XEK589"/>
      <c r="XEL589"/>
      <c r="XEM589"/>
      <c r="XEN589"/>
      <c r="XEO589"/>
      <c r="XEP589"/>
      <c r="XEQ589"/>
      <c r="XER589"/>
      <c r="XES589"/>
      <c r="XET589"/>
      <c r="XEU589"/>
      <c r="XEV589"/>
      <c r="XEW589"/>
      <c r="XEX589"/>
      <c r="XEY589"/>
      <c r="XEZ589"/>
      <c r="XFA589"/>
      <c r="XFB589"/>
      <c r="XFC589"/>
      <c r="XFD589"/>
    </row>
    <row r="590" spans="1:18 16327:16384" s="26" customFormat="1" ht="29.1" customHeight="1" outlineLevel="3" x14ac:dyDescent="0.25">
      <c r="A590" s="42" t="s">
        <v>1004</v>
      </c>
      <c r="B590" s="43"/>
      <c r="C590" s="66" t="s">
        <v>1005</v>
      </c>
      <c r="D590" s="66"/>
      <c r="E590" s="43" t="s">
        <v>34</v>
      </c>
      <c r="F590" s="44"/>
      <c r="G590" s="43" t="s">
        <v>31</v>
      </c>
      <c r="H590" s="45">
        <v>1</v>
      </c>
      <c r="I590" s="46">
        <f>281</f>
        <v>281</v>
      </c>
      <c r="J590" s="23"/>
      <c r="K590" s="47"/>
      <c r="L590" s="48"/>
      <c r="M590" s="49"/>
      <c r="N590" s="49">
        <f t="shared" si="18"/>
        <v>0</v>
      </c>
      <c r="O590" s="49"/>
      <c r="P590" s="49"/>
      <c r="Q590" s="49"/>
      <c r="R590" s="23"/>
      <c r="XCY590"/>
      <c r="XCZ590"/>
      <c r="XDA590"/>
      <c r="XDB590"/>
      <c r="XDC590"/>
      <c r="XDD590"/>
      <c r="XDE590"/>
      <c r="XDF590"/>
      <c r="XDG590"/>
      <c r="XDH590"/>
      <c r="XDI590"/>
      <c r="XDJ590"/>
      <c r="XDK590"/>
      <c r="XDL590"/>
      <c r="XDM590"/>
      <c r="XDN590"/>
      <c r="XDO590"/>
      <c r="XDP590"/>
      <c r="XDQ590"/>
      <c r="XDR590"/>
      <c r="XDS590"/>
      <c r="XDT590"/>
      <c r="XDU590"/>
      <c r="XDV590"/>
      <c r="XDW590"/>
      <c r="XDX590"/>
      <c r="XDY590"/>
      <c r="XDZ590"/>
      <c r="XEA590"/>
      <c r="XEB590"/>
      <c r="XEC590"/>
      <c r="XED590"/>
      <c r="XEE590"/>
      <c r="XEF590"/>
      <c r="XEG590"/>
      <c r="XEH590"/>
      <c r="XEI590"/>
      <c r="XEJ590"/>
      <c r="XEK590"/>
      <c r="XEL590"/>
      <c r="XEM590"/>
      <c r="XEN590"/>
      <c r="XEO590"/>
      <c r="XEP590"/>
      <c r="XEQ590"/>
      <c r="XER590"/>
      <c r="XES590"/>
      <c r="XET590"/>
      <c r="XEU590"/>
      <c r="XEV590"/>
      <c r="XEW590"/>
      <c r="XEX590"/>
      <c r="XEY590"/>
      <c r="XEZ590"/>
      <c r="XFA590"/>
      <c r="XFB590"/>
      <c r="XFC590"/>
      <c r="XFD590"/>
    </row>
    <row r="591" spans="1:18 16327:16384" s="26" customFormat="1" ht="29.1" customHeight="1" outlineLevel="3" x14ac:dyDescent="0.25">
      <c r="A591" s="42" t="s">
        <v>1006</v>
      </c>
      <c r="B591" s="43"/>
      <c r="C591" s="66" t="s">
        <v>1007</v>
      </c>
      <c r="D591" s="66"/>
      <c r="E591" s="43" t="s">
        <v>34</v>
      </c>
      <c r="F591" s="44"/>
      <c r="G591" s="43" t="s">
        <v>31</v>
      </c>
      <c r="H591" s="45">
        <v>1</v>
      </c>
      <c r="I591" s="46">
        <f>76</f>
        <v>76</v>
      </c>
      <c r="J591" s="23"/>
      <c r="K591" s="47"/>
      <c r="L591" s="48"/>
      <c r="M591" s="49"/>
      <c r="N591" s="49">
        <f t="shared" si="18"/>
        <v>0</v>
      </c>
      <c r="O591" s="49"/>
      <c r="P591" s="49"/>
      <c r="Q591" s="49"/>
      <c r="R591" s="23"/>
      <c r="XCY591"/>
      <c r="XCZ591"/>
      <c r="XDA591"/>
      <c r="XDB591"/>
      <c r="XDC591"/>
      <c r="XDD591"/>
      <c r="XDE591"/>
      <c r="XDF591"/>
      <c r="XDG591"/>
      <c r="XDH591"/>
      <c r="XDI591"/>
      <c r="XDJ591"/>
      <c r="XDK591"/>
      <c r="XDL591"/>
      <c r="XDM591"/>
      <c r="XDN591"/>
      <c r="XDO591"/>
      <c r="XDP591"/>
      <c r="XDQ591"/>
      <c r="XDR591"/>
      <c r="XDS591"/>
      <c r="XDT591"/>
      <c r="XDU591"/>
      <c r="XDV591"/>
      <c r="XDW591"/>
      <c r="XDX591"/>
      <c r="XDY591"/>
      <c r="XDZ591"/>
      <c r="XEA591"/>
      <c r="XEB591"/>
      <c r="XEC591"/>
      <c r="XED591"/>
      <c r="XEE591"/>
      <c r="XEF591"/>
      <c r="XEG591"/>
      <c r="XEH591"/>
      <c r="XEI591"/>
      <c r="XEJ591"/>
      <c r="XEK591"/>
      <c r="XEL591"/>
      <c r="XEM591"/>
      <c r="XEN591"/>
      <c r="XEO591"/>
      <c r="XEP591"/>
      <c r="XEQ591"/>
      <c r="XER591"/>
      <c r="XES591"/>
      <c r="XET591"/>
      <c r="XEU591"/>
      <c r="XEV591"/>
      <c r="XEW591"/>
      <c r="XEX591"/>
      <c r="XEY591"/>
      <c r="XEZ591"/>
      <c r="XFA591"/>
      <c r="XFB591"/>
      <c r="XFC591"/>
      <c r="XFD591"/>
    </row>
    <row r="592" spans="1:18 16327:16384" s="26" customFormat="1" ht="29.1" customHeight="1" outlineLevel="3" x14ac:dyDescent="0.25">
      <c r="A592" s="42" t="s">
        <v>1008</v>
      </c>
      <c r="B592" s="43"/>
      <c r="C592" s="66" t="s">
        <v>975</v>
      </c>
      <c r="D592" s="66"/>
      <c r="E592" s="43" t="s">
        <v>34</v>
      </c>
      <c r="F592" s="44"/>
      <c r="G592" s="43" t="s">
        <v>31</v>
      </c>
      <c r="H592" s="45">
        <v>1</v>
      </c>
      <c r="I592" s="46">
        <f>23</f>
        <v>23</v>
      </c>
      <c r="J592" s="23"/>
      <c r="K592" s="47"/>
      <c r="L592" s="48"/>
      <c r="M592" s="49"/>
      <c r="N592" s="49">
        <f t="shared" si="18"/>
        <v>0</v>
      </c>
      <c r="O592" s="49"/>
      <c r="P592" s="49"/>
      <c r="Q592" s="49"/>
      <c r="R592" s="23"/>
      <c r="XCY592"/>
      <c r="XCZ592"/>
      <c r="XDA592"/>
      <c r="XDB592"/>
      <c r="XDC592"/>
      <c r="XDD592"/>
      <c r="XDE592"/>
      <c r="XDF592"/>
      <c r="XDG592"/>
      <c r="XDH592"/>
      <c r="XDI592"/>
      <c r="XDJ592"/>
      <c r="XDK592"/>
      <c r="XDL592"/>
      <c r="XDM592"/>
      <c r="XDN592"/>
      <c r="XDO592"/>
      <c r="XDP592"/>
      <c r="XDQ592"/>
      <c r="XDR592"/>
      <c r="XDS592"/>
      <c r="XDT592"/>
      <c r="XDU592"/>
      <c r="XDV592"/>
      <c r="XDW592"/>
      <c r="XDX592"/>
      <c r="XDY592"/>
      <c r="XDZ592"/>
      <c r="XEA592"/>
      <c r="XEB592"/>
      <c r="XEC592"/>
      <c r="XED592"/>
      <c r="XEE592"/>
      <c r="XEF592"/>
      <c r="XEG592"/>
      <c r="XEH592"/>
      <c r="XEI592"/>
      <c r="XEJ592"/>
      <c r="XEK592"/>
      <c r="XEL592"/>
      <c r="XEM592"/>
      <c r="XEN592"/>
      <c r="XEO592"/>
      <c r="XEP592"/>
      <c r="XEQ592"/>
      <c r="XER592"/>
      <c r="XES592"/>
      <c r="XET592"/>
      <c r="XEU592"/>
      <c r="XEV592"/>
      <c r="XEW592"/>
      <c r="XEX592"/>
      <c r="XEY592"/>
      <c r="XEZ592"/>
      <c r="XFA592"/>
      <c r="XFB592"/>
      <c r="XFC592"/>
      <c r="XFD592"/>
    </row>
    <row r="593" spans="1:18 16327:16384" s="26" customFormat="1" ht="29.1" customHeight="1" outlineLevel="3" x14ac:dyDescent="0.25">
      <c r="A593" s="42" t="s">
        <v>1009</v>
      </c>
      <c r="B593" s="43"/>
      <c r="C593" s="66" t="s">
        <v>1010</v>
      </c>
      <c r="D593" s="66"/>
      <c r="E593" s="43" t="s">
        <v>34</v>
      </c>
      <c r="F593" s="44"/>
      <c r="G593" s="43" t="s">
        <v>31</v>
      </c>
      <c r="H593" s="45">
        <v>1</v>
      </c>
      <c r="I593" s="46">
        <f>84</f>
        <v>84</v>
      </c>
      <c r="J593" s="23"/>
      <c r="K593" s="47"/>
      <c r="L593" s="48"/>
      <c r="M593" s="49"/>
      <c r="N593" s="49">
        <f t="shared" si="18"/>
        <v>0</v>
      </c>
      <c r="O593" s="49"/>
      <c r="P593" s="49"/>
      <c r="Q593" s="49"/>
      <c r="R593" s="23"/>
      <c r="XCY593"/>
      <c r="XCZ593"/>
      <c r="XDA593"/>
      <c r="XDB593"/>
      <c r="XDC593"/>
      <c r="XDD593"/>
      <c r="XDE593"/>
      <c r="XDF593"/>
      <c r="XDG593"/>
      <c r="XDH593"/>
      <c r="XDI593"/>
      <c r="XDJ593"/>
      <c r="XDK593"/>
      <c r="XDL593"/>
      <c r="XDM593"/>
      <c r="XDN593"/>
      <c r="XDO593"/>
      <c r="XDP593"/>
      <c r="XDQ593"/>
      <c r="XDR593"/>
      <c r="XDS593"/>
      <c r="XDT593"/>
      <c r="XDU593"/>
      <c r="XDV593"/>
      <c r="XDW593"/>
      <c r="XDX593"/>
      <c r="XDY593"/>
      <c r="XDZ593"/>
      <c r="XEA593"/>
      <c r="XEB593"/>
      <c r="XEC593"/>
      <c r="XED593"/>
      <c r="XEE593"/>
      <c r="XEF593"/>
      <c r="XEG593"/>
      <c r="XEH593"/>
      <c r="XEI593"/>
      <c r="XEJ593"/>
      <c r="XEK593"/>
      <c r="XEL593"/>
      <c r="XEM593"/>
      <c r="XEN593"/>
      <c r="XEO593"/>
      <c r="XEP593"/>
      <c r="XEQ593"/>
      <c r="XER593"/>
      <c r="XES593"/>
      <c r="XET593"/>
      <c r="XEU593"/>
      <c r="XEV593"/>
      <c r="XEW593"/>
      <c r="XEX593"/>
      <c r="XEY593"/>
      <c r="XEZ593"/>
      <c r="XFA593"/>
      <c r="XFB593"/>
      <c r="XFC593"/>
      <c r="XFD593"/>
    </row>
    <row r="594" spans="1:18 16327:16384" s="26" customFormat="1" ht="29.1" customHeight="1" outlineLevel="3" x14ac:dyDescent="0.25">
      <c r="A594" s="42" t="s">
        <v>1011</v>
      </c>
      <c r="B594" s="43"/>
      <c r="C594" s="66" t="s">
        <v>979</v>
      </c>
      <c r="D594" s="66"/>
      <c r="E594" s="43" t="s">
        <v>34</v>
      </c>
      <c r="F594" s="44"/>
      <c r="G594" s="43" t="s">
        <v>31</v>
      </c>
      <c r="H594" s="45">
        <v>1</v>
      </c>
      <c r="I594" s="46">
        <f>84</f>
        <v>84</v>
      </c>
      <c r="J594" s="23"/>
      <c r="K594" s="47"/>
      <c r="L594" s="48"/>
      <c r="M594" s="49"/>
      <c r="N594" s="49">
        <f t="shared" si="18"/>
        <v>0</v>
      </c>
      <c r="O594" s="49"/>
      <c r="P594" s="49"/>
      <c r="Q594" s="49"/>
      <c r="R594" s="23"/>
      <c r="XCY594"/>
      <c r="XCZ594"/>
      <c r="XDA594"/>
      <c r="XDB594"/>
      <c r="XDC594"/>
      <c r="XDD594"/>
      <c r="XDE594"/>
      <c r="XDF594"/>
      <c r="XDG594"/>
      <c r="XDH594"/>
      <c r="XDI594"/>
      <c r="XDJ594"/>
      <c r="XDK594"/>
      <c r="XDL594"/>
      <c r="XDM594"/>
      <c r="XDN594"/>
      <c r="XDO594"/>
      <c r="XDP594"/>
      <c r="XDQ594"/>
      <c r="XDR594"/>
      <c r="XDS594"/>
      <c r="XDT594"/>
      <c r="XDU594"/>
      <c r="XDV594"/>
      <c r="XDW594"/>
      <c r="XDX594"/>
      <c r="XDY594"/>
      <c r="XDZ594"/>
      <c r="XEA594"/>
      <c r="XEB594"/>
      <c r="XEC594"/>
      <c r="XED594"/>
      <c r="XEE594"/>
      <c r="XEF594"/>
      <c r="XEG594"/>
      <c r="XEH594"/>
      <c r="XEI594"/>
      <c r="XEJ594"/>
      <c r="XEK594"/>
      <c r="XEL594"/>
      <c r="XEM594"/>
      <c r="XEN594"/>
      <c r="XEO594"/>
      <c r="XEP594"/>
      <c r="XEQ594"/>
      <c r="XER594"/>
      <c r="XES594"/>
      <c r="XET594"/>
      <c r="XEU594"/>
      <c r="XEV594"/>
      <c r="XEW594"/>
      <c r="XEX594"/>
      <c r="XEY594"/>
      <c r="XEZ594"/>
      <c r="XFA594"/>
      <c r="XFB594"/>
      <c r="XFC594"/>
      <c r="XFD594"/>
    </row>
    <row r="595" spans="1:18 16327:16384" s="26" customFormat="1" ht="29.1" customHeight="1" outlineLevel="3" x14ac:dyDescent="0.25">
      <c r="A595" s="42" t="s">
        <v>1012</v>
      </c>
      <c r="B595" s="43"/>
      <c r="C595" s="66" t="s">
        <v>1013</v>
      </c>
      <c r="D595" s="66"/>
      <c r="E595" s="43" t="s">
        <v>34</v>
      </c>
      <c r="F595" s="44"/>
      <c r="G595" s="43" t="s">
        <v>31</v>
      </c>
      <c r="H595" s="45">
        <v>1</v>
      </c>
      <c r="I595" s="46">
        <f>84</f>
        <v>84</v>
      </c>
      <c r="J595" s="23"/>
      <c r="K595" s="47"/>
      <c r="L595" s="48"/>
      <c r="M595" s="49"/>
      <c r="N595" s="49">
        <f t="shared" ref="N595:N618" si="19">ROUND((I595*K595),2)</f>
        <v>0</v>
      </c>
      <c r="O595" s="49"/>
      <c r="P595" s="49"/>
      <c r="Q595" s="49"/>
      <c r="R595" s="23"/>
      <c r="XCY595"/>
      <c r="XCZ595"/>
      <c r="XDA595"/>
      <c r="XDB595"/>
      <c r="XDC595"/>
      <c r="XDD595"/>
      <c r="XDE595"/>
      <c r="XDF595"/>
      <c r="XDG595"/>
      <c r="XDH595"/>
      <c r="XDI595"/>
      <c r="XDJ595"/>
      <c r="XDK595"/>
      <c r="XDL595"/>
      <c r="XDM595"/>
      <c r="XDN595"/>
      <c r="XDO595"/>
      <c r="XDP595"/>
      <c r="XDQ595"/>
      <c r="XDR595"/>
      <c r="XDS595"/>
      <c r="XDT595"/>
      <c r="XDU595"/>
      <c r="XDV595"/>
      <c r="XDW595"/>
      <c r="XDX595"/>
      <c r="XDY595"/>
      <c r="XDZ595"/>
      <c r="XEA595"/>
      <c r="XEB595"/>
      <c r="XEC595"/>
      <c r="XED595"/>
      <c r="XEE595"/>
      <c r="XEF595"/>
      <c r="XEG595"/>
      <c r="XEH595"/>
      <c r="XEI595"/>
      <c r="XEJ595"/>
      <c r="XEK595"/>
      <c r="XEL595"/>
      <c r="XEM595"/>
      <c r="XEN595"/>
      <c r="XEO595"/>
      <c r="XEP595"/>
      <c r="XEQ595"/>
      <c r="XER595"/>
      <c r="XES595"/>
      <c r="XET595"/>
      <c r="XEU595"/>
      <c r="XEV595"/>
      <c r="XEW595"/>
      <c r="XEX595"/>
      <c r="XEY595"/>
      <c r="XEZ595"/>
      <c r="XFA595"/>
      <c r="XFB595"/>
      <c r="XFC595"/>
      <c r="XFD595"/>
    </row>
    <row r="596" spans="1:18 16327:16384" s="26" customFormat="1" ht="29.1" customHeight="1" outlineLevel="3" x14ac:dyDescent="0.25">
      <c r="A596" s="42" t="s">
        <v>1014</v>
      </c>
      <c r="B596" s="43"/>
      <c r="C596" s="66" t="s">
        <v>1015</v>
      </c>
      <c r="D596" s="66"/>
      <c r="E596" s="43" t="s">
        <v>34</v>
      </c>
      <c r="F596" s="44"/>
      <c r="G596" s="43" t="s">
        <v>31</v>
      </c>
      <c r="H596" s="45">
        <v>1</v>
      </c>
      <c r="I596" s="46">
        <f>4773</f>
        <v>4773</v>
      </c>
      <c r="J596" s="23"/>
      <c r="K596" s="47"/>
      <c r="L596" s="48"/>
      <c r="M596" s="49"/>
      <c r="N596" s="49">
        <f t="shared" si="19"/>
        <v>0</v>
      </c>
      <c r="O596" s="49"/>
      <c r="P596" s="49"/>
      <c r="Q596" s="49"/>
      <c r="R596" s="23"/>
      <c r="XCY596"/>
      <c r="XCZ596"/>
      <c r="XDA596"/>
      <c r="XDB596"/>
      <c r="XDC596"/>
      <c r="XDD596"/>
      <c r="XDE596"/>
      <c r="XDF596"/>
      <c r="XDG596"/>
      <c r="XDH596"/>
      <c r="XDI596"/>
      <c r="XDJ596"/>
      <c r="XDK596"/>
      <c r="XDL596"/>
      <c r="XDM596"/>
      <c r="XDN596"/>
      <c r="XDO596"/>
      <c r="XDP596"/>
      <c r="XDQ596"/>
      <c r="XDR596"/>
      <c r="XDS596"/>
      <c r="XDT596"/>
      <c r="XDU596"/>
      <c r="XDV596"/>
      <c r="XDW596"/>
      <c r="XDX596"/>
      <c r="XDY596"/>
      <c r="XDZ596"/>
      <c r="XEA596"/>
      <c r="XEB596"/>
      <c r="XEC596"/>
      <c r="XED596"/>
      <c r="XEE596"/>
      <c r="XEF596"/>
      <c r="XEG596"/>
      <c r="XEH596"/>
      <c r="XEI596"/>
      <c r="XEJ596"/>
      <c r="XEK596"/>
      <c r="XEL596"/>
      <c r="XEM596"/>
      <c r="XEN596"/>
      <c r="XEO596"/>
      <c r="XEP596"/>
      <c r="XEQ596"/>
      <c r="XER596"/>
      <c r="XES596"/>
      <c r="XET596"/>
      <c r="XEU596"/>
      <c r="XEV596"/>
      <c r="XEW596"/>
      <c r="XEX596"/>
      <c r="XEY596"/>
      <c r="XEZ596"/>
      <c r="XFA596"/>
      <c r="XFB596"/>
      <c r="XFC596"/>
      <c r="XFD596"/>
    </row>
    <row r="597" spans="1:18 16327:16384" s="26" customFormat="1" ht="29.1" customHeight="1" outlineLevel="3" x14ac:dyDescent="0.25">
      <c r="A597" s="42" t="s">
        <v>1016</v>
      </c>
      <c r="B597" s="43"/>
      <c r="C597" s="66" t="s">
        <v>735</v>
      </c>
      <c r="D597" s="66"/>
      <c r="E597" s="43" t="s">
        <v>34</v>
      </c>
      <c r="F597" s="44"/>
      <c r="G597" s="43" t="s">
        <v>31</v>
      </c>
      <c r="H597" s="45">
        <v>1</v>
      </c>
      <c r="I597" s="46">
        <f>56</f>
        <v>56</v>
      </c>
      <c r="J597" s="23"/>
      <c r="K597" s="47"/>
      <c r="L597" s="48"/>
      <c r="M597" s="49"/>
      <c r="N597" s="49">
        <f t="shared" si="19"/>
        <v>0</v>
      </c>
      <c r="O597" s="49"/>
      <c r="P597" s="49"/>
      <c r="Q597" s="49"/>
      <c r="R597" s="23"/>
      <c r="XCY597"/>
      <c r="XCZ597"/>
      <c r="XDA597"/>
      <c r="XDB597"/>
      <c r="XDC597"/>
      <c r="XDD597"/>
      <c r="XDE597"/>
      <c r="XDF597"/>
      <c r="XDG597"/>
      <c r="XDH597"/>
      <c r="XDI597"/>
      <c r="XDJ597"/>
      <c r="XDK597"/>
      <c r="XDL597"/>
      <c r="XDM597"/>
      <c r="XDN597"/>
      <c r="XDO597"/>
      <c r="XDP597"/>
      <c r="XDQ597"/>
      <c r="XDR597"/>
      <c r="XDS597"/>
      <c r="XDT597"/>
      <c r="XDU597"/>
      <c r="XDV597"/>
      <c r="XDW597"/>
      <c r="XDX597"/>
      <c r="XDY597"/>
      <c r="XDZ597"/>
      <c r="XEA597"/>
      <c r="XEB597"/>
      <c r="XEC597"/>
      <c r="XED597"/>
      <c r="XEE597"/>
      <c r="XEF597"/>
      <c r="XEG597"/>
      <c r="XEH597"/>
      <c r="XEI597"/>
      <c r="XEJ597"/>
      <c r="XEK597"/>
      <c r="XEL597"/>
      <c r="XEM597"/>
      <c r="XEN597"/>
      <c r="XEO597"/>
      <c r="XEP597"/>
      <c r="XEQ597"/>
      <c r="XER597"/>
      <c r="XES597"/>
      <c r="XET597"/>
      <c r="XEU597"/>
      <c r="XEV597"/>
      <c r="XEW597"/>
      <c r="XEX597"/>
      <c r="XEY597"/>
      <c r="XEZ597"/>
      <c r="XFA597"/>
      <c r="XFB597"/>
      <c r="XFC597"/>
      <c r="XFD597"/>
    </row>
    <row r="598" spans="1:18 16327:16384" s="26" customFormat="1" ht="29.1" customHeight="1" outlineLevel="2" x14ac:dyDescent="0.25">
      <c r="A598" s="34" t="s">
        <v>1017</v>
      </c>
      <c r="B598" s="35"/>
      <c r="C598" s="65" t="s">
        <v>739</v>
      </c>
      <c r="D598" s="65"/>
      <c r="E598" s="35"/>
      <c r="F598" s="36" t="s">
        <v>959</v>
      </c>
      <c r="G598" s="35" t="s">
        <v>65</v>
      </c>
      <c r="H598" s="37"/>
      <c r="I598" s="38">
        <f>240</f>
        <v>240</v>
      </c>
      <c r="J598" s="23"/>
      <c r="K598" s="39"/>
      <c r="L598" s="40"/>
      <c r="M598" s="41"/>
      <c r="N598" s="41"/>
      <c r="O598" s="41"/>
      <c r="P598" s="41"/>
      <c r="Q598" s="41"/>
      <c r="R598" s="23"/>
      <c r="XCY598"/>
      <c r="XCZ598"/>
      <c r="XDA598"/>
      <c r="XDB598"/>
      <c r="XDC598"/>
      <c r="XDD598"/>
      <c r="XDE598"/>
      <c r="XDF598"/>
      <c r="XDG598"/>
      <c r="XDH598"/>
      <c r="XDI598"/>
      <c r="XDJ598"/>
      <c r="XDK598"/>
      <c r="XDL598"/>
      <c r="XDM598"/>
      <c r="XDN598"/>
      <c r="XDO598"/>
      <c r="XDP598"/>
      <c r="XDQ598"/>
      <c r="XDR598"/>
      <c r="XDS598"/>
      <c r="XDT598"/>
      <c r="XDU598"/>
      <c r="XDV598"/>
      <c r="XDW598"/>
      <c r="XDX598"/>
      <c r="XDY598"/>
      <c r="XDZ598"/>
      <c r="XEA598"/>
      <c r="XEB598"/>
      <c r="XEC598"/>
      <c r="XED598"/>
      <c r="XEE598"/>
      <c r="XEF598"/>
      <c r="XEG598"/>
      <c r="XEH598"/>
      <c r="XEI598"/>
      <c r="XEJ598"/>
      <c r="XEK598"/>
      <c r="XEL598"/>
      <c r="XEM598"/>
      <c r="XEN598"/>
      <c r="XEO598"/>
      <c r="XEP598"/>
      <c r="XEQ598"/>
      <c r="XER598"/>
      <c r="XES598"/>
      <c r="XET598"/>
      <c r="XEU598"/>
      <c r="XEV598"/>
      <c r="XEW598"/>
      <c r="XEX598"/>
      <c r="XEY598"/>
      <c r="XEZ598"/>
      <c r="XFA598"/>
      <c r="XFB598"/>
      <c r="XFC598"/>
      <c r="XFD598"/>
    </row>
    <row r="599" spans="1:18 16327:16384" s="26" customFormat="1" ht="29.1" customHeight="1" outlineLevel="3" x14ac:dyDescent="0.25">
      <c r="A599" s="42" t="s">
        <v>1018</v>
      </c>
      <c r="B599" s="43"/>
      <c r="C599" s="66" t="s">
        <v>741</v>
      </c>
      <c r="D599" s="66"/>
      <c r="E599" s="43" t="s">
        <v>34</v>
      </c>
      <c r="F599" s="44"/>
      <c r="G599" s="43" t="s">
        <v>65</v>
      </c>
      <c r="H599" s="45">
        <v>1.02</v>
      </c>
      <c r="I599" s="46">
        <f>244.8</f>
        <v>244.8</v>
      </c>
      <c r="J599" s="23"/>
      <c r="K599" s="47"/>
      <c r="L599" s="48"/>
      <c r="M599" s="49"/>
      <c r="N599" s="49">
        <f t="shared" si="19"/>
        <v>0</v>
      </c>
      <c r="O599" s="49"/>
      <c r="P599" s="49"/>
      <c r="Q599" s="49"/>
      <c r="R599" s="23"/>
      <c r="XCY599"/>
      <c r="XCZ599"/>
      <c r="XDA599"/>
      <c r="XDB599"/>
      <c r="XDC599"/>
      <c r="XDD599"/>
      <c r="XDE599"/>
      <c r="XDF599"/>
      <c r="XDG599"/>
      <c r="XDH599"/>
      <c r="XDI599"/>
      <c r="XDJ599"/>
      <c r="XDK599"/>
      <c r="XDL599"/>
      <c r="XDM599"/>
      <c r="XDN599"/>
      <c r="XDO599"/>
      <c r="XDP599"/>
      <c r="XDQ599"/>
      <c r="XDR599"/>
      <c r="XDS599"/>
      <c r="XDT599"/>
      <c r="XDU599"/>
      <c r="XDV599"/>
      <c r="XDW599"/>
      <c r="XDX599"/>
      <c r="XDY599"/>
      <c r="XDZ599"/>
      <c r="XEA599"/>
      <c r="XEB599"/>
      <c r="XEC599"/>
      <c r="XED599"/>
      <c r="XEE599"/>
      <c r="XEF599"/>
      <c r="XEG599"/>
      <c r="XEH599"/>
      <c r="XEI599"/>
      <c r="XEJ599"/>
      <c r="XEK599"/>
      <c r="XEL599"/>
      <c r="XEM599"/>
      <c r="XEN599"/>
      <c r="XEO599"/>
      <c r="XEP599"/>
      <c r="XEQ599"/>
      <c r="XER599"/>
      <c r="XES599"/>
      <c r="XET599"/>
      <c r="XEU599"/>
      <c r="XEV599"/>
      <c r="XEW599"/>
      <c r="XEX599"/>
      <c r="XEY599"/>
      <c r="XEZ599"/>
      <c r="XFA599"/>
      <c r="XFB599"/>
      <c r="XFC599"/>
      <c r="XFD599"/>
    </row>
    <row r="600" spans="1:18 16327:16384" s="26" customFormat="1" ht="29.1" customHeight="1" outlineLevel="2" x14ac:dyDescent="0.25">
      <c r="A600" s="34" t="s">
        <v>1019</v>
      </c>
      <c r="B600" s="35"/>
      <c r="C600" s="65" t="s">
        <v>912</v>
      </c>
      <c r="D600" s="65"/>
      <c r="E600" s="35"/>
      <c r="F600" s="36" t="s">
        <v>1020</v>
      </c>
      <c r="G600" s="35" t="s">
        <v>65</v>
      </c>
      <c r="H600" s="37"/>
      <c r="I600" s="38">
        <f>177</f>
        <v>177</v>
      </c>
      <c r="J600" s="23"/>
      <c r="K600" s="39"/>
      <c r="L600" s="40"/>
      <c r="M600" s="41">
        <f>K600+L600</f>
        <v>0</v>
      </c>
      <c r="N600" s="41">
        <f t="shared" si="19"/>
        <v>0</v>
      </c>
      <c r="O600" s="41">
        <f>ROUND((I600*L600),2)</f>
        <v>0</v>
      </c>
      <c r="P600" s="41">
        <f>ROUND((I600*M600),2)</f>
        <v>0</v>
      </c>
      <c r="Q600" s="41"/>
      <c r="R600" s="23"/>
      <c r="XCY600"/>
      <c r="XCZ600"/>
      <c r="XDA600"/>
      <c r="XDB600"/>
      <c r="XDC600"/>
      <c r="XDD600"/>
      <c r="XDE600"/>
      <c r="XDF600"/>
      <c r="XDG600"/>
      <c r="XDH600"/>
      <c r="XDI600"/>
      <c r="XDJ600"/>
      <c r="XDK600"/>
      <c r="XDL600"/>
      <c r="XDM600"/>
      <c r="XDN600"/>
      <c r="XDO600"/>
      <c r="XDP600"/>
      <c r="XDQ600"/>
      <c r="XDR600"/>
      <c r="XDS600"/>
      <c r="XDT600"/>
      <c r="XDU600"/>
      <c r="XDV600"/>
      <c r="XDW600"/>
      <c r="XDX600"/>
      <c r="XDY600"/>
      <c r="XDZ600"/>
      <c r="XEA600"/>
      <c r="XEB600"/>
      <c r="XEC600"/>
      <c r="XED600"/>
      <c r="XEE600"/>
      <c r="XEF600"/>
      <c r="XEG600"/>
      <c r="XEH600"/>
      <c r="XEI600"/>
      <c r="XEJ600"/>
      <c r="XEK600"/>
      <c r="XEL600"/>
      <c r="XEM600"/>
      <c r="XEN600"/>
      <c r="XEO600"/>
      <c r="XEP600"/>
      <c r="XEQ600"/>
      <c r="XER600"/>
      <c r="XES600"/>
      <c r="XET600"/>
      <c r="XEU600"/>
      <c r="XEV600"/>
      <c r="XEW600"/>
      <c r="XEX600"/>
      <c r="XEY600"/>
      <c r="XEZ600"/>
      <c r="XFA600"/>
      <c r="XFB600"/>
      <c r="XFC600"/>
      <c r="XFD600"/>
    </row>
    <row r="601" spans="1:18 16327:16384" s="26" customFormat="1" ht="29.1" customHeight="1" outlineLevel="3" x14ac:dyDescent="0.25">
      <c r="A601" s="42" t="s">
        <v>1021</v>
      </c>
      <c r="B601" s="43"/>
      <c r="C601" s="66" t="s">
        <v>914</v>
      </c>
      <c r="D601" s="66"/>
      <c r="E601" s="43" t="s">
        <v>34</v>
      </c>
      <c r="F601" s="44"/>
      <c r="G601" s="43" t="s">
        <v>65</v>
      </c>
      <c r="H601" s="45">
        <v>1.03</v>
      </c>
      <c r="I601" s="46">
        <f>182.31</f>
        <v>182.31</v>
      </c>
      <c r="J601" s="23"/>
      <c r="K601" s="47"/>
      <c r="L601" s="48"/>
      <c r="M601" s="49"/>
      <c r="N601" s="49">
        <f t="shared" si="19"/>
        <v>0</v>
      </c>
      <c r="O601" s="49"/>
      <c r="P601" s="49"/>
      <c r="Q601" s="49"/>
      <c r="R601" s="23"/>
      <c r="XCY601"/>
      <c r="XCZ601"/>
      <c r="XDA601"/>
      <c r="XDB601"/>
      <c r="XDC601"/>
      <c r="XDD601"/>
      <c r="XDE601"/>
      <c r="XDF601"/>
      <c r="XDG601"/>
      <c r="XDH601"/>
      <c r="XDI601"/>
      <c r="XDJ601"/>
      <c r="XDK601"/>
      <c r="XDL601"/>
      <c r="XDM601"/>
      <c r="XDN601"/>
      <c r="XDO601"/>
      <c r="XDP601"/>
      <c r="XDQ601"/>
      <c r="XDR601"/>
      <c r="XDS601"/>
      <c r="XDT601"/>
      <c r="XDU601"/>
      <c r="XDV601"/>
      <c r="XDW601"/>
      <c r="XDX601"/>
      <c r="XDY601"/>
      <c r="XDZ601"/>
      <c r="XEA601"/>
      <c r="XEB601"/>
      <c r="XEC601"/>
      <c r="XED601"/>
      <c r="XEE601"/>
      <c r="XEF601"/>
      <c r="XEG601"/>
      <c r="XEH601"/>
      <c r="XEI601"/>
      <c r="XEJ601"/>
      <c r="XEK601"/>
      <c r="XEL601"/>
      <c r="XEM601"/>
      <c r="XEN601"/>
      <c r="XEO601"/>
      <c r="XEP601"/>
      <c r="XEQ601"/>
      <c r="XER601"/>
      <c r="XES601"/>
      <c r="XET601"/>
      <c r="XEU601"/>
      <c r="XEV601"/>
      <c r="XEW601"/>
      <c r="XEX601"/>
      <c r="XEY601"/>
      <c r="XEZ601"/>
      <c r="XFA601"/>
      <c r="XFB601"/>
      <c r="XFC601"/>
      <c r="XFD601"/>
    </row>
    <row r="602" spans="1:18 16327:16384" s="26" customFormat="1" ht="29.1" customHeight="1" outlineLevel="3" x14ac:dyDescent="0.25">
      <c r="A602" s="42" t="s">
        <v>1022</v>
      </c>
      <c r="B602" s="43"/>
      <c r="C602" s="66" t="s">
        <v>916</v>
      </c>
      <c r="D602" s="66"/>
      <c r="E602" s="43" t="s">
        <v>34</v>
      </c>
      <c r="F602" s="44"/>
      <c r="G602" s="43" t="s">
        <v>31</v>
      </c>
      <c r="H602" s="45">
        <v>1</v>
      </c>
      <c r="I602" s="46">
        <f>59</f>
        <v>59</v>
      </c>
      <c r="J602" s="23"/>
      <c r="K602" s="47"/>
      <c r="L602" s="48"/>
      <c r="M602" s="49"/>
      <c r="N602" s="49">
        <f t="shared" si="19"/>
        <v>0</v>
      </c>
      <c r="O602" s="49"/>
      <c r="P602" s="49"/>
      <c r="Q602" s="49"/>
      <c r="R602" s="23"/>
      <c r="XCY602"/>
      <c r="XCZ602"/>
      <c r="XDA602"/>
      <c r="XDB602"/>
      <c r="XDC602"/>
      <c r="XDD602"/>
      <c r="XDE602"/>
      <c r="XDF602"/>
      <c r="XDG602"/>
      <c r="XDH602"/>
      <c r="XDI602"/>
      <c r="XDJ602"/>
      <c r="XDK602"/>
      <c r="XDL602"/>
      <c r="XDM602"/>
      <c r="XDN602"/>
      <c r="XDO602"/>
      <c r="XDP602"/>
      <c r="XDQ602"/>
      <c r="XDR602"/>
      <c r="XDS602"/>
      <c r="XDT602"/>
      <c r="XDU602"/>
      <c r="XDV602"/>
      <c r="XDW602"/>
      <c r="XDX602"/>
      <c r="XDY602"/>
      <c r="XDZ602"/>
      <c r="XEA602"/>
      <c r="XEB602"/>
      <c r="XEC602"/>
      <c r="XED602"/>
      <c r="XEE602"/>
      <c r="XEF602"/>
      <c r="XEG602"/>
      <c r="XEH602"/>
      <c r="XEI602"/>
      <c r="XEJ602"/>
      <c r="XEK602"/>
      <c r="XEL602"/>
      <c r="XEM602"/>
      <c r="XEN602"/>
      <c r="XEO602"/>
      <c r="XEP602"/>
      <c r="XEQ602"/>
      <c r="XER602"/>
      <c r="XES602"/>
      <c r="XET602"/>
      <c r="XEU602"/>
      <c r="XEV602"/>
      <c r="XEW602"/>
      <c r="XEX602"/>
      <c r="XEY602"/>
      <c r="XEZ602"/>
      <c r="XFA602"/>
      <c r="XFB602"/>
      <c r="XFC602"/>
      <c r="XFD602"/>
    </row>
    <row r="603" spans="1:18 16327:16384" s="26" customFormat="1" ht="29.1" customHeight="1" outlineLevel="3" x14ac:dyDescent="0.25">
      <c r="A603" s="42" t="s">
        <v>1023</v>
      </c>
      <c r="B603" s="43"/>
      <c r="C603" s="66" t="s">
        <v>1024</v>
      </c>
      <c r="D603" s="66"/>
      <c r="E603" s="43" t="s">
        <v>34</v>
      </c>
      <c r="F603" s="44"/>
      <c r="G603" s="43" t="s">
        <v>31</v>
      </c>
      <c r="H603" s="45">
        <v>1</v>
      </c>
      <c r="I603" s="46">
        <f>3</f>
        <v>3</v>
      </c>
      <c r="J603" s="23"/>
      <c r="K603" s="47"/>
      <c r="L603" s="48"/>
      <c r="M603" s="49"/>
      <c r="N603" s="49">
        <f t="shared" si="19"/>
        <v>0</v>
      </c>
      <c r="O603" s="49"/>
      <c r="P603" s="49"/>
      <c r="Q603" s="49"/>
      <c r="R603" s="23"/>
      <c r="XCY603"/>
      <c r="XCZ603"/>
      <c r="XDA603"/>
      <c r="XDB603"/>
      <c r="XDC603"/>
      <c r="XDD603"/>
      <c r="XDE603"/>
      <c r="XDF603"/>
      <c r="XDG603"/>
      <c r="XDH603"/>
      <c r="XDI603"/>
      <c r="XDJ603"/>
      <c r="XDK603"/>
      <c r="XDL603"/>
      <c r="XDM603"/>
      <c r="XDN603"/>
      <c r="XDO603"/>
      <c r="XDP603"/>
      <c r="XDQ603"/>
      <c r="XDR603"/>
      <c r="XDS603"/>
      <c r="XDT603"/>
      <c r="XDU603"/>
      <c r="XDV603"/>
      <c r="XDW603"/>
      <c r="XDX603"/>
      <c r="XDY603"/>
      <c r="XDZ603"/>
      <c r="XEA603"/>
      <c r="XEB603"/>
      <c r="XEC603"/>
      <c r="XED603"/>
      <c r="XEE603"/>
      <c r="XEF603"/>
      <c r="XEG603"/>
      <c r="XEH603"/>
      <c r="XEI603"/>
      <c r="XEJ603"/>
      <c r="XEK603"/>
      <c r="XEL603"/>
      <c r="XEM603"/>
      <c r="XEN603"/>
      <c r="XEO603"/>
      <c r="XEP603"/>
      <c r="XEQ603"/>
      <c r="XER603"/>
      <c r="XES603"/>
      <c r="XET603"/>
      <c r="XEU603"/>
      <c r="XEV603"/>
      <c r="XEW603"/>
      <c r="XEX603"/>
      <c r="XEY603"/>
      <c r="XEZ603"/>
      <c r="XFA603"/>
      <c r="XFB603"/>
      <c r="XFC603"/>
      <c r="XFD603"/>
    </row>
    <row r="604" spans="1:18 16327:16384" s="26" customFormat="1" ht="29.1" customHeight="1" outlineLevel="3" x14ac:dyDescent="0.25">
      <c r="A604" s="42" t="s">
        <v>1025</v>
      </c>
      <c r="B604" s="43"/>
      <c r="C604" s="66" t="s">
        <v>1026</v>
      </c>
      <c r="D604" s="66"/>
      <c r="E604" s="43" t="s">
        <v>34</v>
      </c>
      <c r="F604" s="44"/>
      <c r="G604" s="43" t="s">
        <v>31</v>
      </c>
      <c r="H604" s="45">
        <v>1</v>
      </c>
      <c r="I604" s="46">
        <f>3</f>
        <v>3</v>
      </c>
      <c r="J604" s="23"/>
      <c r="K604" s="47"/>
      <c r="L604" s="48"/>
      <c r="M604" s="49"/>
      <c r="N604" s="49">
        <f t="shared" si="19"/>
        <v>0</v>
      </c>
      <c r="O604" s="49"/>
      <c r="P604" s="49"/>
      <c r="Q604" s="49"/>
      <c r="R604" s="23"/>
      <c r="XCY604"/>
      <c r="XCZ604"/>
      <c r="XDA604"/>
      <c r="XDB604"/>
      <c r="XDC604"/>
      <c r="XDD604"/>
      <c r="XDE604"/>
      <c r="XDF604"/>
      <c r="XDG604"/>
      <c r="XDH604"/>
      <c r="XDI604"/>
      <c r="XDJ604"/>
      <c r="XDK604"/>
      <c r="XDL604"/>
      <c r="XDM604"/>
      <c r="XDN604"/>
      <c r="XDO604"/>
      <c r="XDP604"/>
      <c r="XDQ604"/>
      <c r="XDR604"/>
      <c r="XDS604"/>
      <c r="XDT604"/>
      <c r="XDU604"/>
      <c r="XDV604"/>
      <c r="XDW604"/>
      <c r="XDX604"/>
      <c r="XDY604"/>
      <c r="XDZ604"/>
      <c r="XEA604"/>
      <c r="XEB604"/>
      <c r="XEC604"/>
      <c r="XED604"/>
      <c r="XEE604"/>
      <c r="XEF604"/>
      <c r="XEG604"/>
      <c r="XEH604"/>
      <c r="XEI604"/>
      <c r="XEJ604"/>
      <c r="XEK604"/>
      <c r="XEL604"/>
      <c r="XEM604"/>
      <c r="XEN604"/>
      <c r="XEO604"/>
      <c r="XEP604"/>
      <c r="XEQ604"/>
      <c r="XER604"/>
      <c r="XES604"/>
      <c r="XET604"/>
      <c r="XEU604"/>
      <c r="XEV604"/>
      <c r="XEW604"/>
      <c r="XEX604"/>
      <c r="XEY604"/>
      <c r="XEZ604"/>
      <c r="XFA604"/>
      <c r="XFB604"/>
      <c r="XFC604"/>
      <c r="XFD604"/>
    </row>
    <row r="605" spans="1:18 16327:16384" s="26" customFormat="1" ht="29.1" customHeight="1" outlineLevel="3" x14ac:dyDescent="0.25">
      <c r="A605" s="42" t="s">
        <v>1027</v>
      </c>
      <c r="B605" s="43"/>
      <c r="C605" s="66" t="s">
        <v>922</v>
      </c>
      <c r="D605" s="66"/>
      <c r="E605" s="43" t="s">
        <v>34</v>
      </c>
      <c r="F605" s="44"/>
      <c r="G605" s="43" t="s">
        <v>31</v>
      </c>
      <c r="H605" s="45">
        <v>1</v>
      </c>
      <c r="I605" s="46">
        <f>40</f>
        <v>40</v>
      </c>
      <c r="J605" s="23"/>
      <c r="K605" s="47"/>
      <c r="L605" s="48"/>
      <c r="M605" s="49"/>
      <c r="N605" s="49">
        <f t="shared" si="19"/>
        <v>0</v>
      </c>
      <c r="O605" s="49"/>
      <c r="P605" s="49"/>
      <c r="Q605" s="49"/>
      <c r="R605" s="23"/>
      <c r="XCY605"/>
      <c r="XCZ605"/>
      <c r="XDA605"/>
      <c r="XDB605"/>
      <c r="XDC605"/>
      <c r="XDD605"/>
      <c r="XDE605"/>
      <c r="XDF605"/>
      <c r="XDG605"/>
      <c r="XDH605"/>
      <c r="XDI605"/>
      <c r="XDJ605"/>
      <c r="XDK605"/>
      <c r="XDL605"/>
      <c r="XDM605"/>
      <c r="XDN605"/>
      <c r="XDO605"/>
      <c r="XDP605"/>
      <c r="XDQ605"/>
      <c r="XDR605"/>
      <c r="XDS605"/>
      <c r="XDT605"/>
      <c r="XDU605"/>
      <c r="XDV605"/>
      <c r="XDW605"/>
      <c r="XDX605"/>
      <c r="XDY605"/>
      <c r="XDZ605"/>
      <c r="XEA605"/>
      <c r="XEB605"/>
      <c r="XEC605"/>
      <c r="XED605"/>
      <c r="XEE605"/>
      <c r="XEF605"/>
      <c r="XEG605"/>
      <c r="XEH605"/>
      <c r="XEI605"/>
      <c r="XEJ605"/>
      <c r="XEK605"/>
      <c r="XEL605"/>
      <c r="XEM605"/>
      <c r="XEN605"/>
      <c r="XEO605"/>
      <c r="XEP605"/>
      <c r="XEQ605"/>
      <c r="XER605"/>
      <c r="XES605"/>
      <c r="XET605"/>
      <c r="XEU605"/>
      <c r="XEV605"/>
      <c r="XEW605"/>
      <c r="XEX605"/>
      <c r="XEY605"/>
      <c r="XEZ605"/>
      <c r="XFA605"/>
      <c r="XFB605"/>
      <c r="XFC605"/>
      <c r="XFD605"/>
    </row>
    <row r="606" spans="1:18 16327:16384" s="26" customFormat="1" ht="29.1" customHeight="1" outlineLevel="3" x14ac:dyDescent="0.25">
      <c r="A606" s="42" t="s">
        <v>1028</v>
      </c>
      <c r="B606" s="43"/>
      <c r="C606" s="66" t="s">
        <v>924</v>
      </c>
      <c r="D606" s="66"/>
      <c r="E606" s="43" t="s">
        <v>34</v>
      </c>
      <c r="F606" s="44"/>
      <c r="G606" s="43" t="s">
        <v>31</v>
      </c>
      <c r="H606" s="45">
        <v>1</v>
      </c>
      <c r="I606" s="46">
        <f>40</f>
        <v>40</v>
      </c>
      <c r="J606" s="23"/>
      <c r="K606" s="47"/>
      <c r="L606" s="48"/>
      <c r="M606" s="49"/>
      <c r="N606" s="49">
        <f t="shared" si="19"/>
        <v>0</v>
      </c>
      <c r="O606" s="49"/>
      <c r="P606" s="49"/>
      <c r="Q606" s="49"/>
      <c r="R606" s="23"/>
      <c r="XCY606"/>
      <c r="XCZ606"/>
      <c r="XDA606"/>
      <c r="XDB606"/>
      <c r="XDC606"/>
      <c r="XDD606"/>
      <c r="XDE606"/>
      <c r="XDF606"/>
      <c r="XDG606"/>
      <c r="XDH606"/>
      <c r="XDI606"/>
      <c r="XDJ606"/>
      <c r="XDK606"/>
      <c r="XDL606"/>
      <c r="XDM606"/>
      <c r="XDN606"/>
      <c r="XDO606"/>
      <c r="XDP606"/>
      <c r="XDQ606"/>
      <c r="XDR606"/>
      <c r="XDS606"/>
      <c r="XDT606"/>
      <c r="XDU606"/>
      <c r="XDV606"/>
      <c r="XDW606"/>
      <c r="XDX606"/>
      <c r="XDY606"/>
      <c r="XDZ606"/>
      <c r="XEA606"/>
      <c r="XEB606"/>
      <c r="XEC606"/>
      <c r="XED606"/>
      <c r="XEE606"/>
      <c r="XEF606"/>
      <c r="XEG606"/>
      <c r="XEH606"/>
      <c r="XEI606"/>
      <c r="XEJ606"/>
      <c r="XEK606"/>
      <c r="XEL606"/>
      <c r="XEM606"/>
      <c r="XEN606"/>
      <c r="XEO606"/>
      <c r="XEP606"/>
      <c r="XEQ606"/>
      <c r="XER606"/>
      <c r="XES606"/>
      <c r="XET606"/>
      <c r="XEU606"/>
      <c r="XEV606"/>
      <c r="XEW606"/>
      <c r="XEX606"/>
      <c r="XEY606"/>
      <c r="XEZ606"/>
      <c r="XFA606"/>
      <c r="XFB606"/>
      <c r="XFC606"/>
      <c r="XFD606"/>
    </row>
    <row r="607" spans="1:18 16327:16384" s="26" customFormat="1" ht="29.1" customHeight="1" outlineLevel="3" x14ac:dyDescent="0.25">
      <c r="A607" s="42" t="s">
        <v>1029</v>
      </c>
      <c r="B607" s="43"/>
      <c r="C607" s="66" t="s">
        <v>1030</v>
      </c>
      <c r="D607" s="66"/>
      <c r="E607" s="43" t="s">
        <v>34</v>
      </c>
      <c r="F607" s="44"/>
      <c r="G607" s="43" t="s">
        <v>31</v>
      </c>
      <c r="H607" s="45">
        <v>1</v>
      </c>
      <c r="I607" s="46">
        <f>6</f>
        <v>6</v>
      </c>
      <c r="J607" s="23"/>
      <c r="K607" s="47"/>
      <c r="L607" s="48"/>
      <c r="M607" s="49"/>
      <c r="N607" s="49">
        <f t="shared" si="19"/>
        <v>0</v>
      </c>
      <c r="O607" s="49"/>
      <c r="P607" s="49"/>
      <c r="Q607" s="49"/>
      <c r="R607" s="23"/>
      <c r="XCY607"/>
      <c r="XCZ607"/>
      <c r="XDA607"/>
      <c r="XDB607"/>
      <c r="XDC607"/>
      <c r="XDD607"/>
      <c r="XDE607"/>
      <c r="XDF607"/>
      <c r="XDG607"/>
      <c r="XDH607"/>
      <c r="XDI607"/>
      <c r="XDJ607"/>
      <c r="XDK607"/>
      <c r="XDL607"/>
      <c r="XDM607"/>
      <c r="XDN607"/>
      <c r="XDO607"/>
      <c r="XDP607"/>
      <c r="XDQ607"/>
      <c r="XDR607"/>
      <c r="XDS607"/>
      <c r="XDT607"/>
      <c r="XDU607"/>
      <c r="XDV607"/>
      <c r="XDW607"/>
      <c r="XDX607"/>
      <c r="XDY607"/>
      <c r="XDZ607"/>
      <c r="XEA607"/>
      <c r="XEB607"/>
      <c r="XEC607"/>
      <c r="XED607"/>
      <c r="XEE607"/>
      <c r="XEF607"/>
      <c r="XEG607"/>
      <c r="XEH607"/>
      <c r="XEI607"/>
      <c r="XEJ607"/>
      <c r="XEK607"/>
      <c r="XEL607"/>
      <c r="XEM607"/>
      <c r="XEN607"/>
      <c r="XEO607"/>
      <c r="XEP607"/>
      <c r="XEQ607"/>
      <c r="XER607"/>
      <c r="XES607"/>
      <c r="XET607"/>
      <c r="XEU607"/>
      <c r="XEV607"/>
      <c r="XEW607"/>
      <c r="XEX607"/>
      <c r="XEY607"/>
      <c r="XEZ607"/>
      <c r="XFA607"/>
      <c r="XFB607"/>
      <c r="XFC607"/>
      <c r="XFD607"/>
    </row>
    <row r="608" spans="1:18 16327:16384" s="26" customFormat="1" ht="29.1" customHeight="1" outlineLevel="3" x14ac:dyDescent="0.25">
      <c r="A608" s="42" t="s">
        <v>1031</v>
      </c>
      <c r="B608" s="43"/>
      <c r="C608" s="66" t="s">
        <v>928</v>
      </c>
      <c r="D608" s="66"/>
      <c r="E608" s="43" t="s">
        <v>34</v>
      </c>
      <c r="F608" s="44"/>
      <c r="G608" s="43" t="s">
        <v>31</v>
      </c>
      <c r="H608" s="45">
        <v>1</v>
      </c>
      <c r="I608" s="46">
        <f>6</f>
        <v>6</v>
      </c>
      <c r="J608" s="23"/>
      <c r="K608" s="47"/>
      <c r="L608" s="48"/>
      <c r="M608" s="49"/>
      <c r="N608" s="49">
        <f t="shared" si="19"/>
        <v>0</v>
      </c>
      <c r="O608" s="49"/>
      <c r="P608" s="49"/>
      <c r="Q608" s="49"/>
      <c r="R608" s="23"/>
      <c r="XCY608"/>
      <c r="XCZ608"/>
      <c r="XDA608"/>
      <c r="XDB608"/>
      <c r="XDC608"/>
      <c r="XDD608"/>
      <c r="XDE608"/>
      <c r="XDF608"/>
      <c r="XDG608"/>
      <c r="XDH608"/>
      <c r="XDI608"/>
      <c r="XDJ608"/>
      <c r="XDK608"/>
      <c r="XDL608"/>
      <c r="XDM608"/>
      <c r="XDN608"/>
      <c r="XDO608"/>
      <c r="XDP608"/>
      <c r="XDQ608"/>
      <c r="XDR608"/>
      <c r="XDS608"/>
      <c r="XDT608"/>
      <c r="XDU608"/>
      <c r="XDV608"/>
      <c r="XDW608"/>
      <c r="XDX608"/>
      <c r="XDY608"/>
      <c r="XDZ608"/>
      <c r="XEA608"/>
      <c r="XEB608"/>
      <c r="XEC608"/>
      <c r="XED608"/>
      <c r="XEE608"/>
      <c r="XEF608"/>
      <c r="XEG608"/>
      <c r="XEH608"/>
      <c r="XEI608"/>
      <c r="XEJ608"/>
      <c r="XEK608"/>
      <c r="XEL608"/>
      <c r="XEM608"/>
      <c r="XEN608"/>
      <c r="XEO608"/>
      <c r="XEP608"/>
      <c r="XEQ608"/>
      <c r="XER608"/>
      <c r="XES608"/>
      <c r="XET608"/>
      <c r="XEU608"/>
      <c r="XEV608"/>
      <c r="XEW608"/>
      <c r="XEX608"/>
      <c r="XEY608"/>
      <c r="XEZ608"/>
      <c r="XFA608"/>
      <c r="XFB608"/>
      <c r="XFC608"/>
      <c r="XFD608"/>
    </row>
    <row r="609" spans="1:18 16327:16384" s="26" customFormat="1" ht="29.1" customHeight="1" outlineLevel="3" x14ac:dyDescent="0.25">
      <c r="A609" s="42" t="s">
        <v>1032</v>
      </c>
      <c r="B609" s="43"/>
      <c r="C609" s="66" t="s">
        <v>906</v>
      </c>
      <c r="D609" s="66"/>
      <c r="E609" s="43" t="s">
        <v>34</v>
      </c>
      <c r="F609" s="44"/>
      <c r="G609" s="43" t="s">
        <v>31</v>
      </c>
      <c r="H609" s="45">
        <v>1</v>
      </c>
      <c r="I609" s="46">
        <f>232</f>
        <v>232</v>
      </c>
      <c r="J609" s="23"/>
      <c r="K609" s="47"/>
      <c r="L609" s="48"/>
      <c r="M609" s="49"/>
      <c r="N609" s="49">
        <f t="shared" si="19"/>
        <v>0</v>
      </c>
      <c r="O609" s="49"/>
      <c r="P609" s="49"/>
      <c r="Q609" s="49"/>
      <c r="R609" s="23"/>
      <c r="XCY609"/>
      <c r="XCZ609"/>
      <c r="XDA609"/>
      <c r="XDB609"/>
      <c r="XDC609"/>
      <c r="XDD609"/>
      <c r="XDE609"/>
      <c r="XDF609"/>
      <c r="XDG609"/>
      <c r="XDH609"/>
      <c r="XDI609"/>
      <c r="XDJ609"/>
      <c r="XDK609"/>
      <c r="XDL609"/>
      <c r="XDM609"/>
      <c r="XDN609"/>
      <c r="XDO609"/>
      <c r="XDP609"/>
      <c r="XDQ609"/>
      <c r="XDR609"/>
      <c r="XDS609"/>
      <c r="XDT609"/>
      <c r="XDU609"/>
      <c r="XDV609"/>
      <c r="XDW609"/>
      <c r="XDX609"/>
      <c r="XDY609"/>
      <c r="XDZ609"/>
      <c r="XEA609"/>
      <c r="XEB609"/>
      <c r="XEC609"/>
      <c r="XED609"/>
      <c r="XEE609"/>
      <c r="XEF609"/>
      <c r="XEG609"/>
      <c r="XEH609"/>
      <c r="XEI609"/>
      <c r="XEJ609"/>
      <c r="XEK609"/>
      <c r="XEL609"/>
      <c r="XEM609"/>
      <c r="XEN609"/>
      <c r="XEO609"/>
      <c r="XEP609"/>
      <c r="XEQ609"/>
      <c r="XER609"/>
      <c r="XES609"/>
      <c r="XET609"/>
      <c r="XEU609"/>
      <c r="XEV609"/>
      <c r="XEW609"/>
      <c r="XEX609"/>
      <c r="XEY609"/>
      <c r="XEZ609"/>
      <c r="XFA609"/>
      <c r="XFB609"/>
      <c r="XFC609"/>
      <c r="XFD609"/>
    </row>
    <row r="610" spans="1:18 16327:16384" s="26" customFormat="1" ht="29.1" customHeight="1" outlineLevel="3" x14ac:dyDescent="0.25">
      <c r="A610" s="42" t="s">
        <v>1033</v>
      </c>
      <c r="B610" s="43"/>
      <c r="C610" s="66" t="s">
        <v>1034</v>
      </c>
      <c r="D610" s="66"/>
      <c r="E610" s="43" t="s">
        <v>34</v>
      </c>
      <c r="F610" s="44"/>
      <c r="G610" s="43" t="s">
        <v>31</v>
      </c>
      <c r="H610" s="45">
        <v>1</v>
      </c>
      <c r="I610" s="46">
        <f>202</f>
        <v>202</v>
      </c>
      <c r="J610" s="23"/>
      <c r="K610" s="47"/>
      <c r="L610" s="48"/>
      <c r="M610" s="49"/>
      <c r="N610" s="49">
        <f t="shared" si="19"/>
        <v>0</v>
      </c>
      <c r="O610" s="49"/>
      <c r="P610" s="49"/>
      <c r="Q610" s="49"/>
      <c r="R610" s="23"/>
      <c r="XCY610"/>
      <c r="XCZ610"/>
      <c r="XDA610"/>
      <c r="XDB610"/>
      <c r="XDC610"/>
      <c r="XDD610"/>
      <c r="XDE610"/>
      <c r="XDF610"/>
      <c r="XDG610"/>
      <c r="XDH610"/>
      <c r="XDI610"/>
      <c r="XDJ610"/>
      <c r="XDK610"/>
      <c r="XDL610"/>
      <c r="XDM610"/>
      <c r="XDN610"/>
      <c r="XDO610"/>
      <c r="XDP610"/>
      <c r="XDQ610"/>
      <c r="XDR610"/>
      <c r="XDS610"/>
      <c r="XDT610"/>
      <c r="XDU610"/>
      <c r="XDV610"/>
      <c r="XDW610"/>
      <c r="XDX610"/>
      <c r="XDY610"/>
      <c r="XDZ610"/>
      <c r="XEA610"/>
      <c r="XEB610"/>
      <c r="XEC610"/>
      <c r="XED610"/>
      <c r="XEE610"/>
      <c r="XEF610"/>
      <c r="XEG610"/>
      <c r="XEH610"/>
      <c r="XEI610"/>
      <c r="XEJ610"/>
      <c r="XEK610"/>
      <c r="XEL610"/>
      <c r="XEM610"/>
      <c r="XEN610"/>
      <c r="XEO610"/>
      <c r="XEP610"/>
      <c r="XEQ610"/>
      <c r="XER610"/>
      <c r="XES610"/>
      <c r="XET610"/>
      <c r="XEU610"/>
      <c r="XEV610"/>
      <c r="XEW610"/>
      <c r="XEX610"/>
      <c r="XEY610"/>
      <c r="XEZ610"/>
      <c r="XFA610"/>
      <c r="XFB610"/>
      <c r="XFC610"/>
      <c r="XFD610"/>
    </row>
    <row r="611" spans="1:18 16327:16384" s="26" customFormat="1" ht="29.1" customHeight="1" outlineLevel="3" x14ac:dyDescent="0.25">
      <c r="A611" s="42" t="s">
        <v>1035</v>
      </c>
      <c r="B611" s="43"/>
      <c r="C611" s="66" t="s">
        <v>1036</v>
      </c>
      <c r="D611" s="66"/>
      <c r="E611" s="43" t="s">
        <v>34</v>
      </c>
      <c r="F611" s="44"/>
      <c r="G611" s="43" t="s">
        <v>31</v>
      </c>
      <c r="H611" s="45">
        <v>1</v>
      </c>
      <c r="I611" s="46">
        <f>3558</f>
        <v>3558</v>
      </c>
      <c r="J611" s="23"/>
      <c r="K611" s="47"/>
      <c r="L611" s="48"/>
      <c r="M611" s="49"/>
      <c r="N611" s="49">
        <f t="shared" si="19"/>
        <v>0</v>
      </c>
      <c r="O611" s="49"/>
      <c r="P611" s="49"/>
      <c r="Q611" s="49"/>
      <c r="R611" s="23"/>
      <c r="XCY611"/>
      <c r="XCZ611"/>
      <c r="XDA611"/>
      <c r="XDB611"/>
      <c r="XDC611"/>
      <c r="XDD611"/>
      <c r="XDE611"/>
      <c r="XDF611"/>
      <c r="XDG611"/>
      <c r="XDH611"/>
      <c r="XDI611"/>
      <c r="XDJ611"/>
      <c r="XDK611"/>
      <c r="XDL611"/>
      <c r="XDM611"/>
      <c r="XDN611"/>
      <c r="XDO611"/>
      <c r="XDP611"/>
      <c r="XDQ611"/>
      <c r="XDR611"/>
      <c r="XDS611"/>
      <c r="XDT611"/>
      <c r="XDU611"/>
      <c r="XDV611"/>
      <c r="XDW611"/>
      <c r="XDX611"/>
      <c r="XDY611"/>
      <c r="XDZ611"/>
      <c r="XEA611"/>
      <c r="XEB611"/>
      <c r="XEC611"/>
      <c r="XED611"/>
      <c r="XEE611"/>
      <c r="XEF611"/>
      <c r="XEG611"/>
      <c r="XEH611"/>
      <c r="XEI611"/>
      <c r="XEJ611"/>
      <c r="XEK611"/>
      <c r="XEL611"/>
      <c r="XEM611"/>
      <c r="XEN611"/>
      <c r="XEO611"/>
      <c r="XEP611"/>
      <c r="XEQ611"/>
      <c r="XER611"/>
      <c r="XES611"/>
      <c r="XET611"/>
      <c r="XEU611"/>
      <c r="XEV611"/>
      <c r="XEW611"/>
      <c r="XEX611"/>
      <c r="XEY611"/>
      <c r="XEZ611"/>
      <c r="XFA611"/>
      <c r="XFB611"/>
      <c r="XFC611"/>
      <c r="XFD611"/>
    </row>
    <row r="612" spans="1:18 16327:16384" s="26" customFormat="1" ht="29.1" customHeight="1" outlineLevel="2" x14ac:dyDescent="0.25">
      <c r="A612" s="34" t="s">
        <v>1037</v>
      </c>
      <c r="B612" s="35"/>
      <c r="C612" s="65" t="s">
        <v>739</v>
      </c>
      <c r="D612" s="65"/>
      <c r="E612" s="35"/>
      <c r="F612" s="36" t="s">
        <v>1020</v>
      </c>
      <c r="G612" s="35" t="s">
        <v>65</v>
      </c>
      <c r="H612" s="37"/>
      <c r="I612" s="38">
        <f>50</f>
        <v>50</v>
      </c>
      <c r="J612" s="23"/>
      <c r="K612" s="39"/>
      <c r="L612" s="40"/>
      <c r="M612" s="41"/>
      <c r="N612" s="41"/>
      <c r="O612" s="41"/>
      <c r="P612" s="41"/>
      <c r="Q612" s="41"/>
      <c r="R612" s="23"/>
      <c r="XCY612"/>
      <c r="XCZ612"/>
      <c r="XDA612"/>
      <c r="XDB612"/>
      <c r="XDC612"/>
      <c r="XDD612"/>
      <c r="XDE612"/>
      <c r="XDF612"/>
      <c r="XDG612"/>
      <c r="XDH612"/>
      <c r="XDI612"/>
      <c r="XDJ612"/>
      <c r="XDK612"/>
      <c r="XDL612"/>
      <c r="XDM612"/>
      <c r="XDN612"/>
      <c r="XDO612"/>
      <c r="XDP612"/>
      <c r="XDQ612"/>
      <c r="XDR612"/>
      <c r="XDS612"/>
      <c r="XDT612"/>
      <c r="XDU612"/>
      <c r="XDV612"/>
      <c r="XDW612"/>
      <c r="XDX612"/>
      <c r="XDY612"/>
      <c r="XDZ612"/>
      <c r="XEA612"/>
      <c r="XEB612"/>
      <c r="XEC612"/>
      <c r="XED612"/>
      <c r="XEE612"/>
      <c r="XEF612"/>
      <c r="XEG612"/>
      <c r="XEH612"/>
      <c r="XEI612"/>
      <c r="XEJ612"/>
      <c r="XEK612"/>
      <c r="XEL612"/>
      <c r="XEM612"/>
      <c r="XEN612"/>
      <c r="XEO612"/>
      <c r="XEP612"/>
      <c r="XEQ612"/>
      <c r="XER612"/>
      <c r="XES612"/>
      <c r="XET612"/>
      <c r="XEU612"/>
      <c r="XEV612"/>
      <c r="XEW612"/>
      <c r="XEX612"/>
      <c r="XEY612"/>
      <c r="XEZ612"/>
      <c r="XFA612"/>
      <c r="XFB612"/>
      <c r="XFC612"/>
      <c r="XFD612"/>
    </row>
    <row r="613" spans="1:18 16327:16384" s="26" customFormat="1" ht="29.1" customHeight="1" outlineLevel="3" x14ac:dyDescent="0.25">
      <c r="A613" s="42" t="s">
        <v>1038</v>
      </c>
      <c r="B613" s="43"/>
      <c r="C613" s="66" t="s">
        <v>741</v>
      </c>
      <c r="D613" s="66"/>
      <c r="E613" s="43" t="s">
        <v>34</v>
      </c>
      <c r="F613" s="44"/>
      <c r="G613" s="43" t="s">
        <v>65</v>
      </c>
      <c r="H613" s="45">
        <v>1.02</v>
      </c>
      <c r="I613" s="46">
        <f>51</f>
        <v>51</v>
      </c>
      <c r="J613" s="23"/>
      <c r="K613" s="47"/>
      <c r="L613" s="48"/>
      <c r="M613" s="49"/>
      <c r="N613" s="49">
        <f t="shared" si="19"/>
        <v>0</v>
      </c>
      <c r="O613" s="49"/>
      <c r="P613" s="49"/>
      <c r="Q613" s="49"/>
      <c r="R613" s="23"/>
      <c r="XCY613"/>
      <c r="XCZ613"/>
      <c r="XDA613"/>
      <c r="XDB613"/>
      <c r="XDC613"/>
      <c r="XDD613"/>
      <c r="XDE613"/>
      <c r="XDF613"/>
      <c r="XDG613"/>
      <c r="XDH613"/>
      <c r="XDI613"/>
      <c r="XDJ613"/>
      <c r="XDK613"/>
      <c r="XDL613"/>
      <c r="XDM613"/>
      <c r="XDN613"/>
      <c r="XDO613"/>
      <c r="XDP613"/>
      <c r="XDQ613"/>
      <c r="XDR613"/>
      <c r="XDS613"/>
      <c r="XDT613"/>
      <c r="XDU613"/>
      <c r="XDV613"/>
      <c r="XDW613"/>
      <c r="XDX613"/>
      <c r="XDY613"/>
      <c r="XDZ613"/>
      <c r="XEA613"/>
      <c r="XEB613"/>
      <c r="XEC613"/>
      <c r="XED613"/>
      <c r="XEE613"/>
      <c r="XEF613"/>
      <c r="XEG613"/>
      <c r="XEH613"/>
      <c r="XEI613"/>
      <c r="XEJ613"/>
      <c r="XEK613"/>
      <c r="XEL613"/>
      <c r="XEM613"/>
      <c r="XEN613"/>
      <c r="XEO613"/>
      <c r="XEP613"/>
      <c r="XEQ613"/>
      <c r="XER613"/>
      <c r="XES613"/>
      <c r="XET613"/>
      <c r="XEU613"/>
      <c r="XEV613"/>
      <c r="XEW613"/>
      <c r="XEX613"/>
      <c r="XEY613"/>
      <c r="XEZ613"/>
      <c r="XFA613"/>
      <c r="XFB613"/>
      <c r="XFC613"/>
      <c r="XFD613"/>
    </row>
    <row r="614" spans="1:18 16327:16384" s="26" customFormat="1" ht="29.1" customHeight="1" outlineLevel="2" x14ac:dyDescent="0.25">
      <c r="A614" s="34" t="s">
        <v>1039</v>
      </c>
      <c r="B614" s="35"/>
      <c r="C614" s="65" t="s">
        <v>278</v>
      </c>
      <c r="D614" s="65"/>
      <c r="E614" s="35"/>
      <c r="F614" s="36" t="s">
        <v>1040</v>
      </c>
      <c r="G614" s="35" t="s">
        <v>31</v>
      </c>
      <c r="H614" s="37"/>
      <c r="I614" s="38">
        <f>2800</f>
        <v>2800</v>
      </c>
      <c r="J614" s="23"/>
      <c r="K614" s="39"/>
      <c r="L614" s="40"/>
      <c r="M614" s="41">
        <f>K614+L614</f>
        <v>0</v>
      </c>
      <c r="N614" s="41">
        <f t="shared" si="19"/>
        <v>0</v>
      </c>
      <c r="O614" s="41">
        <f>ROUND((I614*L614),2)</f>
        <v>0</v>
      </c>
      <c r="P614" s="41">
        <f>ROUND((I614*M614),2)</f>
        <v>0</v>
      </c>
      <c r="Q614" s="41"/>
      <c r="R614" s="23"/>
      <c r="XCY614"/>
      <c r="XCZ614"/>
      <c r="XDA614"/>
      <c r="XDB614"/>
      <c r="XDC614"/>
      <c r="XDD614"/>
      <c r="XDE614"/>
      <c r="XDF614"/>
      <c r="XDG614"/>
      <c r="XDH614"/>
      <c r="XDI614"/>
      <c r="XDJ614"/>
      <c r="XDK614"/>
      <c r="XDL614"/>
      <c r="XDM614"/>
      <c r="XDN614"/>
      <c r="XDO614"/>
      <c r="XDP614"/>
      <c r="XDQ614"/>
      <c r="XDR614"/>
      <c r="XDS614"/>
      <c r="XDT614"/>
      <c r="XDU614"/>
      <c r="XDV614"/>
      <c r="XDW614"/>
      <c r="XDX614"/>
      <c r="XDY614"/>
      <c r="XDZ614"/>
      <c r="XEA614"/>
      <c r="XEB614"/>
      <c r="XEC614"/>
      <c r="XED614"/>
      <c r="XEE614"/>
      <c r="XEF614"/>
      <c r="XEG614"/>
      <c r="XEH614"/>
      <c r="XEI614"/>
      <c r="XEJ614"/>
      <c r="XEK614"/>
      <c r="XEL614"/>
      <c r="XEM614"/>
      <c r="XEN614"/>
      <c r="XEO614"/>
      <c r="XEP614"/>
      <c r="XEQ614"/>
      <c r="XER614"/>
      <c r="XES614"/>
      <c r="XET614"/>
      <c r="XEU614"/>
      <c r="XEV614"/>
      <c r="XEW614"/>
      <c r="XEX614"/>
      <c r="XEY614"/>
      <c r="XEZ614"/>
      <c r="XFA614"/>
      <c r="XFB614"/>
      <c r="XFC614"/>
      <c r="XFD614"/>
    </row>
    <row r="615" spans="1:18 16327:16384" s="26" customFormat="1" ht="29.1" customHeight="1" outlineLevel="3" x14ac:dyDescent="0.25">
      <c r="A615" s="42" t="s">
        <v>1041</v>
      </c>
      <c r="B615" s="43"/>
      <c r="C615" s="66" t="s">
        <v>1042</v>
      </c>
      <c r="D615" s="66"/>
      <c r="E615" s="43" t="s">
        <v>34</v>
      </c>
      <c r="F615" s="44"/>
      <c r="G615" s="43" t="s">
        <v>65</v>
      </c>
      <c r="H615" s="45">
        <v>1</v>
      </c>
      <c r="I615" s="46">
        <f>700</f>
        <v>700</v>
      </c>
      <c r="J615" s="23"/>
      <c r="K615" s="47"/>
      <c r="L615" s="48"/>
      <c r="M615" s="49"/>
      <c r="N615" s="49">
        <f t="shared" si="19"/>
        <v>0</v>
      </c>
      <c r="O615" s="49"/>
      <c r="P615" s="49"/>
      <c r="Q615" s="49"/>
      <c r="R615" s="23"/>
      <c r="XCY615"/>
      <c r="XCZ615"/>
      <c r="XDA615"/>
      <c r="XDB615"/>
      <c r="XDC615"/>
      <c r="XDD615"/>
      <c r="XDE615"/>
      <c r="XDF615"/>
      <c r="XDG615"/>
      <c r="XDH615"/>
      <c r="XDI615"/>
      <c r="XDJ615"/>
      <c r="XDK615"/>
      <c r="XDL615"/>
      <c r="XDM615"/>
      <c r="XDN615"/>
      <c r="XDO615"/>
      <c r="XDP615"/>
      <c r="XDQ615"/>
      <c r="XDR615"/>
      <c r="XDS615"/>
      <c r="XDT615"/>
      <c r="XDU615"/>
      <c r="XDV615"/>
      <c r="XDW615"/>
      <c r="XDX615"/>
      <c r="XDY615"/>
      <c r="XDZ615"/>
      <c r="XEA615"/>
      <c r="XEB615"/>
      <c r="XEC615"/>
      <c r="XED615"/>
      <c r="XEE615"/>
      <c r="XEF615"/>
      <c r="XEG615"/>
      <c r="XEH615"/>
      <c r="XEI615"/>
      <c r="XEJ615"/>
      <c r="XEK615"/>
      <c r="XEL615"/>
      <c r="XEM615"/>
      <c r="XEN615"/>
      <c r="XEO615"/>
      <c r="XEP615"/>
      <c r="XEQ615"/>
      <c r="XER615"/>
      <c r="XES615"/>
      <c r="XET615"/>
      <c r="XEU615"/>
      <c r="XEV615"/>
      <c r="XEW615"/>
      <c r="XEX615"/>
      <c r="XEY615"/>
      <c r="XEZ615"/>
      <c r="XFA615"/>
      <c r="XFB615"/>
      <c r="XFC615"/>
      <c r="XFD615"/>
    </row>
    <row r="616" spans="1:18 16327:16384" s="26" customFormat="1" ht="29.1" customHeight="1" outlineLevel="3" x14ac:dyDescent="0.25">
      <c r="A616" s="42" t="s">
        <v>1043</v>
      </c>
      <c r="B616" s="43"/>
      <c r="C616" s="66" t="s">
        <v>749</v>
      </c>
      <c r="D616" s="66"/>
      <c r="E616" s="43" t="s">
        <v>34</v>
      </c>
      <c r="F616" s="44"/>
      <c r="G616" s="43" t="s">
        <v>31</v>
      </c>
      <c r="H616" s="45">
        <v>1</v>
      </c>
      <c r="I616" s="46">
        <f>133</f>
        <v>133</v>
      </c>
      <c r="J616" s="23"/>
      <c r="K616" s="47"/>
      <c r="L616" s="48"/>
      <c r="M616" s="49"/>
      <c r="N616" s="49">
        <f t="shared" si="19"/>
        <v>0</v>
      </c>
      <c r="O616" s="49"/>
      <c r="P616" s="49"/>
      <c r="Q616" s="49"/>
      <c r="R616" s="23"/>
      <c r="XCY616"/>
      <c r="XCZ616"/>
      <c r="XDA616"/>
      <c r="XDB616"/>
      <c r="XDC616"/>
      <c r="XDD616"/>
      <c r="XDE616"/>
      <c r="XDF616"/>
      <c r="XDG616"/>
      <c r="XDH616"/>
      <c r="XDI616"/>
      <c r="XDJ616"/>
      <c r="XDK616"/>
      <c r="XDL616"/>
      <c r="XDM616"/>
      <c r="XDN616"/>
      <c r="XDO616"/>
      <c r="XDP616"/>
      <c r="XDQ616"/>
      <c r="XDR616"/>
      <c r="XDS616"/>
      <c r="XDT616"/>
      <c r="XDU616"/>
      <c r="XDV616"/>
      <c r="XDW616"/>
      <c r="XDX616"/>
      <c r="XDY616"/>
      <c r="XDZ616"/>
      <c r="XEA616"/>
      <c r="XEB616"/>
      <c r="XEC616"/>
      <c r="XED616"/>
      <c r="XEE616"/>
      <c r="XEF616"/>
      <c r="XEG616"/>
      <c r="XEH616"/>
      <c r="XEI616"/>
      <c r="XEJ616"/>
      <c r="XEK616"/>
      <c r="XEL616"/>
      <c r="XEM616"/>
      <c r="XEN616"/>
      <c r="XEO616"/>
      <c r="XEP616"/>
      <c r="XEQ616"/>
      <c r="XER616"/>
      <c r="XES616"/>
      <c r="XET616"/>
      <c r="XEU616"/>
      <c r="XEV616"/>
      <c r="XEW616"/>
      <c r="XEX616"/>
      <c r="XEY616"/>
      <c r="XEZ616"/>
      <c r="XFA616"/>
      <c r="XFB616"/>
      <c r="XFC616"/>
      <c r="XFD616"/>
    </row>
    <row r="617" spans="1:18 16327:16384" s="26" customFormat="1" ht="29.1" customHeight="1" outlineLevel="3" x14ac:dyDescent="0.25">
      <c r="A617" s="42" t="s">
        <v>1044</v>
      </c>
      <c r="B617" s="43"/>
      <c r="C617" s="66" t="s">
        <v>839</v>
      </c>
      <c r="D617" s="66"/>
      <c r="E617" s="43" t="s">
        <v>34</v>
      </c>
      <c r="F617" s="44"/>
      <c r="G617" s="43" t="s">
        <v>285</v>
      </c>
      <c r="H617" s="45">
        <v>1</v>
      </c>
      <c r="I617" s="46">
        <f>241</f>
        <v>241</v>
      </c>
      <c r="J617" s="23"/>
      <c r="K617" s="47"/>
      <c r="L617" s="48"/>
      <c r="M617" s="49"/>
      <c r="N617" s="49">
        <f t="shared" si="19"/>
        <v>0</v>
      </c>
      <c r="O617" s="49"/>
      <c r="P617" s="49"/>
      <c r="Q617" s="49"/>
      <c r="R617" s="23"/>
      <c r="XCY617"/>
      <c r="XCZ617"/>
      <c r="XDA617"/>
      <c r="XDB617"/>
      <c r="XDC617"/>
      <c r="XDD617"/>
      <c r="XDE617"/>
      <c r="XDF617"/>
      <c r="XDG617"/>
      <c r="XDH617"/>
      <c r="XDI617"/>
      <c r="XDJ617"/>
      <c r="XDK617"/>
      <c r="XDL617"/>
      <c r="XDM617"/>
      <c r="XDN617"/>
      <c r="XDO617"/>
      <c r="XDP617"/>
      <c r="XDQ617"/>
      <c r="XDR617"/>
      <c r="XDS617"/>
      <c r="XDT617"/>
      <c r="XDU617"/>
      <c r="XDV617"/>
      <c r="XDW617"/>
      <c r="XDX617"/>
      <c r="XDY617"/>
      <c r="XDZ617"/>
      <c r="XEA617"/>
      <c r="XEB617"/>
      <c r="XEC617"/>
      <c r="XED617"/>
      <c r="XEE617"/>
      <c r="XEF617"/>
      <c r="XEG617"/>
      <c r="XEH617"/>
      <c r="XEI617"/>
      <c r="XEJ617"/>
      <c r="XEK617"/>
      <c r="XEL617"/>
      <c r="XEM617"/>
      <c r="XEN617"/>
      <c r="XEO617"/>
      <c r="XEP617"/>
      <c r="XEQ617"/>
      <c r="XER617"/>
      <c r="XES617"/>
      <c r="XET617"/>
      <c r="XEU617"/>
      <c r="XEV617"/>
      <c r="XEW617"/>
      <c r="XEX617"/>
      <c r="XEY617"/>
      <c r="XEZ617"/>
      <c r="XFA617"/>
      <c r="XFB617"/>
      <c r="XFC617"/>
      <c r="XFD617"/>
    </row>
    <row r="618" spans="1:18 16327:16384" s="26" customFormat="1" ht="29.1" customHeight="1" outlineLevel="3" x14ac:dyDescent="0.25">
      <c r="A618" s="42" t="s">
        <v>1045</v>
      </c>
      <c r="B618" s="43"/>
      <c r="C618" s="66" t="s">
        <v>752</v>
      </c>
      <c r="D618" s="66"/>
      <c r="E618" s="43" t="s">
        <v>34</v>
      </c>
      <c r="F618" s="44"/>
      <c r="G618" s="43" t="s">
        <v>753</v>
      </c>
      <c r="H618" s="45">
        <v>1</v>
      </c>
      <c r="I618" s="46">
        <f>4.4</f>
        <v>4.4000000000000004</v>
      </c>
      <c r="J618" s="23"/>
      <c r="K618" s="47"/>
      <c r="L618" s="48"/>
      <c r="M618" s="49"/>
      <c r="N618" s="49">
        <f t="shared" si="19"/>
        <v>0</v>
      </c>
      <c r="O618" s="49"/>
      <c r="P618" s="49"/>
      <c r="Q618" s="49"/>
      <c r="R618" s="23"/>
      <c r="XCY618"/>
      <c r="XCZ618"/>
      <c r="XDA618"/>
      <c r="XDB618"/>
      <c r="XDC618"/>
      <c r="XDD618"/>
      <c r="XDE618"/>
      <c r="XDF618"/>
      <c r="XDG618"/>
      <c r="XDH618"/>
      <c r="XDI618"/>
      <c r="XDJ618"/>
      <c r="XDK618"/>
      <c r="XDL618"/>
      <c r="XDM618"/>
      <c r="XDN618"/>
      <c r="XDO618"/>
      <c r="XDP618"/>
      <c r="XDQ618"/>
      <c r="XDR618"/>
      <c r="XDS618"/>
      <c r="XDT618"/>
      <c r="XDU618"/>
      <c r="XDV618"/>
      <c r="XDW618"/>
      <c r="XDX618"/>
      <c r="XDY618"/>
      <c r="XDZ618"/>
      <c r="XEA618"/>
      <c r="XEB618"/>
      <c r="XEC618"/>
      <c r="XED618"/>
      <c r="XEE618"/>
      <c r="XEF618"/>
      <c r="XEG618"/>
      <c r="XEH618"/>
      <c r="XEI618"/>
      <c r="XEJ618"/>
      <c r="XEK618"/>
      <c r="XEL618"/>
      <c r="XEM618"/>
      <c r="XEN618"/>
      <c r="XEO618"/>
      <c r="XEP618"/>
      <c r="XEQ618"/>
      <c r="XER618"/>
      <c r="XES618"/>
      <c r="XET618"/>
      <c r="XEU618"/>
      <c r="XEV618"/>
      <c r="XEW618"/>
      <c r="XEX618"/>
      <c r="XEY618"/>
      <c r="XEZ618"/>
      <c r="XFA618"/>
      <c r="XFB618"/>
      <c r="XFC618"/>
      <c r="XFD618"/>
    </row>
    <row r="619" spans="1:18 16327:16384" s="26" customFormat="1" ht="29.1" customHeight="1" outlineLevel="1" x14ac:dyDescent="0.25">
      <c r="A619" s="27" t="s">
        <v>1046</v>
      </c>
      <c r="B619" s="28" t="s">
        <v>58</v>
      </c>
      <c r="C619" s="69" t="s">
        <v>1047</v>
      </c>
      <c r="D619" s="69"/>
      <c r="E619" s="28"/>
      <c r="F619" s="29"/>
      <c r="G619" s="28"/>
      <c r="H619" s="30"/>
      <c r="I619" s="31"/>
      <c r="J619" s="23"/>
      <c r="K619" s="32"/>
      <c r="L619" s="32"/>
      <c r="M619" s="32"/>
      <c r="N619" s="32">
        <f>N620+N622+N624+N626+N628+N630+N632+N634+N636+N638+N640+N642+N644+N646+N648+N650+N652+N654+N656+N658+N660+N662+N664+N666+N668+N670+N672+N674+N676+N678+N680+N682+N684+N686+N688+N690+N692+N694+N696+N698+N700+N702+N704+N706+N708+N710+N712+N714+N716+N718+N720+N722+N724+N726+N728+N731+N734+N737+N741</f>
        <v>0</v>
      </c>
      <c r="O619" s="32">
        <f>O620+O622+O624+O626+O628+O630+O632+O634+O636+O638+O640+O642+O644+O646+O648+O650+O652+O654+O656+O658+O660+O662+O664+O666+O668+O670+O672+O674+O676+O678+O680+O682+O684+O686+O688+O690+O692+O694+O696+O698+O700+O702+O704+O706+O708+O710+O712+O714+O716+O718+O720+O722+O724+O726+O728+O731+O734+O737+O741</f>
        <v>0</v>
      </c>
      <c r="P619" s="32">
        <f>P620+P622+P624+P626+P628+P630+P632+P634+P636+P638+P640+P642+P644+P646+P648+P650+P652+P654+P656+P658+P660+P662+P664+P666+P668+P670+P672+P674+P676+P678+P680+P682+P684+P686+P688+P690+P692+P694+P696+P698+P700+P702+P704+P706+P708+P710+P712+P714+P716+P718+P720+P722+P724+P726+P728+P731+P734+P737+P741</f>
        <v>0</v>
      </c>
      <c r="Q619" s="33"/>
      <c r="R619" s="23"/>
      <c r="XCY619"/>
      <c r="XCZ619"/>
      <c r="XDA619"/>
      <c r="XDB619"/>
      <c r="XDC619"/>
      <c r="XDD619"/>
      <c r="XDE619"/>
      <c r="XDF619"/>
      <c r="XDG619"/>
      <c r="XDH619"/>
      <c r="XDI619"/>
      <c r="XDJ619"/>
      <c r="XDK619"/>
      <c r="XDL619"/>
      <c r="XDM619"/>
      <c r="XDN619"/>
      <c r="XDO619"/>
      <c r="XDP619"/>
      <c r="XDQ619"/>
      <c r="XDR619"/>
      <c r="XDS619"/>
      <c r="XDT619"/>
      <c r="XDU619"/>
      <c r="XDV619"/>
      <c r="XDW619"/>
      <c r="XDX619"/>
      <c r="XDY619"/>
      <c r="XDZ619"/>
      <c r="XEA619"/>
      <c r="XEB619"/>
      <c r="XEC619"/>
      <c r="XED619"/>
      <c r="XEE619"/>
      <c r="XEF619"/>
      <c r="XEG619"/>
      <c r="XEH619"/>
      <c r="XEI619"/>
      <c r="XEJ619"/>
      <c r="XEK619"/>
      <c r="XEL619"/>
      <c r="XEM619"/>
      <c r="XEN619"/>
      <c r="XEO619"/>
      <c r="XEP619"/>
      <c r="XEQ619"/>
      <c r="XER619"/>
      <c r="XES619"/>
      <c r="XET619"/>
      <c r="XEU619"/>
      <c r="XEV619"/>
      <c r="XEW619"/>
      <c r="XEX619"/>
      <c r="XEY619"/>
      <c r="XEZ619"/>
      <c r="XFA619"/>
      <c r="XFB619"/>
      <c r="XFC619"/>
      <c r="XFD619"/>
    </row>
    <row r="620" spans="1:18 16327:16384" s="26" customFormat="1" ht="29.1" customHeight="1" outlineLevel="2" x14ac:dyDescent="0.25">
      <c r="A620" s="34" t="s">
        <v>1048</v>
      </c>
      <c r="B620" s="35"/>
      <c r="C620" s="65" t="s">
        <v>469</v>
      </c>
      <c r="D620" s="65"/>
      <c r="E620" s="35"/>
      <c r="F620" s="36"/>
      <c r="G620" s="35" t="s">
        <v>31</v>
      </c>
      <c r="H620" s="37"/>
      <c r="I620" s="38">
        <f>20</f>
        <v>20</v>
      </c>
      <c r="J620" s="23"/>
      <c r="K620" s="39"/>
      <c r="L620" s="40"/>
      <c r="M620" s="41">
        <f>K620+L620</f>
        <v>0</v>
      </c>
      <c r="N620" s="41">
        <f t="shared" ref="N620:N651" si="20">ROUND((I620*K620),2)</f>
        <v>0</v>
      </c>
      <c r="O620" s="41">
        <f>ROUND((I620*L620),2)</f>
        <v>0</v>
      </c>
      <c r="P620" s="41">
        <f>ROUND((I620*M620),2)</f>
        <v>0</v>
      </c>
      <c r="Q620" s="41"/>
      <c r="R620" s="23"/>
      <c r="XCY620"/>
      <c r="XCZ620"/>
      <c r="XDA620"/>
      <c r="XDB620"/>
      <c r="XDC620"/>
      <c r="XDD620"/>
      <c r="XDE620"/>
      <c r="XDF620"/>
      <c r="XDG620"/>
      <c r="XDH620"/>
      <c r="XDI620"/>
      <c r="XDJ620"/>
      <c r="XDK620"/>
      <c r="XDL620"/>
      <c r="XDM620"/>
      <c r="XDN620"/>
      <c r="XDO620"/>
      <c r="XDP620"/>
      <c r="XDQ620"/>
      <c r="XDR620"/>
      <c r="XDS620"/>
      <c r="XDT620"/>
      <c r="XDU620"/>
      <c r="XDV620"/>
      <c r="XDW620"/>
      <c r="XDX620"/>
      <c r="XDY620"/>
      <c r="XDZ620"/>
      <c r="XEA620"/>
      <c r="XEB620"/>
      <c r="XEC620"/>
      <c r="XED620"/>
      <c r="XEE620"/>
      <c r="XEF620"/>
      <c r="XEG620"/>
      <c r="XEH620"/>
      <c r="XEI620"/>
      <c r="XEJ620"/>
      <c r="XEK620"/>
      <c r="XEL620"/>
      <c r="XEM620"/>
      <c r="XEN620"/>
      <c r="XEO620"/>
      <c r="XEP620"/>
      <c r="XEQ620"/>
      <c r="XER620"/>
      <c r="XES620"/>
      <c r="XET620"/>
      <c r="XEU620"/>
      <c r="XEV620"/>
      <c r="XEW620"/>
      <c r="XEX620"/>
      <c r="XEY620"/>
      <c r="XEZ620"/>
      <c r="XFA620"/>
      <c r="XFB620"/>
      <c r="XFC620"/>
      <c r="XFD620"/>
    </row>
    <row r="621" spans="1:18 16327:16384" s="26" customFormat="1" ht="29.1" customHeight="1" outlineLevel="3" x14ac:dyDescent="0.25">
      <c r="A621" s="42" t="s">
        <v>1049</v>
      </c>
      <c r="B621" s="43"/>
      <c r="C621" s="66" t="s">
        <v>1050</v>
      </c>
      <c r="D621" s="66"/>
      <c r="E621" s="43" t="s">
        <v>34</v>
      </c>
      <c r="F621" s="44"/>
      <c r="G621" s="43" t="s">
        <v>31</v>
      </c>
      <c r="H621" s="45">
        <v>1</v>
      </c>
      <c r="I621" s="46">
        <f>20</f>
        <v>20</v>
      </c>
      <c r="J621" s="23"/>
      <c r="K621" s="64"/>
      <c r="L621" s="48"/>
      <c r="M621" s="49"/>
      <c r="N621" s="49">
        <f t="shared" si="20"/>
        <v>0</v>
      </c>
      <c r="O621" s="49"/>
      <c r="P621" s="49"/>
      <c r="Q621" s="49"/>
      <c r="R621" s="23"/>
      <c r="XCY621"/>
      <c r="XCZ621"/>
      <c r="XDA621"/>
      <c r="XDB621"/>
      <c r="XDC621"/>
      <c r="XDD621"/>
      <c r="XDE621"/>
      <c r="XDF621"/>
      <c r="XDG621"/>
      <c r="XDH621"/>
      <c r="XDI621"/>
      <c r="XDJ621"/>
      <c r="XDK621"/>
      <c r="XDL621"/>
      <c r="XDM621"/>
      <c r="XDN621"/>
      <c r="XDO621"/>
      <c r="XDP621"/>
      <c r="XDQ621"/>
      <c r="XDR621"/>
      <c r="XDS621"/>
      <c r="XDT621"/>
      <c r="XDU621"/>
      <c r="XDV621"/>
      <c r="XDW621"/>
      <c r="XDX621"/>
      <c r="XDY621"/>
      <c r="XDZ621"/>
      <c r="XEA621"/>
      <c r="XEB621"/>
      <c r="XEC621"/>
      <c r="XED621"/>
      <c r="XEE621"/>
      <c r="XEF621"/>
      <c r="XEG621"/>
      <c r="XEH621"/>
      <c r="XEI621"/>
      <c r="XEJ621"/>
      <c r="XEK621"/>
      <c r="XEL621"/>
      <c r="XEM621"/>
      <c r="XEN621"/>
      <c r="XEO621"/>
      <c r="XEP621"/>
      <c r="XEQ621"/>
      <c r="XER621"/>
      <c r="XES621"/>
      <c r="XET621"/>
      <c r="XEU621"/>
      <c r="XEV621"/>
      <c r="XEW621"/>
      <c r="XEX621"/>
      <c r="XEY621"/>
      <c r="XEZ621"/>
      <c r="XFA621"/>
      <c r="XFB621"/>
      <c r="XFC621"/>
      <c r="XFD621"/>
    </row>
    <row r="622" spans="1:18 16327:16384" s="26" customFormat="1" ht="29.1" customHeight="1" outlineLevel="2" x14ac:dyDescent="0.25">
      <c r="A622" s="34" t="s">
        <v>1051</v>
      </c>
      <c r="B622" s="35"/>
      <c r="C622" s="65" t="s">
        <v>491</v>
      </c>
      <c r="D622" s="65"/>
      <c r="E622" s="35"/>
      <c r="F622" s="36"/>
      <c r="G622" s="35" t="s">
        <v>31</v>
      </c>
      <c r="H622" s="37"/>
      <c r="I622" s="38">
        <f>20</f>
        <v>20</v>
      </c>
      <c r="J622" s="23"/>
      <c r="K622" s="39"/>
      <c r="L622" s="40"/>
      <c r="M622" s="41">
        <f>K622+L622</f>
        <v>0</v>
      </c>
      <c r="N622" s="41">
        <f t="shared" si="20"/>
        <v>0</v>
      </c>
      <c r="O622" s="41">
        <f>ROUND((I622*L622),2)</f>
        <v>0</v>
      </c>
      <c r="P622" s="41">
        <f>ROUND((I622*M622),2)</f>
        <v>0</v>
      </c>
      <c r="Q622" s="41"/>
      <c r="R622" s="23"/>
      <c r="XCY622"/>
      <c r="XCZ622"/>
      <c r="XDA622"/>
      <c r="XDB622"/>
      <c r="XDC622"/>
      <c r="XDD622"/>
      <c r="XDE622"/>
      <c r="XDF622"/>
      <c r="XDG622"/>
      <c r="XDH622"/>
      <c r="XDI622"/>
      <c r="XDJ622"/>
      <c r="XDK622"/>
      <c r="XDL622"/>
      <c r="XDM622"/>
      <c r="XDN622"/>
      <c r="XDO622"/>
      <c r="XDP622"/>
      <c r="XDQ622"/>
      <c r="XDR622"/>
      <c r="XDS622"/>
      <c r="XDT622"/>
      <c r="XDU622"/>
      <c r="XDV622"/>
      <c r="XDW622"/>
      <c r="XDX622"/>
      <c r="XDY622"/>
      <c r="XDZ622"/>
      <c r="XEA622"/>
      <c r="XEB622"/>
      <c r="XEC622"/>
      <c r="XED622"/>
      <c r="XEE622"/>
      <c r="XEF622"/>
      <c r="XEG622"/>
      <c r="XEH622"/>
      <c r="XEI622"/>
      <c r="XEJ622"/>
      <c r="XEK622"/>
      <c r="XEL622"/>
      <c r="XEM622"/>
      <c r="XEN622"/>
      <c r="XEO622"/>
      <c r="XEP622"/>
      <c r="XEQ622"/>
      <c r="XER622"/>
      <c r="XES622"/>
      <c r="XET622"/>
      <c r="XEU622"/>
      <c r="XEV622"/>
      <c r="XEW622"/>
      <c r="XEX622"/>
      <c r="XEY622"/>
      <c r="XEZ622"/>
      <c r="XFA622"/>
      <c r="XFB622"/>
      <c r="XFC622"/>
      <c r="XFD622"/>
    </row>
    <row r="623" spans="1:18 16327:16384" s="26" customFormat="1" ht="29.1" customHeight="1" outlineLevel="3" x14ac:dyDescent="0.25">
      <c r="A623" s="42" t="s">
        <v>1052</v>
      </c>
      <c r="B623" s="43"/>
      <c r="C623" s="66" t="s">
        <v>1053</v>
      </c>
      <c r="D623" s="66"/>
      <c r="E623" s="43" t="s">
        <v>34</v>
      </c>
      <c r="F623" s="44"/>
      <c r="G623" s="43" t="s">
        <v>31</v>
      </c>
      <c r="H623" s="45">
        <v>1</v>
      </c>
      <c r="I623" s="46">
        <f>20</f>
        <v>20</v>
      </c>
      <c r="J623" s="23"/>
      <c r="K623" s="47"/>
      <c r="L623" s="48"/>
      <c r="M623" s="49"/>
      <c r="N623" s="49">
        <f t="shared" si="20"/>
        <v>0</v>
      </c>
      <c r="O623" s="49"/>
      <c r="P623" s="49"/>
      <c r="Q623" s="49"/>
      <c r="R623" s="23"/>
      <c r="XCY623"/>
      <c r="XCZ623"/>
      <c r="XDA623"/>
      <c r="XDB623"/>
      <c r="XDC623"/>
      <c r="XDD623"/>
      <c r="XDE623"/>
      <c r="XDF623"/>
      <c r="XDG623"/>
      <c r="XDH623"/>
      <c r="XDI623"/>
      <c r="XDJ623"/>
      <c r="XDK623"/>
      <c r="XDL623"/>
      <c r="XDM623"/>
      <c r="XDN623"/>
      <c r="XDO623"/>
      <c r="XDP623"/>
      <c r="XDQ623"/>
      <c r="XDR623"/>
      <c r="XDS623"/>
      <c r="XDT623"/>
      <c r="XDU623"/>
      <c r="XDV623"/>
      <c r="XDW623"/>
      <c r="XDX623"/>
      <c r="XDY623"/>
      <c r="XDZ623"/>
      <c r="XEA623"/>
      <c r="XEB623"/>
      <c r="XEC623"/>
      <c r="XED623"/>
      <c r="XEE623"/>
      <c r="XEF623"/>
      <c r="XEG623"/>
      <c r="XEH623"/>
      <c r="XEI623"/>
      <c r="XEJ623"/>
      <c r="XEK623"/>
      <c r="XEL623"/>
      <c r="XEM623"/>
      <c r="XEN623"/>
      <c r="XEO623"/>
      <c r="XEP623"/>
      <c r="XEQ623"/>
      <c r="XER623"/>
      <c r="XES623"/>
      <c r="XET623"/>
      <c r="XEU623"/>
      <c r="XEV623"/>
      <c r="XEW623"/>
      <c r="XEX623"/>
      <c r="XEY623"/>
      <c r="XEZ623"/>
      <c r="XFA623"/>
      <c r="XFB623"/>
      <c r="XFC623"/>
      <c r="XFD623"/>
    </row>
    <row r="624" spans="1:18 16327:16384" s="26" customFormat="1" ht="29.1" customHeight="1" outlineLevel="2" x14ac:dyDescent="0.25">
      <c r="A624" s="34" t="s">
        <v>1054</v>
      </c>
      <c r="B624" s="35"/>
      <c r="C624" s="65" t="s">
        <v>1055</v>
      </c>
      <c r="D624" s="65"/>
      <c r="E624" s="35"/>
      <c r="F624" s="36"/>
      <c r="G624" s="35" t="s">
        <v>65</v>
      </c>
      <c r="H624" s="37"/>
      <c r="I624" s="38">
        <f>20</f>
        <v>20</v>
      </c>
      <c r="J624" s="23"/>
      <c r="K624" s="39"/>
      <c r="L624" s="40"/>
      <c r="M624" s="41">
        <f>K624+L624</f>
        <v>0</v>
      </c>
      <c r="N624" s="41">
        <f t="shared" si="20"/>
        <v>0</v>
      </c>
      <c r="O624" s="41">
        <f>ROUND((I624*L624),2)</f>
        <v>0</v>
      </c>
      <c r="P624" s="41">
        <f>ROUND((I624*M624),2)</f>
        <v>0</v>
      </c>
      <c r="Q624" s="41"/>
      <c r="R624" s="23"/>
      <c r="XCY624"/>
      <c r="XCZ624"/>
      <c r="XDA624"/>
      <c r="XDB624"/>
      <c r="XDC624"/>
      <c r="XDD624"/>
      <c r="XDE624"/>
      <c r="XDF624"/>
      <c r="XDG624"/>
      <c r="XDH624"/>
      <c r="XDI624"/>
      <c r="XDJ624"/>
      <c r="XDK624"/>
      <c r="XDL624"/>
      <c r="XDM624"/>
      <c r="XDN624"/>
      <c r="XDO624"/>
      <c r="XDP624"/>
      <c r="XDQ624"/>
      <c r="XDR624"/>
      <c r="XDS624"/>
      <c r="XDT624"/>
      <c r="XDU624"/>
      <c r="XDV624"/>
      <c r="XDW624"/>
      <c r="XDX624"/>
      <c r="XDY624"/>
      <c r="XDZ624"/>
      <c r="XEA624"/>
      <c r="XEB624"/>
      <c r="XEC624"/>
      <c r="XED624"/>
      <c r="XEE624"/>
      <c r="XEF624"/>
      <c r="XEG624"/>
      <c r="XEH624"/>
      <c r="XEI624"/>
      <c r="XEJ624"/>
      <c r="XEK624"/>
      <c r="XEL624"/>
      <c r="XEM624"/>
      <c r="XEN624"/>
      <c r="XEO624"/>
      <c r="XEP624"/>
      <c r="XEQ624"/>
      <c r="XER624"/>
      <c r="XES624"/>
      <c r="XET624"/>
      <c r="XEU624"/>
      <c r="XEV624"/>
      <c r="XEW624"/>
      <c r="XEX624"/>
      <c r="XEY624"/>
      <c r="XEZ624"/>
      <c r="XFA624"/>
      <c r="XFB624"/>
      <c r="XFC624"/>
      <c r="XFD624"/>
    </row>
    <row r="625" spans="1:18 16327:16384" s="26" customFormat="1" ht="29.1" customHeight="1" outlineLevel="3" x14ac:dyDescent="0.25">
      <c r="A625" s="42" t="s">
        <v>1056</v>
      </c>
      <c r="B625" s="43"/>
      <c r="C625" s="66" t="s">
        <v>1057</v>
      </c>
      <c r="D625" s="66"/>
      <c r="E625" s="43" t="s">
        <v>34</v>
      </c>
      <c r="F625" s="44"/>
      <c r="G625" s="43" t="s">
        <v>65</v>
      </c>
      <c r="H625" s="45">
        <v>1.02</v>
      </c>
      <c r="I625" s="46">
        <f>20.4</f>
        <v>20.399999999999999</v>
      </c>
      <c r="J625" s="23"/>
      <c r="K625" s="47"/>
      <c r="L625" s="48"/>
      <c r="M625" s="49"/>
      <c r="N625" s="49">
        <f t="shared" si="20"/>
        <v>0</v>
      </c>
      <c r="O625" s="49"/>
      <c r="P625" s="49"/>
      <c r="Q625" s="49"/>
      <c r="R625" s="23"/>
      <c r="XCY625"/>
      <c r="XCZ625"/>
      <c r="XDA625"/>
      <c r="XDB625"/>
      <c r="XDC625"/>
      <c r="XDD625"/>
      <c r="XDE625"/>
      <c r="XDF625"/>
      <c r="XDG625"/>
      <c r="XDH625"/>
      <c r="XDI625"/>
      <c r="XDJ625"/>
      <c r="XDK625"/>
      <c r="XDL625"/>
      <c r="XDM625"/>
      <c r="XDN625"/>
      <c r="XDO625"/>
      <c r="XDP625"/>
      <c r="XDQ625"/>
      <c r="XDR625"/>
      <c r="XDS625"/>
      <c r="XDT625"/>
      <c r="XDU625"/>
      <c r="XDV625"/>
      <c r="XDW625"/>
      <c r="XDX625"/>
      <c r="XDY625"/>
      <c r="XDZ625"/>
      <c r="XEA625"/>
      <c r="XEB625"/>
      <c r="XEC625"/>
      <c r="XED625"/>
      <c r="XEE625"/>
      <c r="XEF625"/>
      <c r="XEG625"/>
      <c r="XEH625"/>
      <c r="XEI625"/>
      <c r="XEJ625"/>
      <c r="XEK625"/>
      <c r="XEL625"/>
      <c r="XEM625"/>
      <c r="XEN625"/>
      <c r="XEO625"/>
      <c r="XEP625"/>
      <c r="XEQ625"/>
      <c r="XER625"/>
      <c r="XES625"/>
      <c r="XET625"/>
      <c r="XEU625"/>
      <c r="XEV625"/>
      <c r="XEW625"/>
      <c r="XEX625"/>
      <c r="XEY625"/>
      <c r="XEZ625"/>
      <c r="XFA625"/>
      <c r="XFB625"/>
      <c r="XFC625"/>
      <c r="XFD625"/>
    </row>
    <row r="626" spans="1:18 16327:16384" s="26" customFormat="1" ht="29.1" customHeight="1" outlineLevel="2" x14ac:dyDescent="0.25">
      <c r="A626" s="34" t="s">
        <v>1058</v>
      </c>
      <c r="B626" s="35"/>
      <c r="C626" s="65" t="s">
        <v>1059</v>
      </c>
      <c r="D626" s="65"/>
      <c r="E626" s="35"/>
      <c r="F626" s="36"/>
      <c r="G626" s="35" t="s">
        <v>31</v>
      </c>
      <c r="H626" s="37"/>
      <c r="I626" s="38">
        <f>18</f>
        <v>18</v>
      </c>
      <c r="J626" s="23"/>
      <c r="K626" s="39"/>
      <c r="L626" s="40"/>
      <c r="M626" s="41">
        <f>K626+L626</f>
        <v>0</v>
      </c>
      <c r="N626" s="41">
        <f t="shared" si="20"/>
        <v>0</v>
      </c>
      <c r="O626" s="41">
        <f>ROUND((I626*L626),2)</f>
        <v>0</v>
      </c>
      <c r="P626" s="41">
        <f>ROUND((I626*M626),2)</f>
        <v>0</v>
      </c>
      <c r="Q626" s="41"/>
      <c r="R626" s="23"/>
      <c r="XCY626"/>
      <c r="XCZ626"/>
      <c r="XDA626"/>
      <c r="XDB626"/>
      <c r="XDC626"/>
      <c r="XDD626"/>
      <c r="XDE626"/>
      <c r="XDF626"/>
      <c r="XDG626"/>
      <c r="XDH626"/>
      <c r="XDI626"/>
      <c r="XDJ626"/>
      <c r="XDK626"/>
      <c r="XDL626"/>
      <c r="XDM626"/>
      <c r="XDN626"/>
      <c r="XDO626"/>
      <c r="XDP626"/>
      <c r="XDQ626"/>
      <c r="XDR626"/>
      <c r="XDS626"/>
      <c r="XDT626"/>
      <c r="XDU626"/>
      <c r="XDV626"/>
      <c r="XDW626"/>
      <c r="XDX626"/>
      <c r="XDY626"/>
      <c r="XDZ626"/>
      <c r="XEA626"/>
      <c r="XEB626"/>
      <c r="XEC626"/>
      <c r="XED626"/>
      <c r="XEE626"/>
      <c r="XEF626"/>
      <c r="XEG626"/>
      <c r="XEH626"/>
      <c r="XEI626"/>
      <c r="XEJ626"/>
      <c r="XEK626"/>
      <c r="XEL626"/>
      <c r="XEM626"/>
      <c r="XEN626"/>
      <c r="XEO626"/>
      <c r="XEP626"/>
      <c r="XEQ626"/>
      <c r="XER626"/>
      <c r="XES626"/>
      <c r="XET626"/>
      <c r="XEU626"/>
      <c r="XEV626"/>
      <c r="XEW626"/>
      <c r="XEX626"/>
      <c r="XEY626"/>
      <c r="XEZ626"/>
      <c r="XFA626"/>
      <c r="XFB626"/>
      <c r="XFC626"/>
      <c r="XFD626"/>
    </row>
    <row r="627" spans="1:18 16327:16384" s="26" customFormat="1" ht="29.1" customHeight="1" outlineLevel="3" x14ac:dyDescent="0.25">
      <c r="A627" s="42" t="s">
        <v>1060</v>
      </c>
      <c r="B627" s="43"/>
      <c r="C627" s="66" t="s">
        <v>1061</v>
      </c>
      <c r="D627" s="66"/>
      <c r="E627" s="43" t="s">
        <v>34</v>
      </c>
      <c r="F627" s="44"/>
      <c r="G627" s="43" t="s">
        <v>31</v>
      </c>
      <c r="H627" s="45">
        <v>1</v>
      </c>
      <c r="I627" s="46">
        <f>18</f>
        <v>18</v>
      </c>
      <c r="J627" s="23"/>
      <c r="K627" s="47"/>
      <c r="L627" s="48"/>
      <c r="M627" s="49"/>
      <c r="N627" s="49">
        <f t="shared" si="20"/>
        <v>0</v>
      </c>
      <c r="O627" s="49"/>
      <c r="P627" s="49"/>
      <c r="Q627" s="49"/>
      <c r="R627" s="23"/>
      <c r="XCY627"/>
      <c r="XCZ627"/>
      <c r="XDA627"/>
      <c r="XDB627"/>
      <c r="XDC627"/>
      <c r="XDD627"/>
      <c r="XDE627"/>
      <c r="XDF627"/>
      <c r="XDG627"/>
      <c r="XDH627"/>
      <c r="XDI627"/>
      <c r="XDJ627"/>
      <c r="XDK627"/>
      <c r="XDL627"/>
      <c r="XDM627"/>
      <c r="XDN627"/>
      <c r="XDO627"/>
      <c r="XDP627"/>
      <c r="XDQ627"/>
      <c r="XDR627"/>
      <c r="XDS627"/>
      <c r="XDT627"/>
      <c r="XDU627"/>
      <c r="XDV627"/>
      <c r="XDW627"/>
      <c r="XDX627"/>
      <c r="XDY627"/>
      <c r="XDZ627"/>
      <c r="XEA627"/>
      <c r="XEB627"/>
      <c r="XEC627"/>
      <c r="XED627"/>
      <c r="XEE627"/>
      <c r="XEF627"/>
      <c r="XEG627"/>
      <c r="XEH627"/>
      <c r="XEI627"/>
      <c r="XEJ627"/>
      <c r="XEK627"/>
      <c r="XEL627"/>
      <c r="XEM627"/>
      <c r="XEN627"/>
      <c r="XEO627"/>
      <c r="XEP627"/>
      <c r="XEQ627"/>
      <c r="XER627"/>
      <c r="XES627"/>
      <c r="XET627"/>
      <c r="XEU627"/>
      <c r="XEV627"/>
      <c r="XEW627"/>
      <c r="XEX627"/>
      <c r="XEY627"/>
      <c r="XEZ627"/>
      <c r="XFA627"/>
      <c r="XFB627"/>
      <c r="XFC627"/>
      <c r="XFD627"/>
    </row>
    <row r="628" spans="1:18 16327:16384" s="26" customFormat="1" ht="29.1" customHeight="1" outlineLevel="2" x14ac:dyDescent="0.25">
      <c r="A628" s="34" t="s">
        <v>1062</v>
      </c>
      <c r="B628" s="35"/>
      <c r="C628" s="65" t="s">
        <v>1063</v>
      </c>
      <c r="D628" s="65"/>
      <c r="E628" s="35"/>
      <c r="F628" s="36"/>
      <c r="G628" s="35" t="s">
        <v>31</v>
      </c>
      <c r="H628" s="37"/>
      <c r="I628" s="38">
        <f>7</f>
        <v>7</v>
      </c>
      <c r="J628" s="23"/>
      <c r="K628" s="39"/>
      <c r="L628" s="40"/>
      <c r="M628" s="41">
        <f>K628+L628</f>
        <v>0</v>
      </c>
      <c r="N628" s="41">
        <f t="shared" si="20"/>
        <v>0</v>
      </c>
      <c r="O628" s="41">
        <f>ROUND((I628*L628),2)</f>
        <v>0</v>
      </c>
      <c r="P628" s="41">
        <f>ROUND((I628*M628),2)</f>
        <v>0</v>
      </c>
      <c r="Q628" s="41"/>
      <c r="R628" s="23"/>
      <c r="XCY628"/>
      <c r="XCZ628"/>
      <c r="XDA628"/>
      <c r="XDB628"/>
      <c r="XDC628"/>
      <c r="XDD628"/>
      <c r="XDE628"/>
      <c r="XDF628"/>
      <c r="XDG628"/>
      <c r="XDH628"/>
      <c r="XDI628"/>
      <c r="XDJ628"/>
      <c r="XDK628"/>
      <c r="XDL628"/>
      <c r="XDM628"/>
      <c r="XDN628"/>
      <c r="XDO628"/>
      <c r="XDP628"/>
      <c r="XDQ628"/>
      <c r="XDR628"/>
      <c r="XDS628"/>
      <c r="XDT628"/>
      <c r="XDU628"/>
      <c r="XDV628"/>
      <c r="XDW628"/>
      <c r="XDX628"/>
      <c r="XDY628"/>
      <c r="XDZ628"/>
      <c r="XEA628"/>
      <c r="XEB628"/>
      <c r="XEC628"/>
      <c r="XED628"/>
      <c r="XEE628"/>
      <c r="XEF628"/>
      <c r="XEG628"/>
      <c r="XEH628"/>
      <c r="XEI628"/>
      <c r="XEJ628"/>
      <c r="XEK628"/>
      <c r="XEL628"/>
      <c r="XEM628"/>
      <c r="XEN628"/>
      <c r="XEO628"/>
      <c r="XEP628"/>
      <c r="XEQ628"/>
      <c r="XER628"/>
      <c r="XES628"/>
      <c r="XET628"/>
      <c r="XEU628"/>
      <c r="XEV628"/>
      <c r="XEW628"/>
      <c r="XEX628"/>
      <c r="XEY628"/>
      <c r="XEZ628"/>
      <c r="XFA628"/>
      <c r="XFB628"/>
      <c r="XFC628"/>
      <c r="XFD628"/>
    </row>
    <row r="629" spans="1:18 16327:16384" s="26" customFormat="1" ht="29.1" customHeight="1" outlineLevel="3" x14ac:dyDescent="0.25">
      <c r="A629" s="42" t="s">
        <v>1064</v>
      </c>
      <c r="B629" s="43"/>
      <c r="C629" s="66" t="s">
        <v>1065</v>
      </c>
      <c r="D629" s="66"/>
      <c r="E629" s="43" t="s">
        <v>34</v>
      </c>
      <c r="F629" s="44"/>
      <c r="G629" s="43" t="s">
        <v>31</v>
      </c>
      <c r="H629" s="45">
        <v>1</v>
      </c>
      <c r="I629" s="46">
        <f>7</f>
        <v>7</v>
      </c>
      <c r="J629" s="23"/>
      <c r="K629" s="47"/>
      <c r="L629" s="48"/>
      <c r="M629" s="49"/>
      <c r="N629" s="49">
        <f t="shared" si="20"/>
        <v>0</v>
      </c>
      <c r="O629" s="49"/>
      <c r="P629" s="49"/>
      <c r="Q629" s="49"/>
      <c r="R629" s="23"/>
      <c r="XCY629"/>
      <c r="XCZ629"/>
      <c r="XDA629"/>
      <c r="XDB629"/>
      <c r="XDC629"/>
      <c r="XDD629"/>
      <c r="XDE629"/>
      <c r="XDF629"/>
      <c r="XDG629"/>
      <c r="XDH629"/>
      <c r="XDI629"/>
      <c r="XDJ629"/>
      <c r="XDK629"/>
      <c r="XDL629"/>
      <c r="XDM629"/>
      <c r="XDN629"/>
      <c r="XDO629"/>
      <c r="XDP629"/>
      <c r="XDQ629"/>
      <c r="XDR629"/>
      <c r="XDS629"/>
      <c r="XDT629"/>
      <c r="XDU629"/>
      <c r="XDV629"/>
      <c r="XDW629"/>
      <c r="XDX629"/>
      <c r="XDY629"/>
      <c r="XDZ629"/>
      <c r="XEA629"/>
      <c r="XEB629"/>
      <c r="XEC629"/>
      <c r="XED629"/>
      <c r="XEE629"/>
      <c r="XEF629"/>
      <c r="XEG629"/>
      <c r="XEH629"/>
      <c r="XEI629"/>
      <c r="XEJ629"/>
      <c r="XEK629"/>
      <c r="XEL629"/>
      <c r="XEM629"/>
      <c r="XEN629"/>
      <c r="XEO629"/>
      <c r="XEP629"/>
      <c r="XEQ629"/>
      <c r="XER629"/>
      <c r="XES629"/>
      <c r="XET629"/>
      <c r="XEU629"/>
      <c r="XEV629"/>
      <c r="XEW629"/>
      <c r="XEX629"/>
      <c r="XEY629"/>
      <c r="XEZ629"/>
      <c r="XFA629"/>
      <c r="XFB629"/>
      <c r="XFC629"/>
      <c r="XFD629"/>
    </row>
    <row r="630" spans="1:18 16327:16384" s="26" customFormat="1" ht="29.1" customHeight="1" outlineLevel="2" x14ac:dyDescent="0.25">
      <c r="A630" s="34" t="s">
        <v>1066</v>
      </c>
      <c r="B630" s="35"/>
      <c r="C630" s="65" t="s">
        <v>1067</v>
      </c>
      <c r="D630" s="65"/>
      <c r="E630" s="35"/>
      <c r="F630" s="36"/>
      <c r="G630" s="35" t="s">
        <v>31</v>
      </c>
      <c r="H630" s="37"/>
      <c r="I630" s="38">
        <f>14</f>
        <v>14</v>
      </c>
      <c r="J630" s="23"/>
      <c r="K630" s="39"/>
      <c r="L630" s="40"/>
      <c r="M630" s="41">
        <f>K630+L630</f>
        <v>0</v>
      </c>
      <c r="N630" s="41">
        <f t="shared" si="20"/>
        <v>0</v>
      </c>
      <c r="O630" s="41">
        <f>ROUND((I630*L630),2)</f>
        <v>0</v>
      </c>
      <c r="P630" s="41">
        <f>ROUND((I630*M630),2)</f>
        <v>0</v>
      </c>
      <c r="Q630" s="41"/>
      <c r="R630" s="23"/>
      <c r="XCY630"/>
      <c r="XCZ630"/>
      <c r="XDA630"/>
      <c r="XDB630"/>
      <c r="XDC630"/>
      <c r="XDD630"/>
      <c r="XDE630"/>
      <c r="XDF630"/>
      <c r="XDG630"/>
      <c r="XDH630"/>
      <c r="XDI630"/>
      <c r="XDJ630"/>
      <c r="XDK630"/>
      <c r="XDL630"/>
      <c r="XDM630"/>
      <c r="XDN630"/>
      <c r="XDO630"/>
      <c r="XDP630"/>
      <c r="XDQ630"/>
      <c r="XDR630"/>
      <c r="XDS630"/>
      <c r="XDT630"/>
      <c r="XDU630"/>
      <c r="XDV630"/>
      <c r="XDW630"/>
      <c r="XDX630"/>
      <c r="XDY630"/>
      <c r="XDZ630"/>
      <c r="XEA630"/>
      <c r="XEB630"/>
      <c r="XEC630"/>
      <c r="XED630"/>
      <c r="XEE630"/>
      <c r="XEF630"/>
      <c r="XEG630"/>
      <c r="XEH630"/>
      <c r="XEI630"/>
      <c r="XEJ630"/>
      <c r="XEK630"/>
      <c r="XEL630"/>
      <c r="XEM630"/>
      <c r="XEN630"/>
      <c r="XEO630"/>
      <c r="XEP630"/>
      <c r="XEQ630"/>
      <c r="XER630"/>
      <c r="XES630"/>
      <c r="XET630"/>
      <c r="XEU630"/>
      <c r="XEV630"/>
      <c r="XEW630"/>
      <c r="XEX630"/>
      <c r="XEY630"/>
      <c r="XEZ630"/>
      <c r="XFA630"/>
      <c r="XFB630"/>
      <c r="XFC630"/>
      <c r="XFD630"/>
    </row>
    <row r="631" spans="1:18 16327:16384" s="26" customFormat="1" ht="29.1" customHeight="1" outlineLevel="3" x14ac:dyDescent="0.25">
      <c r="A631" s="42" t="s">
        <v>1068</v>
      </c>
      <c r="B631" s="43"/>
      <c r="C631" s="66" t="s">
        <v>1069</v>
      </c>
      <c r="D631" s="66"/>
      <c r="E631" s="43" t="s">
        <v>34</v>
      </c>
      <c r="F631" s="44"/>
      <c r="G631" s="43" t="s">
        <v>31</v>
      </c>
      <c r="H631" s="45">
        <v>1</v>
      </c>
      <c r="I631" s="46">
        <f>14</f>
        <v>14</v>
      </c>
      <c r="J631" s="23"/>
      <c r="K631" s="47"/>
      <c r="L631" s="48"/>
      <c r="M631" s="49"/>
      <c r="N631" s="49">
        <f t="shared" si="20"/>
        <v>0</v>
      </c>
      <c r="O631" s="49"/>
      <c r="P631" s="49"/>
      <c r="Q631" s="49"/>
      <c r="R631" s="23"/>
      <c r="XCY631"/>
      <c r="XCZ631"/>
      <c r="XDA631"/>
      <c r="XDB631"/>
      <c r="XDC631"/>
      <c r="XDD631"/>
      <c r="XDE631"/>
      <c r="XDF631"/>
      <c r="XDG631"/>
      <c r="XDH631"/>
      <c r="XDI631"/>
      <c r="XDJ631"/>
      <c r="XDK631"/>
      <c r="XDL631"/>
      <c r="XDM631"/>
      <c r="XDN631"/>
      <c r="XDO631"/>
      <c r="XDP631"/>
      <c r="XDQ631"/>
      <c r="XDR631"/>
      <c r="XDS631"/>
      <c r="XDT631"/>
      <c r="XDU631"/>
      <c r="XDV631"/>
      <c r="XDW631"/>
      <c r="XDX631"/>
      <c r="XDY631"/>
      <c r="XDZ631"/>
      <c r="XEA631"/>
      <c r="XEB631"/>
      <c r="XEC631"/>
      <c r="XED631"/>
      <c r="XEE631"/>
      <c r="XEF631"/>
      <c r="XEG631"/>
      <c r="XEH631"/>
      <c r="XEI631"/>
      <c r="XEJ631"/>
      <c r="XEK631"/>
      <c r="XEL631"/>
      <c r="XEM631"/>
      <c r="XEN631"/>
      <c r="XEO631"/>
      <c r="XEP631"/>
      <c r="XEQ631"/>
      <c r="XER631"/>
      <c r="XES631"/>
      <c r="XET631"/>
      <c r="XEU631"/>
      <c r="XEV631"/>
      <c r="XEW631"/>
      <c r="XEX631"/>
      <c r="XEY631"/>
      <c r="XEZ631"/>
      <c r="XFA631"/>
      <c r="XFB631"/>
      <c r="XFC631"/>
      <c r="XFD631"/>
    </row>
    <row r="632" spans="1:18 16327:16384" s="26" customFormat="1" ht="29.1" customHeight="1" outlineLevel="2" x14ac:dyDescent="0.25">
      <c r="A632" s="34" t="s">
        <v>1070</v>
      </c>
      <c r="B632" s="35"/>
      <c r="C632" s="65" t="s">
        <v>1071</v>
      </c>
      <c r="D632" s="65"/>
      <c r="E632" s="35"/>
      <c r="F632" s="36"/>
      <c r="G632" s="35" t="s">
        <v>31</v>
      </c>
      <c r="H632" s="37"/>
      <c r="I632" s="38">
        <f>6</f>
        <v>6</v>
      </c>
      <c r="J632" s="23"/>
      <c r="K632" s="39"/>
      <c r="L632" s="40"/>
      <c r="M632" s="41">
        <f>K632+L632</f>
        <v>0</v>
      </c>
      <c r="N632" s="41">
        <f t="shared" si="20"/>
        <v>0</v>
      </c>
      <c r="O632" s="41">
        <f>ROUND((I632*L632),2)</f>
        <v>0</v>
      </c>
      <c r="P632" s="41">
        <f>ROUND((I632*M632),2)</f>
        <v>0</v>
      </c>
      <c r="Q632" s="41"/>
      <c r="R632" s="23"/>
      <c r="XCY632"/>
      <c r="XCZ632"/>
      <c r="XDA632"/>
      <c r="XDB632"/>
      <c r="XDC632"/>
      <c r="XDD632"/>
      <c r="XDE632"/>
      <c r="XDF632"/>
      <c r="XDG632"/>
      <c r="XDH632"/>
      <c r="XDI632"/>
      <c r="XDJ632"/>
      <c r="XDK632"/>
      <c r="XDL632"/>
      <c r="XDM632"/>
      <c r="XDN632"/>
      <c r="XDO632"/>
      <c r="XDP632"/>
      <c r="XDQ632"/>
      <c r="XDR632"/>
      <c r="XDS632"/>
      <c r="XDT632"/>
      <c r="XDU632"/>
      <c r="XDV632"/>
      <c r="XDW632"/>
      <c r="XDX632"/>
      <c r="XDY632"/>
      <c r="XDZ632"/>
      <c r="XEA632"/>
      <c r="XEB632"/>
      <c r="XEC632"/>
      <c r="XED632"/>
      <c r="XEE632"/>
      <c r="XEF632"/>
      <c r="XEG632"/>
      <c r="XEH632"/>
      <c r="XEI632"/>
      <c r="XEJ632"/>
      <c r="XEK632"/>
      <c r="XEL632"/>
      <c r="XEM632"/>
      <c r="XEN632"/>
      <c r="XEO632"/>
      <c r="XEP632"/>
      <c r="XEQ632"/>
      <c r="XER632"/>
      <c r="XES632"/>
      <c r="XET632"/>
      <c r="XEU632"/>
      <c r="XEV632"/>
      <c r="XEW632"/>
      <c r="XEX632"/>
      <c r="XEY632"/>
      <c r="XEZ632"/>
      <c r="XFA632"/>
      <c r="XFB632"/>
      <c r="XFC632"/>
      <c r="XFD632"/>
    </row>
    <row r="633" spans="1:18 16327:16384" s="26" customFormat="1" ht="29.1" customHeight="1" outlineLevel="3" x14ac:dyDescent="0.25">
      <c r="A633" s="42" t="s">
        <v>1072</v>
      </c>
      <c r="B633" s="43"/>
      <c r="C633" s="66" t="s">
        <v>1073</v>
      </c>
      <c r="D633" s="66"/>
      <c r="E633" s="43" t="s">
        <v>34</v>
      </c>
      <c r="F633" s="44"/>
      <c r="G633" s="43" t="s">
        <v>31</v>
      </c>
      <c r="H633" s="45">
        <v>1</v>
      </c>
      <c r="I633" s="46">
        <f>6</f>
        <v>6</v>
      </c>
      <c r="J633" s="23"/>
      <c r="K633" s="47"/>
      <c r="L633" s="48"/>
      <c r="M633" s="49"/>
      <c r="N633" s="49">
        <f t="shared" si="20"/>
        <v>0</v>
      </c>
      <c r="O633" s="49"/>
      <c r="P633" s="49"/>
      <c r="Q633" s="49"/>
      <c r="R633" s="23"/>
      <c r="XCY633"/>
      <c r="XCZ633"/>
      <c r="XDA633"/>
      <c r="XDB633"/>
      <c r="XDC633"/>
      <c r="XDD633"/>
      <c r="XDE633"/>
      <c r="XDF633"/>
      <c r="XDG633"/>
      <c r="XDH633"/>
      <c r="XDI633"/>
      <c r="XDJ633"/>
      <c r="XDK633"/>
      <c r="XDL633"/>
      <c r="XDM633"/>
      <c r="XDN633"/>
      <c r="XDO633"/>
      <c r="XDP633"/>
      <c r="XDQ633"/>
      <c r="XDR633"/>
      <c r="XDS633"/>
      <c r="XDT633"/>
      <c r="XDU633"/>
      <c r="XDV633"/>
      <c r="XDW633"/>
      <c r="XDX633"/>
      <c r="XDY633"/>
      <c r="XDZ633"/>
      <c r="XEA633"/>
      <c r="XEB633"/>
      <c r="XEC633"/>
      <c r="XED633"/>
      <c r="XEE633"/>
      <c r="XEF633"/>
      <c r="XEG633"/>
      <c r="XEH633"/>
      <c r="XEI633"/>
      <c r="XEJ633"/>
      <c r="XEK633"/>
      <c r="XEL633"/>
      <c r="XEM633"/>
      <c r="XEN633"/>
      <c r="XEO633"/>
      <c r="XEP633"/>
      <c r="XEQ633"/>
      <c r="XER633"/>
      <c r="XES633"/>
      <c r="XET633"/>
      <c r="XEU633"/>
      <c r="XEV633"/>
      <c r="XEW633"/>
      <c r="XEX633"/>
      <c r="XEY633"/>
      <c r="XEZ633"/>
      <c r="XFA633"/>
      <c r="XFB633"/>
      <c r="XFC633"/>
      <c r="XFD633"/>
    </row>
    <row r="634" spans="1:18 16327:16384" s="26" customFormat="1" ht="29.1" customHeight="1" outlineLevel="2" x14ac:dyDescent="0.25">
      <c r="A634" s="34" t="s">
        <v>1074</v>
      </c>
      <c r="B634" s="35"/>
      <c r="C634" s="65" t="s">
        <v>1075</v>
      </c>
      <c r="D634" s="65"/>
      <c r="E634" s="35"/>
      <c r="F634" s="36"/>
      <c r="G634" s="35" t="s">
        <v>31</v>
      </c>
      <c r="H634" s="37"/>
      <c r="I634" s="38">
        <f>2</f>
        <v>2</v>
      </c>
      <c r="J634" s="23"/>
      <c r="K634" s="39"/>
      <c r="L634" s="40"/>
      <c r="M634" s="41">
        <f>K634+L634</f>
        <v>0</v>
      </c>
      <c r="N634" s="41">
        <f t="shared" si="20"/>
        <v>0</v>
      </c>
      <c r="O634" s="41">
        <f>ROUND((I634*L634),2)</f>
        <v>0</v>
      </c>
      <c r="P634" s="41">
        <f>ROUND((I634*M634),2)</f>
        <v>0</v>
      </c>
      <c r="Q634" s="41"/>
      <c r="R634" s="23"/>
      <c r="XCY634"/>
      <c r="XCZ634"/>
      <c r="XDA634"/>
      <c r="XDB634"/>
      <c r="XDC634"/>
      <c r="XDD634"/>
      <c r="XDE634"/>
      <c r="XDF634"/>
      <c r="XDG634"/>
      <c r="XDH634"/>
      <c r="XDI634"/>
      <c r="XDJ634"/>
      <c r="XDK634"/>
      <c r="XDL634"/>
      <c r="XDM634"/>
      <c r="XDN634"/>
      <c r="XDO634"/>
      <c r="XDP634"/>
      <c r="XDQ634"/>
      <c r="XDR634"/>
      <c r="XDS634"/>
      <c r="XDT634"/>
      <c r="XDU634"/>
      <c r="XDV634"/>
      <c r="XDW634"/>
      <c r="XDX634"/>
      <c r="XDY634"/>
      <c r="XDZ634"/>
      <c r="XEA634"/>
      <c r="XEB634"/>
      <c r="XEC634"/>
      <c r="XED634"/>
      <c r="XEE634"/>
      <c r="XEF634"/>
      <c r="XEG634"/>
      <c r="XEH634"/>
      <c r="XEI634"/>
      <c r="XEJ634"/>
      <c r="XEK634"/>
      <c r="XEL634"/>
      <c r="XEM634"/>
      <c r="XEN634"/>
      <c r="XEO634"/>
      <c r="XEP634"/>
      <c r="XEQ634"/>
      <c r="XER634"/>
      <c r="XES634"/>
      <c r="XET634"/>
      <c r="XEU634"/>
      <c r="XEV634"/>
      <c r="XEW634"/>
      <c r="XEX634"/>
      <c r="XEY634"/>
      <c r="XEZ634"/>
      <c r="XFA634"/>
      <c r="XFB634"/>
      <c r="XFC634"/>
      <c r="XFD634"/>
    </row>
    <row r="635" spans="1:18 16327:16384" s="26" customFormat="1" ht="29.1" customHeight="1" outlineLevel="3" x14ac:dyDescent="0.25">
      <c r="A635" s="42" t="s">
        <v>1076</v>
      </c>
      <c r="B635" s="43"/>
      <c r="C635" s="66" t="s">
        <v>1077</v>
      </c>
      <c r="D635" s="66"/>
      <c r="E635" s="43" t="s">
        <v>34</v>
      </c>
      <c r="F635" s="44"/>
      <c r="G635" s="43" t="s">
        <v>31</v>
      </c>
      <c r="H635" s="45">
        <v>1</v>
      </c>
      <c r="I635" s="46">
        <f>2</f>
        <v>2</v>
      </c>
      <c r="J635" s="23"/>
      <c r="K635" s="47"/>
      <c r="L635" s="48"/>
      <c r="M635" s="49"/>
      <c r="N635" s="49">
        <f t="shared" si="20"/>
        <v>0</v>
      </c>
      <c r="O635" s="49"/>
      <c r="P635" s="49"/>
      <c r="Q635" s="49"/>
      <c r="R635" s="23"/>
      <c r="XCY635"/>
      <c r="XCZ635"/>
      <c r="XDA635"/>
      <c r="XDB635"/>
      <c r="XDC635"/>
      <c r="XDD635"/>
      <c r="XDE635"/>
      <c r="XDF635"/>
      <c r="XDG635"/>
      <c r="XDH635"/>
      <c r="XDI635"/>
      <c r="XDJ635"/>
      <c r="XDK635"/>
      <c r="XDL635"/>
      <c r="XDM635"/>
      <c r="XDN635"/>
      <c r="XDO635"/>
      <c r="XDP635"/>
      <c r="XDQ635"/>
      <c r="XDR635"/>
      <c r="XDS635"/>
      <c r="XDT635"/>
      <c r="XDU635"/>
      <c r="XDV635"/>
      <c r="XDW635"/>
      <c r="XDX635"/>
      <c r="XDY635"/>
      <c r="XDZ635"/>
      <c r="XEA635"/>
      <c r="XEB635"/>
      <c r="XEC635"/>
      <c r="XED635"/>
      <c r="XEE635"/>
      <c r="XEF635"/>
      <c r="XEG635"/>
      <c r="XEH635"/>
      <c r="XEI635"/>
      <c r="XEJ635"/>
      <c r="XEK635"/>
      <c r="XEL635"/>
      <c r="XEM635"/>
      <c r="XEN635"/>
      <c r="XEO635"/>
      <c r="XEP635"/>
      <c r="XEQ635"/>
      <c r="XER635"/>
      <c r="XES635"/>
      <c r="XET635"/>
      <c r="XEU635"/>
      <c r="XEV635"/>
      <c r="XEW635"/>
      <c r="XEX635"/>
      <c r="XEY635"/>
      <c r="XEZ635"/>
      <c r="XFA635"/>
      <c r="XFB635"/>
      <c r="XFC635"/>
      <c r="XFD635"/>
    </row>
    <row r="636" spans="1:18 16327:16384" s="26" customFormat="1" ht="29.1" customHeight="1" outlineLevel="2" x14ac:dyDescent="0.25">
      <c r="A636" s="34" t="s">
        <v>1078</v>
      </c>
      <c r="B636" s="35"/>
      <c r="C636" s="65" t="s">
        <v>1075</v>
      </c>
      <c r="D636" s="65"/>
      <c r="E636" s="35"/>
      <c r="F636" s="36"/>
      <c r="G636" s="35" t="s">
        <v>31</v>
      </c>
      <c r="H636" s="37"/>
      <c r="I636" s="38">
        <f>3</f>
        <v>3</v>
      </c>
      <c r="J636" s="23"/>
      <c r="K636" s="39"/>
      <c r="L636" s="40"/>
      <c r="M636" s="41">
        <f>K636+L636</f>
        <v>0</v>
      </c>
      <c r="N636" s="41">
        <f t="shared" si="20"/>
        <v>0</v>
      </c>
      <c r="O636" s="41">
        <f>ROUND((I636*L636),2)</f>
        <v>0</v>
      </c>
      <c r="P636" s="41">
        <f>ROUND((I636*M636),2)</f>
        <v>0</v>
      </c>
      <c r="Q636" s="41"/>
      <c r="R636" s="23"/>
      <c r="XCY636"/>
      <c r="XCZ636"/>
      <c r="XDA636"/>
      <c r="XDB636"/>
      <c r="XDC636"/>
      <c r="XDD636"/>
      <c r="XDE636"/>
      <c r="XDF636"/>
      <c r="XDG636"/>
      <c r="XDH636"/>
      <c r="XDI636"/>
      <c r="XDJ636"/>
      <c r="XDK636"/>
      <c r="XDL636"/>
      <c r="XDM636"/>
      <c r="XDN636"/>
      <c r="XDO636"/>
      <c r="XDP636"/>
      <c r="XDQ636"/>
      <c r="XDR636"/>
      <c r="XDS636"/>
      <c r="XDT636"/>
      <c r="XDU636"/>
      <c r="XDV636"/>
      <c r="XDW636"/>
      <c r="XDX636"/>
      <c r="XDY636"/>
      <c r="XDZ636"/>
      <c r="XEA636"/>
      <c r="XEB636"/>
      <c r="XEC636"/>
      <c r="XED636"/>
      <c r="XEE636"/>
      <c r="XEF636"/>
      <c r="XEG636"/>
      <c r="XEH636"/>
      <c r="XEI636"/>
      <c r="XEJ636"/>
      <c r="XEK636"/>
      <c r="XEL636"/>
      <c r="XEM636"/>
      <c r="XEN636"/>
      <c r="XEO636"/>
      <c r="XEP636"/>
      <c r="XEQ636"/>
      <c r="XER636"/>
      <c r="XES636"/>
      <c r="XET636"/>
      <c r="XEU636"/>
      <c r="XEV636"/>
      <c r="XEW636"/>
      <c r="XEX636"/>
      <c r="XEY636"/>
      <c r="XEZ636"/>
      <c r="XFA636"/>
      <c r="XFB636"/>
      <c r="XFC636"/>
      <c r="XFD636"/>
    </row>
    <row r="637" spans="1:18 16327:16384" s="26" customFormat="1" ht="29.1" customHeight="1" outlineLevel="3" x14ac:dyDescent="0.25">
      <c r="A637" s="42" t="s">
        <v>1079</v>
      </c>
      <c r="B637" s="43"/>
      <c r="C637" s="66" t="s">
        <v>1080</v>
      </c>
      <c r="D637" s="66"/>
      <c r="E637" s="43" t="s">
        <v>34</v>
      </c>
      <c r="F637" s="44"/>
      <c r="G637" s="43" t="s">
        <v>31</v>
      </c>
      <c r="H637" s="45">
        <v>1</v>
      </c>
      <c r="I637" s="46">
        <f>3</f>
        <v>3</v>
      </c>
      <c r="J637" s="23"/>
      <c r="K637" s="47"/>
      <c r="L637" s="48"/>
      <c r="M637" s="49"/>
      <c r="N637" s="49">
        <f t="shared" si="20"/>
        <v>0</v>
      </c>
      <c r="O637" s="49"/>
      <c r="P637" s="49"/>
      <c r="Q637" s="49"/>
      <c r="R637" s="23"/>
      <c r="XCY637"/>
      <c r="XCZ637"/>
      <c r="XDA637"/>
      <c r="XDB637"/>
      <c r="XDC637"/>
      <c r="XDD637"/>
      <c r="XDE637"/>
      <c r="XDF637"/>
      <c r="XDG637"/>
      <c r="XDH637"/>
      <c r="XDI637"/>
      <c r="XDJ637"/>
      <c r="XDK637"/>
      <c r="XDL637"/>
      <c r="XDM637"/>
      <c r="XDN637"/>
      <c r="XDO637"/>
      <c r="XDP637"/>
      <c r="XDQ637"/>
      <c r="XDR637"/>
      <c r="XDS637"/>
      <c r="XDT637"/>
      <c r="XDU637"/>
      <c r="XDV637"/>
      <c r="XDW637"/>
      <c r="XDX637"/>
      <c r="XDY637"/>
      <c r="XDZ637"/>
      <c r="XEA637"/>
      <c r="XEB637"/>
      <c r="XEC637"/>
      <c r="XED637"/>
      <c r="XEE637"/>
      <c r="XEF637"/>
      <c r="XEG637"/>
      <c r="XEH637"/>
      <c r="XEI637"/>
      <c r="XEJ637"/>
      <c r="XEK637"/>
      <c r="XEL637"/>
      <c r="XEM637"/>
      <c r="XEN637"/>
      <c r="XEO637"/>
      <c r="XEP637"/>
      <c r="XEQ637"/>
      <c r="XER637"/>
      <c r="XES637"/>
      <c r="XET637"/>
      <c r="XEU637"/>
      <c r="XEV637"/>
      <c r="XEW637"/>
      <c r="XEX637"/>
      <c r="XEY637"/>
      <c r="XEZ637"/>
      <c r="XFA637"/>
      <c r="XFB637"/>
      <c r="XFC637"/>
      <c r="XFD637"/>
    </row>
    <row r="638" spans="1:18 16327:16384" s="26" customFormat="1" ht="29.1" customHeight="1" outlineLevel="2" x14ac:dyDescent="0.25">
      <c r="A638" s="34" t="s">
        <v>1081</v>
      </c>
      <c r="B638" s="35"/>
      <c r="C638" s="65" t="s">
        <v>1075</v>
      </c>
      <c r="D638" s="65"/>
      <c r="E638" s="35"/>
      <c r="F638" s="36"/>
      <c r="G638" s="35" t="s">
        <v>31</v>
      </c>
      <c r="H638" s="37"/>
      <c r="I638" s="38">
        <f>4</f>
        <v>4</v>
      </c>
      <c r="J638" s="23"/>
      <c r="K638" s="39"/>
      <c r="L638" s="40"/>
      <c r="M638" s="41">
        <f>K638+L638</f>
        <v>0</v>
      </c>
      <c r="N638" s="41">
        <f t="shared" si="20"/>
        <v>0</v>
      </c>
      <c r="O638" s="41">
        <f>ROUND((I638*L638),2)</f>
        <v>0</v>
      </c>
      <c r="P638" s="41">
        <f>ROUND((I638*M638),2)</f>
        <v>0</v>
      </c>
      <c r="Q638" s="41"/>
      <c r="R638" s="23"/>
      <c r="XCY638"/>
      <c r="XCZ638"/>
      <c r="XDA638"/>
      <c r="XDB638"/>
      <c r="XDC638"/>
      <c r="XDD638"/>
      <c r="XDE638"/>
      <c r="XDF638"/>
      <c r="XDG638"/>
      <c r="XDH638"/>
      <c r="XDI638"/>
      <c r="XDJ638"/>
      <c r="XDK638"/>
      <c r="XDL638"/>
      <c r="XDM638"/>
      <c r="XDN638"/>
      <c r="XDO638"/>
      <c r="XDP638"/>
      <c r="XDQ638"/>
      <c r="XDR638"/>
      <c r="XDS638"/>
      <c r="XDT638"/>
      <c r="XDU638"/>
      <c r="XDV638"/>
      <c r="XDW638"/>
      <c r="XDX638"/>
      <c r="XDY638"/>
      <c r="XDZ638"/>
      <c r="XEA638"/>
      <c r="XEB638"/>
      <c r="XEC638"/>
      <c r="XED638"/>
      <c r="XEE638"/>
      <c r="XEF638"/>
      <c r="XEG638"/>
      <c r="XEH638"/>
      <c r="XEI638"/>
      <c r="XEJ638"/>
      <c r="XEK638"/>
      <c r="XEL638"/>
      <c r="XEM638"/>
      <c r="XEN638"/>
      <c r="XEO638"/>
      <c r="XEP638"/>
      <c r="XEQ638"/>
      <c r="XER638"/>
      <c r="XES638"/>
      <c r="XET638"/>
      <c r="XEU638"/>
      <c r="XEV638"/>
      <c r="XEW638"/>
      <c r="XEX638"/>
      <c r="XEY638"/>
      <c r="XEZ638"/>
      <c r="XFA638"/>
      <c r="XFB638"/>
      <c r="XFC638"/>
      <c r="XFD638"/>
    </row>
    <row r="639" spans="1:18 16327:16384" s="26" customFormat="1" ht="29.1" customHeight="1" outlineLevel="3" x14ac:dyDescent="0.25">
      <c r="A639" s="42" t="s">
        <v>1082</v>
      </c>
      <c r="B639" s="43"/>
      <c r="C639" s="66" t="s">
        <v>1083</v>
      </c>
      <c r="D639" s="66"/>
      <c r="E639" s="43" t="s">
        <v>34</v>
      </c>
      <c r="F639" s="44"/>
      <c r="G639" s="43" t="s">
        <v>31</v>
      </c>
      <c r="H639" s="45">
        <v>1</v>
      </c>
      <c r="I639" s="46">
        <f>4</f>
        <v>4</v>
      </c>
      <c r="J639" s="23"/>
      <c r="K639" s="47"/>
      <c r="L639" s="48"/>
      <c r="M639" s="49"/>
      <c r="N639" s="49">
        <f t="shared" si="20"/>
        <v>0</v>
      </c>
      <c r="O639" s="49"/>
      <c r="P639" s="49"/>
      <c r="Q639" s="49"/>
      <c r="R639" s="23"/>
      <c r="XCY639"/>
      <c r="XCZ639"/>
      <c r="XDA639"/>
      <c r="XDB639"/>
      <c r="XDC639"/>
      <c r="XDD639"/>
      <c r="XDE639"/>
      <c r="XDF639"/>
      <c r="XDG639"/>
      <c r="XDH639"/>
      <c r="XDI639"/>
      <c r="XDJ639"/>
      <c r="XDK639"/>
      <c r="XDL639"/>
      <c r="XDM639"/>
      <c r="XDN639"/>
      <c r="XDO639"/>
      <c r="XDP639"/>
      <c r="XDQ639"/>
      <c r="XDR639"/>
      <c r="XDS639"/>
      <c r="XDT639"/>
      <c r="XDU639"/>
      <c r="XDV639"/>
      <c r="XDW639"/>
      <c r="XDX639"/>
      <c r="XDY639"/>
      <c r="XDZ639"/>
      <c r="XEA639"/>
      <c r="XEB639"/>
      <c r="XEC639"/>
      <c r="XED639"/>
      <c r="XEE639"/>
      <c r="XEF639"/>
      <c r="XEG639"/>
      <c r="XEH639"/>
      <c r="XEI639"/>
      <c r="XEJ639"/>
      <c r="XEK639"/>
      <c r="XEL639"/>
      <c r="XEM639"/>
      <c r="XEN639"/>
      <c r="XEO639"/>
      <c r="XEP639"/>
      <c r="XEQ639"/>
      <c r="XER639"/>
      <c r="XES639"/>
      <c r="XET639"/>
      <c r="XEU639"/>
      <c r="XEV639"/>
      <c r="XEW639"/>
      <c r="XEX639"/>
      <c r="XEY639"/>
      <c r="XEZ639"/>
      <c r="XFA639"/>
      <c r="XFB639"/>
      <c r="XFC639"/>
      <c r="XFD639"/>
    </row>
    <row r="640" spans="1:18 16327:16384" s="26" customFormat="1" ht="29.1" customHeight="1" outlineLevel="2" x14ac:dyDescent="0.25">
      <c r="A640" s="34" t="s">
        <v>1084</v>
      </c>
      <c r="B640" s="35"/>
      <c r="C640" s="65" t="s">
        <v>1075</v>
      </c>
      <c r="D640" s="65"/>
      <c r="E640" s="35"/>
      <c r="F640" s="36"/>
      <c r="G640" s="35" t="s">
        <v>31</v>
      </c>
      <c r="H640" s="37"/>
      <c r="I640" s="38">
        <f>8</f>
        <v>8</v>
      </c>
      <c r="J640" s="23"/>
      <c r="K640" s="39"/>
      <c r="L640" s="40"/>
      <c r="M640" s="41">
        <f>K640+L640</f>
        <v>0</v>
      </c>
      <c r="N640" s="41">
        <f t="shared" si="20"/>
        <v>0</v>
      </c>
      <c r="O640" s="41">
        <f>ROUND((I640*L640),2)</f>
        <v>0</v>
      </c>
      <c r="P640" s="41">
        <f>ROUND((I640*M640),2)</f>
        <v>0</v>
      </c>
      <c r="Q640" s="41"/>
      <c r="R640" s="23"/>
      <c r="XCY640"/>
      <c r="XCZ640"/>
      <c r="XDA640"/>
      <c r="XDB640"/>
      <c r="XDC640"/>
      <c r="XDD640"/>
      <c r="XDE640"/>
      <c r="XDF640"/>
      <c r="XDG640"/>
      <c r="XDH640"/>
      <c r="XDI640"/>
      <c r="XDJ640"/>
      <c r="XDK640"/>
      <c r="XDL640"/>
      <c r="XDM640"/>
      <c r="XDN640"/>
      <c r="XDO640"/>
      <c r="XDP640"/>
      <c r="XDQ640"/>
      <c r="XDR640"/>
      <c r="XDS640"/>
      <c r="XDT640"/>
      <c r="XDU640"/>
      <c r="XDV640"/>
      <c r="XDW640"/>
      <c r="XDX640"/>
      <c r="XDY640"/>
      <c r="XDZ640"/>
      <c r="XEA640"/>
      <c r="XEB640"/>
      <c r="XEC640"/>
      <c r="XED640"/>
      <c r="XEE640"/>
      <c r="XEF640"/>
      <c r="XEG640"/>
      <c r="XEH640"/>
      <c r="XEI640"/>
      <c r="XEJ640"/>
      <c r="XEK640"/>
      <c r="XEL640"/>
      <c r="XEM640"/>
      <c r="XEN640"/>
      <c r="XEO640"/>
      <c r="XEP640"/>
      <c r="XEQ640"/>
      <c r="XER640"/>
      <c r="XES640"/>
      <c r="XET640"/>
      <c r="XEU640"/>
      <c r="XEV640"/>
      <c r="XEW640"/>
      <c r="XEX640"/>
      <c r="XEY640"/>
      <c r="XEZ640"/>
      <c r="XFA640"/>
      <c r="XFB640"/>
      <c r="XFC640"/>
      <c r="XFD640"/>
    </row>
    <row r="641" spans="1:18 16327:16384" s="26" customFormat="1" ht="29.1" customHeight="1" outlineLevel="3" x14ac:dyDescent="0.25">
      <c r="A641" s="42" t="s">
        <v>1085</v>
      </c>
      <c r="B641" s="43"/>
      <c r="C641" s="66" t="s">
        <v>1086</v>
      </c>
      <c r="D641" s="66"/>
      <c r="E641" s="43" t="s">
        <v>34</v>
      </c>
      <c r="F641" s="44"/>
      <c r="G641" s="43" t="s">
        <v>31</v>
      </c>
      <c r="H641" s="45">
        <v>1</v>
      </c>
      <c r="I641" s="46">
        <f>8</f>
        <v>8</v>
      </c>
      <c r="J641" s="23"/>
      <c r="K641" s="47"/>
      <c r="L641" s="48"/>
      <c r="M641" s="49"/>
      <c r="N641" s="49">
        <f t="shared" si="20"/>
        <v>0</v>
      </c>
      <c r="O641" s="49"/>
      <c r="P641" s="49"/>
      <c r="Q641" s="49"/>
      <c r="R641" s="23"/>
      <c r="XCY641"/>
      <c r="XCZ641"/>
      <c r="XDA641"/>
      <c r="XDB641"/>
      <c r="XDC641"/>
      <c r="XDD641"/>
      <c r="XDE641"/>
      <c r="XDF641"/>
      <c r="XDG641"/>
      <c r="XDH641"/>
      <c r="XDI641"/>
      <c r="XDJ641"/>
      <c r="XDK641"/>
      <c r="XDL641"/>
      <c r="XDM641"/>
      <c r="XDN641"/>
      <c r="XDO641"/>
      <c r="XDP641"/>
      <c r="XDQ641"/>
      <c r="XDR641"/>
      <c r="XDS641"/>
      <c r="XDT641"/>
      <c r="XDU641"/>
      <c r="XDV641"/>
      <c r="XDW641"/>
      <c r="XDX641"/>
      <c r="XDY641"/>
      <c r="XDZ641"/>
      <c r="XEA641"/>
      <c r="XEB641"/>
      <c r="XEC641"/>
      <c r="XED641"/>
      <c r="XEE641"/>
      <c r="XEF641"/>
      <c r="XEG641"/>
      <c r="XEH641"/>
      <c r="XEI641"/>
      <c r="XEJ641"/>
      <c r="XEK641"/>
      <c r="XEL641"/>
      <c r="XEM641"/>
      <c r="XEN641"/>
      <c r="XEO641"/>
      <c r="XEP641"/>
      <c r="XEQ641"/>
      <c r="XER641"/>
      <c r="XES641"/>
      <c r="XET641"/>
      <c r="XEU641"/>
      <c r="XEV641"/>
      <c r="XEW641"/>
      <c r="XEX641"/>
      <c r="XEY641"/>
      <c r="XEZ641"/>
      <c r="XFA641"/>
      <c r="XFB641"/>
      <c r="XFC641"/>
      <c r="XFD641"/>
    </row>
    <row r="642" spans="1:18 16327:16384" s="26" customFormat="1" ht="29.1" customHeight="1" outlineLevel="2" x14ac:dyDescent="0.25">
      <c r="A642" s="34" t="s">
        <v>1087</v>
      </c>
      <c r="B642" s="35"/>
      <c r="C642" s="65" t="s">
        <v>1075</v>
      </c>
      <c r="D642" s="65"/>
      <c r="E642" s="35"/>
      <c r="F642" s="36"/>
      <c r="G642" s="35" t="s">
        <v>31</v>
      </c>
      <c r="H642" s="37"/>
      <c r="I642" s="38">
        <f>4</f>
        <v>4</v>
      </c>
      <c r="J642" s="23"/>
      <c r="K642" s="39"/>
      <c r="L642" s="40"/>
      <c r="M642" s="41">
        <f>K642+L642</f>
        <v>0</v>
      </c>
      <c r="N642" s="41">
        <f t="shared" si="20"/>
        <v>0</v>
      </c>
      <c r="O642" s="41">
        <f>ROUND((I642*L642),2)</f>
        <v>0</v>
      </c>
      <c r="P642" s="41">
        <f>ROUND((I642*M642),2)</f>
        <v>0</v>
      </c>
      <c r="Q642" s="41"/>
      <c r="R642" s="23"/>
      <c r="XCY642"/>
      <c r="XCZ642"/>
      <c r="XDA642"/>
      <c r="XDB642"/>
      <c r="XDC642"/>
      <c r="XDD642"/>
      <c r="XDE642"/>
      <c r="XDF642"/>
      <c r="XDG642"/>
      <c r="XDH642"/>
      <c r="XDI642"/>
      <c r="XDJ642"/>
      <c r="XDK642"/>
      <c r="XDL642"/>
      <c r="XDM642"/>
      <c r="XDN642"/>
      <c r="XDO642"/>
      <c r="XDP642"/>
      <c r="XDQ642"/>
      <c r="XDR642"/>
      <c r="XDS642"/>
      <c r="XDT642"/>
      <c r="XDU642"/>
      <c r="XDV642"/>
      <c r="XDW642"/>
      <c r="XDX642"/>
      <c r="XDY642"/>
      <c r="XDZ642"/>
      <c r="XEA642"/>
      <c r="XEB642"/>
      <c r="XEC642"/>
      <c r="XED642"/>
      <c r="XEE642"/>
      <c r="XEF642"/>
      <c r="XEG642"/>
      <c r="XEH642"/>
      <c r="XEI642"/>
      <c r="XEJ642"/>
      <c r="XEK642"/>
      <c r="XEL642"/>
      <c r="XEM642"/>
      <c r="XEN642"/>
      <c r="XEO642"/>
      <c r="XEP642"/>
      <c r="XEQ642"/>
      <c r="XER642"/>
      <c r="XES642"/>
      <c r="XET642"/>
      <c r="XEU642"/>
      <c r="XEV642"/>
      <c r="XEW642"/>
      <c r="XEX642"/>
      <c r="XEY642"/>
      <c r="XEZ642"/>
      <c r="XFA642"/>
      <c r="XFB642"/>
      <c r="XFC642"/>
      <c r="XFD642"/>
    </row>
    <row r="643" spans="1:18 16327:16384" s="26" customFormat="1" ht="29.1" customHeight="1" outlineLevel="3" x14ac:dyDescent="0.25">
      <c r="A643" s="42" t="s">
        <v>1088</v>
      </c>
      <c r="B643" s="43"/>
      <c r="C643" s="66" t="s">
        <v>1089</v>
      </c>
      <c r="D643" s="66"/>
      <c r="E643" s="43" t="s">
        <v>34</v>
      </c>
      <c r="F643" s="44"/>
      <c r="G643" s="43" t="s">
        <v>31</v>
      </c>
      <c r="H643" s="45">
        <v>1</v>
      </c>
      <c r="I643" s="46">
        <f>4</f>
        <v>4</v>
      </c>
      <c r="J643" s="23"/>
      <c r="K643" s="47"/>
      <c r="L643" s="48"/>
      <c r="M643" s="49"/>
      <c r="N643" s="49">
        <f t="shared" si="20"/>
        <v>0</v>
      </c>
      <c r="O643" s="49"/>
      <c r="P643" s="49"/>
      <c r="Q643" s="49"/>
      <c r="R643" s="23"/>
      <c r="XCY643"/>
      <c r="XCZ643"/>
      <c r="XDA643"/>
      <c r="XDB643"/>
      <c r="XDC643"/>
      <c r="XDD643"/>
      <c r="XDE643"/>
      <c r="XDF643"/>
      <c r="XDG643"/>
      <c r="XDH643"/>
      <c r="XDI643"/>
      <c r="XDJ643"/>
      <c r="XDK643"/>
      <c r="XDL643"/>
      <c r="XDM643"/>
      <c r="XDN643"/>
      <c r="XDO643"/>
      <c r="XDP643"/>
      <c r="XDQ643"/>
      <c r="XDR643"/>
      <c r="XDS643"/>
      <c r="XDT643"/>
      <c r="XDU643"/>
      <c r="XDV643"/>
      <c r="XDW643"/>
      <c r="XDX643"/>
      <c r="XDY643"/>
      <c r="XDZ643"/>
      <c r="XEA643"/>
      <c r="XEB643"/>
      <c r="XEC643"/>
      <c r="XED643"/>
      <c r="XEE643"/>
      <c r="XEF643"/>
      <c r="XEG643"/>
      <c r="XEH643"/>
      <c r="XEI643"/>
      <c r="XEJ643"/>
      <c r="XEK643"/>
      <c r="XEL643"/>
      <c r="XEM643"/>
      <c r="XEN643"/>
      <c r="XEO643"/>
      <c r="XEP643"/>
      <c r="XEQ643"/>
      <c r="XER643"/>
      <c r="XES643"/>
      <c r="XET643"/>
      <c r="XEU643"/>
      <c r="XEV643"/>
      <c r="XEW643"/>
      <c r="XEX643"/>
      <c r="XEY643"/>
      <c r="XEZ643"/>
      <c r="XFA643"/>
      <c r="XFB643"/>
      <c r="XFC643"/>
      <c r="XFD643"/>
    </row>
    <row r="644" spans="1:18 16327:16384" s="26" customFormat="1" ht="29.1" customHeight="1" outlineLevel="2" x14ac:dyDescent="0.25">
      <c r="A644" s="34" t="s">
        <v>1090</v>
      </c>
      <c r="B644" s="35"/>
      <c r="C644" s="65" t="s">
        <v>1091</v>
      </c>
      <c r="D644" s="65"/>
      <c r="E644" s="35"/>
      <c r="F644" s="36"/>
      <c r="G644" s="35" t="s">
        <v>31</v>
      </c>
      <c r="H644" s="37"/>
      <c r="I644" s="38">
        <f>8</f>
        <v>8</v>
      </c>
      <c r="J644" s="23"/>
      <c r="K644" s="39"/>
      <c r="L644" s="40"/>
      <c r="M644" s="41">
        <f>K644+L644</f>
        <v>0</v>
      </c>
      <c r="N644" s="41">
        <f t="shared" si="20"/>
        <v>0</v>
      </c>
      <c r="O644" s="41">
        <f>ROUND((I644*L644),2)</f>
        <v>0</v>
      </c>
      <c r="P644" s="41">
        <f>ROUND((I644*M644),2)</f>
        <v>0</v>
      </c>
      <c r="Q644" s="41"/>
      <c r="R644" s="23"/>
      <c r="XCY644"/>
      <c r="XCZ644"/>
      <c r="XDA644"/>
      <c r="XDB644"/>
      <c r="XDC644"/>
      <c r="XDD644"/>
      <c r="XDE644"/>
      <c r="XDF644"/>
      <c r="XDG644"/>
      <c r="XDH644"/>
      <c r="XDI644"/>
      <c r="XDJ644"/>
      <c r="XDK644"/>
      <c r="XDL644"/>
      <c r="XDM644"/>
      <c r="XDN644"/>
      <c r="XDO644"/>
      <c r="XDP644"/>
      <c r="XDQ644"/>
      <c r="XDR644"/>
      <c r="XDS644"/>
      <c r="XDT644"/>
      <c r="XDU644"/>
      <c r="XDV644"/>
      <c r="XDW644"/>
      <c r="XDX644"/>
      <c r="XDY644"/>
      <c r="XDZ644"/>
      <c r="XEA644"/>
      <c r="XEB644"/>
      <c r="XEC644"/>
      <c r="XED644"/>
      <c r="XEE644"/>
      <c r="XEF644"/>
      <c r="XEG644"/>
      <c r="XEH644"/>
      <c r="XEI644"/>
      <c r="XEJ644"/>
      <c r="XEK644"/>
      <c r="XEL644"/>
      <c r="XEM644"/>
      <c r="XEN644"/>
      <c r="XEO644"/>
      <c r="XEP644"/>
      <c r="XEQ644"/>
      <c r="XER644"/>
      <c r="XES644"/>
      <c r="XET644"/>
      <c r="XEU644"/>
      <c r="XEV644"/>
      <c r="XEW644"/>
      <c r="XEX644"/>
      <c r="XEY644"/>
      <c r="XEZ644"/>
      <c r="XFA644"/>
      <c r="XFB644"/>
      <c r="XFC644"/>
      <c r="XFD644"/>
    </row>
    <row r="645" spans="1:18 16327:16384" s="26" customFormat="1" ht="29.1" customHeight="1" outlineLevel="3" x14ac:dyDescent="0.25">
      <c r="A645" s="42" t="s">
        <v>1092</v>
      </c>
      <c r="B645" s="43"/>
      <c r="C645" s="66" t="s">
        <v>1093</v>
      </c>
      <c r="D645" s="66"/>
      <c r="E645" s="43" t="s">
        <v>34</v>
      </c>
      <c r="F645" s="44"/>
      <c r="G645" s="43" t="s">
        <v>31</v>
      </c>
      <c r="H645" s="45">
        <v>1</v>
      </c>
      <c r="I645" s="46">
        <f>8</f>
        <v>8</v>
      </c>
      <c r="J645" s="23"/>
      <c r="K645" s="47"/>
      <c r="L645" s="48"/>
      <c r="M645" s="49"/>
      <c r="N645" s="49">
        <f t="shared" si="20"/>
        <v>0</v>
      </c>
      <c r="O645" s="49"/>
      <c r="P645" s="49"/>
      <c r="Q645" s="49"/>
      <c r="R645" s="23"/>
      <c r="XCY645"/>
      <c r="XCZ645"/>
      <c r="XDA645"/>
      <c r="XDB645"/>
      <c r="XDC645"/>
      <c r="XDD645"/>
      <c r="XDE645"/>
      <c r="XDF645"/>
      <c r="XDG645"/>
      <c r="XDH645"/>
      <c r="XDI645"/>
      <c r="XDJ645"/>
      <c r="XDK645"/>
      <c r="XDL645"/>
      <c r="XDM645"/>
      <c r="XDN645"/>
      <c r="XDO645"/>
      <c r="XDP645"/>
      <c r="XDQ645"/>
      <c r="XDR645"/>
      <c r="XDS645"/>
      <c r="XDT645"/>
      <c r="XDU645"/>
      <c r="XDV645"/>
      <c r="XDW645"/>
      <c r="XDX645"/>
      <c r="XDY645"/>
      <c r="XDZ645"/>
      <c r="XEA645"/>
      <c r="XEB645"/>
      <c r="XEC645"/>
      <c r="XED645"/>
      <c r="XEE645"/>
      <c r="XEF645"/>
      <c r="XEG645"/>
      <c r="XEH645"/>
      <c r="XEI645"/>
      <c r="XEJ645"/>
      <c r="XEK645"/>
      <c r="XEL645"/>
      <c r="XEM645"/>
      <c r="XEN645"/>
      <c r="XEO645"/>
      <c r="XEP645"/>
      <c r="XEQ645"/>
      <c r="XER645"/>
      <c r="XES645"/>
      <c r="XET645"/>
      <c r="XEU645"/>
      <c r="XEV645"/>
      <c r="XEW645"/>
      <c r="XEX645"/>
      <c r="XEY645"/>
      <c r="XEZ645"/>
      <c r="XFA645"/>
      <c r="XFB645"/>
      <c r="XFC645"/>
      <c r="XFD645"/>
    </row>
    <row r="646" spans="1:18 16327:16384" s="26" customFormat="1" ht="29.1" customHeight="1" outlineLevel="2" x14ac:dyDescent="0.25">
      <c r="A646" s="34" t="s">
        <v>1094</v>
      </c>
      <c r="B646" s="35"/>
      <c r="C646" s="65" t="s">
        <v>1091</v>
      </c>
      <c r="D646" s="65"/>
      <c r="E646" s="35"/>
      <c r="F646" s="36"/>
      <c r="G646" s="35" t="s">
        <v>31</v>
      </c>
      <c r="H646" s="37"/>
      <c r="I646" s="38">
        <f>6</f>
        <v>6</v>
      </c>
      <c r="J646" s="23"/>
      <c r="K646" s="39"/>
      <c r="L646" s="40"/>
      <c r="M646" s="41">
        <f>K646+L646</f>
        <v>0</v>
      </c>
      <c r="N646" s="41">
        <f t="shared" si="20"/>
        <v>0</v>
      </c>
      <c r="O646" s="41">
        <f>ROUND((I646*L646),2)</f>
        <v>0</v>
      </c>
      <c r="P646" s="41">
        <f>ROUND((I646*M646),2)</f>
        <v>0</v>
      </c>
      <c r="Q646" s="41"/>
      <c r="R646" s="23"/>
      <c r="XCY646"/>
      <c r="XCZ646"/>
      <c r="XDA646"/>
      <c r="XDB646"/>
      <c r="XDC646"/>
      <c r="XDD646"/>
      <c r="XDE646"/>
      <c r="XDF646"/>
      <c r="XDG646"/>
      <c r="XDH646"/>
      <c r="XDI646"/>
      <c r="XDJ646"/>
      <c r="XDK646"/>
      <c r="XDL646"/>
      <c r="XDM646"/>
      <c r="XDN646"/>
      <c r="XDO646"/>
      <c r="XDP646"/>
      <c r="XDQ646"/>
      <c r="XDR646"/>
      <c r="XDS646"/>
      <c r="XDT646"/>
      <c r="XDU646"/>
      <c r="XDV646"/>
      <c r="XDW646"/>
      <c r="XDX646"/>
      <c r="XDY646"/>
      <c r="XDZ646"/>
      <c r="XEA646"/>
      <c r="XEB646"/>
      <c r="XEC646"/>
      <c r="XED646"/>
      <c r="XEE646"/>
      <c r="XEF646"/>
      <c r="XEG646"/>
      <c r="XEH646"/>
      <c r="XEI646"/>
      <c r="XEJ646"/>
      <c r="XEK646"/>
      <c r="XEL646"/>
      <c r="XEM646"/>
      <c r="XEN646"/>
      <c r="XEO646"/>
      <c r="XEP646"/>
      <c r="XEQ646"/>
      <c r="XER646"/>
      <c r="XES646"/>
      <c r="XET646"/>
      <c r="XEU646"/>
      <c r="XEV646"/>
      <c r="XEW646"/>
      <c r="XEX646"/>
      <c r="XEY646"/>
      <c r="XEZ646"/>
      <c r="XFA646"/>
      <c r="XFB646"/>
      <c r="XFC646"/>
      <c r="XFD646"/>
    </row>
    <row r="647" spans="1:18 16327:16384" s="26" customFormat="1" ht="29.1" customHeight="1" outlineLevel="3" x14ac:dyDescent="0.25">
      <c r="A647" s="42" t="s">
        <v>1095</v>
      </c>
      <c r="B647" s="43"/>
      <c r="C647" s="66" t="s">
        <v>1096</v>
      </c>
      <c r="D647" s="66"/>
      <c r="E647" s="43" t="s">
        <v>34</v>
      </c>
      <c r="F647" s="44"/>
      <c r="G647" s="43" t="s">
        <v>31</v>
      </c>
      <c r="H647" s="45">
        <v>1</v>
      </c>
      <c r="I647" s="46">
        <f>6</f>
        <v>6</v>
      </c>
      <c r="J647" s="23"/>
      <c r="K647" s="47"/>
      <c r="L647" s="48"/>
      <c r="M647" s="49"/>
      <c r="N647" s="49">
        <f t="shared" si="20"/>
        <v>0</v>
      </c>
      <c r="O647" s="49"/>
      <c r="P647" s="49"/>
      <c r="Q647" s="49"/>
      <c r="R647" s="23"/>
      <c r="XCY647"/>
      <c r="XCZ647"/>
      <c r="XDA647"/>
      <c r="XDB647"/>
      <c r="XDC647"/>
      <c r="XDD647"/>
      <c r="XDE647"/>
      <c r="XDF647"/>
      <c r="XDG647"/>
      <c r="XDH647"/>
      <c r="XDI647"/>
      <c r="XDJ647"/>
      <c r="XDK647"/>
      <c r="XDL647"/>
      <c r="XDM647"/>
      <c r="XDN647"/>
      <c r="XDO647"/>
      <c r="XDP647"/>
      <c r="XDQ647"/>
      <c r="XDR647"/>
      <c r="XDS647"/>
      <c r="XDT647"/>
      <c r="XDU647"/>
      <c r="XDV647"/>
      <c r="XDW647"/>
      <c r="XDX647"/>
      <c r="XDY647"/>
      <c r="XDZ647"/>
      <c r="XEA647"/>
      <c r="XEB647"/>
      <c r="XEC647"/>
      <c r="XED647"/>
      <c r="XEE647"/>
      <c r="XEF647"/>
      <c r="XEG647"/>
      <c r="XEH647"/>
      <c r="XEI647"/>
      <c r="XEJ647"/>
      <c r="XEK647"/>
      <c r="XEL647"/>
      <c r="XEM647"/>
      <c r="XEN647"/>
      <c r="XEO647"/>
      <c r="XEP647"/>
      <c r="XEQ647"/>
      <c r="XER647"/>
      <c r="XES647"/>
      <c r="XET647"/>
      <c r="XEU647"/>
      <c r="XEV647"/>
      <c r="XEW647"/>
      <c r="XEX647"/>
      <c r="XEY647"/>
      <c r="XEZ647"/>
      <c r="XFA647"/>
      <c r="XFB647"/>
      <c r="XFC647"/>
      <c r="XFD647"/>
    </row>
    <row r="648" spans="1:18 16327:16384" s="26" customFormat="1" ht="29.1" customHeight="1" outlineLevel="2" x14ac:dyDescent="0.25">
      <c r="A648" s="34" t="s">
        <v>1097</v>
      </c>
      <c r="B648" s="35"/>
      <c r="C648" s="65" t="s">
        <v>1091</v>
      </c>
      <c r="D648" s="65"/>
      <c r="E648" s="35"/>
      <c r="F648" s="36"/>
      <c r="G648" s="35" t="s">
        <v>31</v>
      </c>
      <c r="H648" s="37"/>
      <c r="I648" s="38">
        <f>6</f>
        <v>6</v>
      </c>
      <c r="J648" s="23"/>
      <c r="K648" s="39"/>
      <c r="L648" s="40"/>
      <c r="M648" s="41">
        <f>K648+L648</f>
        <v>0</v>
      </c>
      <c r="N648" s="41">
        <f t="shared" si="20"/>
        <v>0</v>
      </c>
      <c r="O648" s="41">
        <f>ROUND((I648*L648),2)</f>
        <v>0</v>
      </c>
      <c r="P648" s="41">
        <f>ROUND((I648*M648),2)</f>
        <v>0</v>
      </c>
      <c r="Q648" s="41"/>
      <c r="R648" s="23"/>
      <c r="XCY648"/>
      <c r="XCZ648"/>
      <c r="XDA648"/>
      <c r="XDB648"/>
      <c r="XDC648"/>
      <c r="XDD648"/>
      <c r="XDE648"/>
      <c r="XDF648"/>
      <c r="XDG648"/>
      <c r="XDH648"/>
      <c r="XDI648"/>
      <c r="XDJ648"/>
      <c r="XDK648"/>
      <c r="XDL648"/>
      <c r="XDM648"/>
      <c r="XDN648"/>
      <c r="XDO648"/>
      <c r="XDP648"/>
      <c r="XDQ648"/>
      <c r="XDR648"/>
      <c r="XDS648"/>
      <c r="XDT648"/>
      <c r="XDU648"/>
      <c r="XDV648"/>
      <c r="XDW648"/>
      <c r="XDX648"/>
      <c r="XDY648"/>
      <c r="XDZ648"/>
      <c r="XEA648"/>
      <c r="XEB648"/>
      <c r="XEC648"/>
      <c r="XED648"/>
      <c r="XEE648"/>
      <c r="XEF648"/>
      <c r="XEG648"/>
      <c r="XEH648"/>
      <c r="XEI648"/>
      <c r="XEJ648"/>
      <c r="XEK648"/>
      <c r="XEL648"/>
      <c r="XEM648"/>
      <c r="XEN648"/>
      <c r="XEO648"/>
      <c r="XEP648"/>
      <c r="XEQ648"/>
      <c r="XER648"/>
      <c r="XES648"/>
      <c r="XET648"/>
      <c r="XEU648"/>
      <c r="XEV648"/>
      <c r="XEW648"/>
      <c r="XEX648"/>
      <c r="XEY648"/>
      <c r="XEZ648"/>
      <c r="XFA648"/>
      <c r="XFB648"/>
      <c r="XFC648"/>
      <c r="XFD648"/>
    </row>
    <row r="649" spans="1:18 16327:16384" s="26" customFormat="1" ht="29.1" customHeight="1" outlineLevel="3" x14ac:dyDescent="0.25">
      <c r="A649" s="42" t="s">
        <v>1098</v>
      </c>
      <c r="B649" s="43"/>
      <c r="C649" s="66" t="s">
        <v>1099</v>
      </c>
      <c r="D649" s="66"/>
      <c r="E649" s="43" t="s">
        <v>34</v>
      </c>
      <c r="F649" s="44"/>
      <c r="G649" s="43" t="s">
        <v>31</v>
      </c>
      <c r="H649" s="45">
        <v>1</v>
      </c>
      <c r="I649" s="46">
        <f>6</f>
        <v>6</v>
      </c>
      <c r="J649" s="23"/>
      <c r="K649" s="47"/>
      <c r="L649" s="48"/>
      <c r="M649" s="49"/>
      <c r="N649" s="49">
        <f t="shared" si="20"/>
        <v>0</v>
      </c>
      <c r="O649" s="49"/>
      <c r="P649" s="49"/>
      <c r="Q649" s="49"/>
      <c r="R649" s="23"/>
      <c r="XCY649"/>
      <c r="XCZ649"/>
      <c r="XDA649"/>
      <c r="XDB649"/>
      <c r="XDC649"/>
      <c r="XDD649"/>
      <c r="XDE649"/>
      <c r="XDF649"/>
      <c r="XDG649"/>
      <c r="XDH649"/>
      <c r="XDI649"/>
      <c r="XDJ649"/>
      <c r="XDK649"/>
      <c r="XDL649"/>
      <c r="XDM649"/>
      <c r="XDN649"/>
      <c r="XDO649"/>
      <c r="XDP649"/>
      <c r="XDQ649"/>
      <c r="XDR649"/>
      <c r="XDS649"/>
      <c r="XDT649"/>
      <c r="XDU649"/>
      <c r="XDV649"/>
      <c r="XDW649"/>
      <c r="XDX649"/>
      <c r="XDY649"/>
      <c r="XDZ649"/>
      <c r="XEA649"/>
      <c r="XEB649"/>
      <c r="XEC649"/>
      <c r="XED649"/>
      <c r="XEE649"/>
      <c r="XEF649"/>
      <c r="XEG649"/>
      <c r="XEH649"/>
      <c r="XEI649"/>
      <c r="XEJ649"/>
      <c r="XEK649"/>
      <c r="XEL649"/>
      <c r="XEM649"/>
      <c r="XEN649"/>
      <c r="XEO649"/>
      <c r="XEP649"/>
      <c r="XEQ649"/>
      <c r="XER649"/>
      <c r="XES649"/>
      <c r="XET649"/>
      <c r="XEU649"/>
      <c r="XEV649"/>
      <c r="XEW649"/>
      <c r="XEX649"/>
      <c r="XEY649"/>
      <c r="XEZ649"/>
      <c r="XFA649"/>
      <c r="XFB649"/>
      <c r="XFC649"/>
      <c r="XFD649"/>
    </row>
    <row r="650" spans="1:18 16327:16384" s="26" customFormat="1" ht="29.1" customHeight="1" outlineLevel="2" x14ac:dyDescent="0.25">
      <c r="A650" s="34" t="s">
        <v>1100</v>
      </c>
      <c r="B650" s="35"/>
      <c r="C650" s="65" t="s">
        <v>1101</v>
      </c>
      <c r="D650" s="65"/>
      <c r="E650" s="35"/>
      <c r="F650" s="36"/>
      <c r="G650" s="35" t="s">
        <v>31</v>
      </c>
      <c r="H650" s="37"/>
      <c r="I650" s="38">
        <f>4</f>
        <v>4</v>
      </c>
      <c r="J650" s="23"/>
      <c r="K650" s="39"/>
      <c r="L650" s="40"/>
      <c r="M650" s="41">
        <f>K650+L650</f>
        <v>0</v>
      </c>
      <c r="N650" s="41">
        <f t="shared" si="20"/>
        <v>0</v>
      </c>
      <c r="O650" s="41">
        <f>ROUND((I650*L650),2)</f>
        <v>0</v>
      </c>
      <c r="P650" s="41">
        <f>ROUND((I650*M650),2)</f>
        <v>0</v>
      </c>
      <c r="Q650" s="41"/>
      <c r="R650" s="23"/>
      <c r="XCY650"/>
      <c r="XCZ650"/>
      <c r="XDA650"/>
      <c r="XDB650"/>
      <c r="XDC650"/>
      <c r="XDD650"/>
      <c r="XDE650"/>
      <c r="XDF650"/>
      <c r="XDG650"/>
      <c r="XDH650"/>
      <c r="XDI650"/>
      <c r="XDJ650"/>
      <c r="XDK650"/>
      <c r="XDL650"/>
      <c r="XDM650"/>
      <c r="XDN650"/>
      <c r="XDO650"/>
      <c r="XDP650"/>
      <c r="XDQ650"/>
      <c r="XDR650"/>
      <c r="XDS650"/>
      <c r="XDT650"/>
      <c r="XDU650"/>
      <c r="XDV650"/>
      <c r="XDW650"/>
      <c r="XDX650"/>
      <c r="XDY650"/>
      <c r="XDZ650"/>
      <c r="XEA650"/>
      <c r="XEB650"/>
      <c r="XEC650"/>
      <c r="XED650"/>
      <c r="XEE650"/>
      <c r="XEF650"/>
      <c r="XEG650"/>
      <c r="XEH650"/>
      <c r="XEI650"/>
      <c r="XEJ650"/>
      <c r="XEK650"/>
      <c r="XEL650"/>
      <c r="XEM650"/>
      <c r="XEN650"/>
      <c r="XEO650"/>
      <c r="XEP650"/>
      <c r="XEQ650"/>
      <c r="XER650"/>
      <c r="XES650"/>
      <c r="XET650"/>
      <c r="XEU650"/>
      <c r="XEV650"/>
      <c r="XEW650"/>
      <c r="XEX650"/>
      <c r="XEY650"/>
      <c r="XEZ650"/>
      <c r="XFA650"/>
      <c r="XFB650"/>
      <c r="XFC650"/>
      <c r="XFD650"/>
    </row>
    <row r="651" spans="1:18 16327:16384" s="26" customFormat="1" ht="29.1" customHeight="1" outlineLevel="3" x14ac:dyDescent="0.25">
      <c r="A651" s="42" t="s">
        <v>1102</v>
      </c>
      <c r="B651" s="43"/>
      <c r="C651" s="66" t="s">
        <v>1103</v>
      </c>
      <c r="D651" s="66"/>
      <c r="E651" s="43" t="s">
        <v>34</v>
      </c>
      <c r="F651" s="44"/>
      <c r="G651" s="43" t="s">
        <v>31</v>
      </c>
      <c r="H651" s="45">
        <v>1</v>
      </c>
      <c r="I651" s="46">
        <f>4</f>
        <v>4</v>
      </c>
      <c r="J651" s="23"/>
      <c r="K651" s="47"/>
      <c r="L651" s="48"/>
      <c r="M651" s="49"/>
      <c r="N651" s="49">
        <f t="shared" si="20"/>
        <v>0</v>
      </c>
      <c r="O651" s="49"/>
      <c r="P651" s="49"/>
      <c r="Q651" s="49"/>
      <c r="R651" s="23"/>
      <c r="XCY651"/>
      <c r="XCZ651"/>
      <c r="XDA651"/>
      <c r="XDB651"/>
      <c r="XDC651"/>
      <c r="XDD651"/>
      <c r="XDE651"/>
      <c r="XDF651"/>
      <c r="XDG651"/>
      <c r="XDH651"/>
      <c r="XDI651"/>
      <c r="XDJ651"/>
      <c r="XDK651"/>
      <c r="XDL651"/>
      <c r="XDM651"/>
      <c r="XDN651"/>
      <c r="XDO651"/>
      <c r="XDP651"/>
      <c r="XDQ651"/>
      <c r="XDR651"/>
      <c r="XDS651"/>
      <c r="XDT651"/>
      <c r="XDU651"/>
      <c r="XDV651"/>
      <c r="XDW651"/>
      <c r="XDX651"/>
      <c r="XDY651"/>
      <c r="XDZ651"/>
      <c r="XEA651"/>
      <c r="XEB651"/>
      <c r="XEC651"/>
      <c r="XED651"/>
      <c r="XEE651"/>
      <c r="XEF651"/>
      <c r="XEG651"/>
      <c r="XEH651"/>
      <c r="XEI651"/>
      <c r="XEJ651"/>
      <c r="XEK651"/>
      <c r="XEL651"/>
      <c r="XEM651"/>
      <c r="XEN651"/>
      <c r="XEO651"/>
      <c r="XEP651"/>
      <c r="XEQ651"/>
      <c r="XER651"/>
      <c r="XES651"/>
      <c r="XET651"/>
      <c r="XEU651"/>
      <c r="XEV651"/>
      <c r="XEW651"/>
      <c r="XEX651"/>
      <c r="XEY651"/>
      <c r="XEZ651"/>
      <c r="XFA651"/>
      <c r="XFB651"/>
      <c r="XFC651"/>
      <c r="XFD651"/>
    </row>
    <row r="652" spans="1:18 16327:16384" s="26" customFormat="1" ht="29.1" customHeight="1" outlineLevel="2" x14ac:dyDescent="0.25">
      <c r="A652" s="34" t="s">
        <v>1104</v>
      </c>
      <c r="B652" s="35"/>
      <c r="C652" s="65" t="s">
        <v>1101</v>
      </c>
      <c r="D652" s="65"/>
      <c r="E652" s="35"/>
      <c r="F652" s="36"/>
      <c r="G652" s="35" t="s">
        <v>31</v>
      </c>
      <c r="H652" s="37"/>
      <c r="I652" s="38">
        <f>22</f>
        <v>22</v>
      </c>
      <c r="J652" s="23"/>
      <c r="K652" s="39"/>
      <c r="L652" s="40"/>
      <c r="M652" s="41">
        <f>K652+L652</f>
        <v>0</v>
      </c>
      <c r="N652" s="41">
        <f t="shared" ref="N652:N683" si="21">ROUND((I652*K652),2)</f>
        <v>0</v>
      </c>
      <c r="O652" s="41">
        <f>ROUND((I652*L652),2)</f>
        <v>0</v>
      </c>
      <c r="P652" s="41">
        <f>ROUND((I652*M652),2)</f>
        <v>0</v>
      </c>
      <c r="Q652" s="41"/>
      <c r="R652" s="23"/>
      <c r="XCY652"/>
      <c r="XCZ652"/>
      <c r="XDA652"/>
      <c r="XDB652"/>
      <c r="XDC652"/>
      <c r="XDD652"/>
      <c r="XDE652"/>
      <c r="XDF652"/>
      <c r="XDG652"/>
      <c r="XDH652"/>
      <c r="XDI652"/>
      <c r="XDJ652"/>
      <c r="XDK652"/>
      <c r="XDL652"/>
      <c r="XDM652"/>
      <c r="XDN652"/>
      <c r="XDO652"/>
      <c r="XDP652"/>
      <c r="XDQ652"/>
      <c r="XDR652"/>
      <c r="XDS652"/>
      <c r="XDT652"/>
      <c r="XDU652"/>
      <c r="XDV652"/>
      <c r="XDW652"/>
      <c r="XDX652"/>
      <c r="XDY652"/>
      <c r="XDZ652"/>
      <c r="XEA652"/>
      <c r="XEB652"/>
      <c r="XEC652"/>
      <c r="XED652"/>
      <c r="XEE652"/>
      <c r="XEF652"/>
      <c r="XEG652"/>
      <c r="XEH652"/>
      <c r="XEI652"/>
      <c r="XEJ652"/>
      <c r="XEK652"/>
      <c r="XEL652"/>
      <c r="XEM652"/>
      <c r="XEN652"/>
      <c r="XEO652"/>
      <c r="XEP652"/>
      <c r="XEQ652"/>
      <c r="XER652"/>
      <c r="XES652"/>
      <c r="XET652"/>
      <c r="XEU652"/>
      <c r="XEV652"/>
      <c r="XEW652"/>
      <c r="XEX652"/>
      <c r="XEY652"/>
      <c r="XEZ652"/>
      <c r="XFA652"/>
      <c r="XFB652"/>
      <c r="XFC652"/>
      <c r="XFD652"/>
    </row>
    <row r="653" spans="1:18 16327:16384" s="26" customFormat="1" ht="29.1" customHeight="1" outlineLevel="3" x14ac:dyDescent="0.25">
      <c r="A653" s="42" t="s">
        <v>1105</v>
      </c>
      <c r="B653" s="43"/>
      <c r="C653" s="66" t="s">
        <v>1106</v>
      </c>
      <c r="D653" s="66"/>
      <c r="E653" s="43" t="s">
        <v>34</v>
      </c>
      <c r="F653" s="44"/>
      <c r="G653" s="43" t="s">
        <v>31</v>
      </c>
      <c r="H653" s="45">
        <v>1</v>
      </c>
      <c r="I653" s="46">
        <f>22</f>
        <v>22</v>
      </c>
      <c r="J653" s="23"/>
      <c r="K653" s="47"/>
      <c r="L653" s="48"/>
      <c r="M653" s="49"/>
      <c r="N653" s="49">
        <f t="shared" si="21"/>
        <v>0</v>
      </c>
      <c r="O653" s="49"/>
      <c r="P653" s="49"/>
      <c r="Q653" s="49"/>
      <c r="R653" s="23"/>
      <c r="XCY653"/>
      <c r="XCZ653"/>
      <c r="XDA653"/>
      <c r="XDB653"/>
      <c r="XDC653"/>
      <c r="XDD653"/>
      <c r="XDE653"/>
      <c r="XDF653"/>
      <c r="XDG653"/>
      <c r="XDH653"/>
      <c r="XDI653"/>
      <c r="XDJ653"/>
      <c r="XDK653"/>
      <c r="XDL653"/>
      <c r="XDM653"/>
      <c r="XDN653"/>
      <c r="XDO653"/>
      <c r="XDP653"/>
      <c r="XDQ653"/>
      <c r="XDR653"/>
      <c r="XDS653"/>
      <c r="XDT653"/>
      <c r="XDU653"/>
      <c r="XDV653"/>
      <c r="XDW653"/>
      <c r="XDX653"/>
      <c r="XDY653"/>
      <c r="XDZ653"/>
      <c r="XEA653"/>
      <c r="XEB653"/>
      <c r="XEC653"/>
      <c r="XED653"/>
      <c r="XEE653"/>
      <c r="XEF653"/>
      <c r="XEG653"/>
      <c r="XEH653"/>
      <c r="XEI653"/>
      <c r="XEJ653"/>
      <c r="XEK653"/>
      <c r="XEL653"/>
      <c r="XEM653"/>
      <c r="XEN653"/>
      <c r="XEO653"/>
      <c r="XEP653"/>
      <c r="XEQ653"/>
      <c r="XER653"/>
      <c r="XES653"/>
      <c r="XET653"/>
      <c r="XEU653"/>
      <c r="XEV653"/>
      <c r="XEW653"/>
      <c r="XEX653"/>
      <c r="XEY653"/>
      <c r="XEZ653"/>
      <c r="XFA653"/>
      <c r="XFB653"/>
      <c r="XFC653"/>
      <c r="XFD653"/>
    </row>
    <row r="654" spans="1:18 16327:16384" s="26" customFormat="1" ht="29.1" customHeight="1" outlineLevel="2" x14ac:dyDescent="0.25">
      <c r="A654" s="34" t="s">
        <v>1107</v>
      </c>
      <c r="B654" s="35"/>
      <c r="C654" s="65" t="s">
        <v>1101</v>
      </c>
      <c r="D654" s="65"/>
      <c r="E654" s="35"/>
      <c r="F654" s="36"/>
      <c r="G654" s="35" t="s">
        <v>31</v>
      </c>
      <c r="H654" s="37"/>
      <c r="I654" s="38">
        <f>6</f>
        <v>6</v>
      </c>
      <c r="J654" s="23"/>
      <c r="K654" s="39"/>
      <c r="L654" s="40"/>
      <c r="M654" s="41">
        <f>K654+L654</f>
        <v>0</v>
      </c>
      <c r="N654" s="41">
        <f t="shared" si="21"/>
        <v>0</v>
      </c>
      <c r="O654" s="41">
        <f>ROUND((I654*L654),2)</f>
        <v>0</v>
      </c>
      <c r="P654" s="41">
        <f>ROUND((I654*M654),2)</f>
        <v>0</v>
      </c>
      <c r="Q654" s="41"/>
      <c r="R654" s="23"/>
      <c r="XCY654"/>
      <c r="XCZ654"/>
      <c r="XDA654"/>
      <c r="XDB654"/>
      <c r="XDC654"/>
      <c r="XDD654"/>
      <c r="XDE654"/>
      <c r="XDF654"/>
      <c r="XDG654"/>
      <c r="XDH654"/>
      <c r="XDI654"/>
      <c r="XDJ654"/>
      <c r="XDK654"/>
      <c r="XDL654"/>
      <c r="XDM654"/>
      <c r="XDN654"/>
      <c r="XDO654"/>
      <c r="XDP654"/>
      <c r="XDQ654"/>
      <c r="XDR654"/>
      <c r="XDS654"/>
      <c r="XDT654"/>
      <c r="XDU654"/>
      <c r="XDV654"/>
      <c r="XDW654"/>
      <c r="XDX654"/>
      <c r="XDY654"/>
      <c r="XDZ654"/>
      <c r="XEA654"/>
      <c r="XEB654"/>
      <c r="XEC654"/>
      <c r="XED654"/>
      <c r="XEE654"/>
      <c r="XEF654"/>
      <c r="XEG654"/>
      <c r="XEH654"/>
      <c r="XEI654"/>
      <c r="XEJ654"/>
      <c r="XEK654"/>
      <c r="XEL654"/>
      <c r="XEM654"/>
      <c r="XEN654"/>
      <c r="XEO654"/>
      <c r="XEP654"/>
      <c r="XEQ654"/>
      <c r="XER654"/>
      <c r="XES654"/>
      <c r="XET654"/>
      <c r="XEU654"/>
      <c r="XEV654"/>
      <c r="XEW654"/>
      <c r="XEX654"/>
      <c r="XEY654"/>
      <c r="XEZ654"/>
      <c r="XFA654"/>
      <c r="XFB654"/>
      <c r="XFC654"/>
      <c r="XFD654"/>
    </row>
    <row r="655" spans="1:18 16327:16384" s="26" customFormat="1" ht="29.1" customHeight="1" outlineLevel="3" x14ac:dyDescent="0.25">
      <c r="A655" s="42" t="s">
        <v>1108</v>
      </c>
      <c r="B655" s="43"/>
      <c r="C655" s="66" t="s">
        <v>1109</v>
      </c>
      <c r="D655" s="66"/>
      <c r="E655" s="43" t="s">
        <v>34</v>
      </c>
      <c r="F655" s="44"/>
      <c r="G655" s="43" t="s">
        <v>31</v>
      </c>
      <c r="H655" s="45">
        <v>1</v>
      </c>
      <c r="I655" s="46">
        <f>6</f>
        <v>6</v>
      </c>
      <c r="J655" s="23"/>
      <c r="K655" s="47"/>
      <c r="L655" s="48"/>
      <c r="M655" s="49"/>
      <c r="N655" s="49">
        <f t="shared" si="21"/>
        <v>0</v>
      </c>
      <c r="O655" s="49"/>
      <c r="P655" s="49"/>
      <c r="Q655" s="49"/>
      <c r="R655" s="23"/>
      <c r="XCY655"/>
      <c r="XCZ655"/>
      <c r="XDA655"/>
      <c r="XDB655"/>
      <c r="XDC655"/>
      <c r="XDD655"/>
      <c r="XDE655"/>
      <c r="XDF655"/>
      <c r="XDG655"/>
      <c r="XDH655"/>
      <c r="XDI655"/>
      <c r="XDJ655"/>
      <c r="XDK655"/>
      <c r="XDL655"/>
      <c r="XDM655"/>
      <c r="XDN655"/>
      <c r="XDO655"/>
      <c r="XDP655"/>
      <c r="XDQ655"/>
      <c r="XDR655"/>
      <c r="XDS655"/>
      <c r="XDT655"/>
      <c r="XDU655"/>
      <c r="XDV655"/>
      <c r="XDW655"/>
      <c r="XDX655"/>
      <c r="XDY655"/>
      <c r="XDZ655"/>
      <c r="XEA655"/>
      <c r="XEB655"/>
      <c r="XEC655"/>
      <c r="XED655"/>
      <c r="XEE655"/>
      <c r="XEF655"/>
      <c r="XEG655"/>
      <c r="XEH655"/>
      <c r="XEI655"/>
      <c r="XEJ655"/>
      <c r="XEK655"/>
      <c r="XEL655"/>
      <c r="XEM655"/>
      <c r="XEN655"/>
      <c r="XEO655"/>
      <c r="XEP655"/>
      <c r="XEQ655"/>
      <c r="XER655"/>
      <c r="XES655"/>
      <c r="XET655"/>
      <c r="XEU655"/>
      <c r="XEV655"/>
      <c r="XEW655"/>
      <c r="XEX655"/>
      <c r="XEY655"/>
      <c r="XEZ655"/>
      <c r="XFA655"/>
      <c r="XFB655"/>
      <c r="XFC655"/>
      <c r="XFD655"/>
    </row>
    <row r="656" spans="1:18 16327:16384" s="26" customFormat="1" ht="29.1" customHeight="1" outlineLevel="2" x14ac:dyDescent="0.25">
      <c r="A656" s="34" t="s">
        <v>1110</v>
      </c>
      <c r="B656" s="35"/>
      <c r="C656" s="65" t="s">
        <v>1101</v>
      </c>
      <c r="D656" s="65"/>
      <c r="E656" s="35"/>
      <c r="F656" s="36"/>
      <c r="G656" s="35" t="s">
        <v>31</v>
      </c>
      <c r="H656" s="37"/>
      <c r="I656" s="38">
        <f>3</f>
        <v>3</v>
      </c>
      <c r="J656" s="23"/>
      <c r="K656" s="39"/>
      <c r="L656" s="40"/>
      <c r="M656" s="41">
        <f>K656+L656</f>
        <v>0</v>
      </c>
      <c r="N656" s="41">
        <f t="shared" si="21"/>
        <v>0</v>
      </c>
      <c r="O656" s="41">
        <f>ROUND((I656*L656),2)</f>
        <v>0</v>
      </c>
      <c r="P656" s="41">
        <f>ROUND((I656*M656),2)</f>
        <v>0</v>
      </c>
      <c r="Q656" s="41"/>
      <c r="R656" s="23"/>
      <c r="XCY656"/>
      <c r="XCZ656"/>
      <c r="XDA656"/>
      <c r="XDB656"/>
      <c r="XDC656"/>
      <c r="XDD656"/>
      <c r="XDE656"/>
      <c r="XDF656"/>
      <c r="XDG656"/>
      <c r="XDH656"/>
      <c r="XDI656"/>
      <c r="XDJ656"/>
      <c r="XDK656"/>
      <c r="XDL656"/>
      <c r="XDM656"/>
      <c r="XDN656"/>
      <c r="XDO656"/>
      <c r="XDP656"/>
      <c r="XDQ656"/>
      <c r="XDR656"/>
      <c r="XDS656"/>
      <c r="XDT656"/>
      <c r="XDU656"/>
      <c r="XDV656"/>
      <c r="XDW656"/>
      <c r="XDX656"/>
      <c r="XDY656"/>
      <c r="XDZ656"/>
      <c r="XEA656"/>
      <c r="XEB656"/>
      <c r="XEC656"/>
      <c r="XED656"/>
      <c r="XEE656"/>
      <c r="XEF656"/>
      <c r="XEG656"/>
      <c r="XEH656"/>
      <c r="XEI656"/>
      <c r="XEJ656"/>
      <c r="XEK656"/>
      <c r="XEL656"/>
      <c r="XEM656"/>
      <c r="XEN656"/>
      <c r="XEO656"/>
      <c r="XEP656"/>
      <c r="XEQ656"/>
      <c r="XER656"/>
      <c r="XES656"/>
      <c r="XET656"/>
      <c r="XEU656"/>
      <c r="XEV656"/>
      <c r="XEW656"/>
      <c r="XEX656"/>
      <c r="XEY656"/>
      <c r="XEZ656"/>
      <c r="XFA656"/>
      <c r="XFB656"/>
      <c r="XFC656"/>
      <c r="XFD656"/>
    </row>
    <row r="657" spans="1:18 16327:16384" s="26" customFormat="1" ht="29.1" customHeight="1" outlineLevel="3" x14ac:dyDescent="0.25">
      <c r="A657" s="42" t="s">
        <v>1111</v>
      </c>
      <c r="B657" s="43"/>
      <c r="C657" s="66" t="s">
        <v>1112</v>
      </c>
      <c r="D657" s="66"/>
      <c r="E657" s="43" t="s">
        <v>34</v>
      </c>
      <c r="F657" s="44"/>
      <c r="G657" s="43" t="s">
        <v>31</v>
      </c>
      <c r="H657" s="45">
        <v>1</v>
      </c>
      <c r="I657" s="46">
        <f>3</f>
        <v>3</v>
      </c>
      <c r="J657" s="23"/>
      <c r="K657" s="47"/>
      <c r="L657" s="48"/>
      <c r="M657" s="49"/>
      <c r="N657" s="49">
        <f t="shared" si="21"/>
        <v>0</v>
      </c>
      <c r="O657" s="49"/>
      <c r="P657" s="49"/>
      <c r="Q657" s="49"/>
      <c r="R657" s="23"/>
      <c r="XCY657"/>
      <c r="XCZ657"/>
      <c r="XDA657"/>
      <c r="XDB657"/>
      <c r="XDC657"/>
      <c r="XDD657"/>
      <c r="XDE657"/>
      <c r="XDF657"/>
      <c r="XDG657"/>
      <c r="XDH657"/>
      <c r="XDI657"/>
      <c r="XDJ657"/>
      <c r="XDK657"/>
      <c r="XDL657"/>
      <c r="XDM657"/>
      <c r="XDN657"/>
      <c r="XDO657"/>
      <c r="XDP657"/>
      <c r="XDQ657"/>
      <c r="XDR657"/>
      <c r="XDS657"/>
      <c r="XDT657"/>
      <c r="XDU657"/>
      <c r="XDV657"/>
      <c r="XDW657"/>
      <c r="XDX657"/>
      <c r="XDY657"/>
      <c r="XDZ657"/>
      <c r="XEA657"/>
      <c r="XEB657"/>
      <c r="XEC657"/>
      <c r="XED657"/>
      <c r="XEE657"/>
      <c r="XEF657"/>
      <c r="XEG657"/>
      <c r="XEH657"/>
      <c r="XEI657"/>
      <c r="XEJ657"/>
      <c r="XEK657"/>
      <c r="XEL657"/>
      <c r="XEM657"/>
      <c r="XEN657"/>
      <c r="XEO657"/>
      <c r="XEP657"/>
      <c r="XEQ657"/>
      <c r="XER657"/>
      <c r="XES657"/>
      <c r="XET657"/>
      <c r="XEU657"/>
      <c r="XEV657"/>
      <c r="XEW657"/>
      <c r="XEX657"/>
      <c r="XEY657"/>
      <c r="XEZ657"/>
      <c r="XFA657"/>
      <c r="XFB657"/>
      <c r="XFC657"/>
      <c r="XFD657"/>
    </row>
    <row r="658" spans="1:18 16327:16384" s="26" customFormat="1" ht="29.1" customHeight="1" outlineLevel="2" x14ac:dyDescent="0.25">
      <c r="A658" s="34" t="s">
        <v>1113</v>
      </c>
      <c r="B658" s="35"/>
      <c r="C658" s="65" t="s">
        <v>1101</v>
      </c>
      <c r="D658" s="65"/>
      <c r="E658" s="35"/>
      <c r="F658" s="36"/>
      <c r="G658" s="35" t="s">
        <v>31</v>
      </c>
      <c r="H658" s="37"/>
      <c r="I658" s="38">
        <f>4</f>
        <v>4</v>
      </c>
      <c r="J658" s="23"/>
      <c r="K658" s="39"/>
      <c r="L658" s="40"/>
      <c r="M658" s="41">
        <f>K658+L658</f>
        <v>0</v>
      </c>
      <c r="N658" s="41">
        <f t="shared" si="21"/>
        <v>0</v>
      </c>
      <c r="O658" s="41">
        <f>ROUND((I658*L658),2)</f>
        <v>0</v>
      </c>
      <c r="P658" s="41">
        <f>ROUND((I658*M658),2)</f>
        <v>0</v>
      </c>
      <c r="Q658" s="41"/>
      <c r="R658" s="23"/>
      <c r="XCY658"/>
      <c r="XCZ658"/>
      <c r="XDA658"/>
      <c r="XDB658"/>
      <c r="XDC658"/>
      <c r="XDD658"/>
      <c r="XDE658"/>
      <c r="XDF658"/>
      <c r="XDG658"/>
      <c r="XDH658"/>
      <c r="XDI658"/>
      <c r="XDJ658"/>
      <c r="XDK658"/>
      <c r="XDL658"/>
      <c r="XDM658"/>
      <c r="XDN658"/>
      <c r="XDO658"/>
      <c r="XDP658"/>
      <c r="XDQ658"/>
      <c r="XDR658"/>
      <c r="XDS658"/>
      <c r="XDT658"/>
      <c r="XDU658"/>
      <c r="XDV658"/>
      <c r="XDW658"/>
      <c r="XDX658"/>
      <c r="XDY658"/>
      <c r="XDZ658"/>
      <c r="XEA658"/>
      <c r="XEB658"/>
      <c r="XEC658"/>
      <c r="XED658"/>
      <c r="XEE658"/>
      <c r="XEF658"/>
      <c r="XEG658"/>
      <c r="XEH658"/>
      <c r="XEI658"/>
      <c r="XEJ658"/>
      <c r="XEK658"/>
      <c r="XEL658"/>
      <c r="XEM658"/>
      <c r="XEN658"/>
      <c r="XEO658"/>
      <c r="XEP658"/>
      <c r="XEQ658"/>
      <c r="XER658"/>
      <c r="XES658"/>
      <c r="XET658"/>
      <c r="XEU658"/>
      <c r="XEV658"/>
      <c r="XEW658"/>
      <c r="XEX658"/>
      <c r="XEY658"/>
      <c r="XEZ658"/>
      <c r="XFA658"/>
      <c r="XFB658"/>
      <c r="XFC658"/>
      <c r="XFD658"/>
    </row>
    <row r="659" spans="1:18 16327:16384" s="26" customFormat="1" ht="29.1" customHeight="1" outlineLevel="3" x14ac:dyDescent="0.25">
      <c r="A659" s="42" t="s">
        <v>1114</v>
      </c>
      <c r="B659" s="43"/>
      <c r="C659" s="66" t="s">
        <v>1115</v>
      </c>
      <c r="D659" s="66"/>
      <c r="E659" s="43" t="s">
        <v>34</v>
      </c>
      <c r="F659" s="44"/>
      <c r="G659" s="43" t="s">
        <v>31</v>
      </c>
      <c r="H659" s="45">
        <v>1</v>
      </c>
      <c r="I659" s="46">
        <f>4</f>
        <v>4</v>
      </c>
      <c r="J659" s="23"/>
      <c r="K659" s="47"/>
      <c r="L659" s="48"/>
      <c r="M659" s="49"/>
      <c r="N659" s="49">
        <f t="shared" si="21"/>
        <v>0</v>
      </c>
      <c r="O659" s="49"/>
      <c r="P659" s="49"/>
      <c r="Q659" s="49"/>
      <c r="R659" s="23"/>
      <c r="XCY659"/>
      <c r="XCZ659"/>
      <c r="XDA659"/>
      <c r="XDB659"/>
      <c r="XDC659"/>
      <c r="XDD659"/>
      <c r="XDE659"/>
      <c r="XDF659"/>
      <c r="XDG659"/>
      <c r="XDH659"/>
      <c r="XDI659"/>
      <c r="XDJ659"/>
      <c r="XDK659"/>
      <c r="XDL659"/>
      <c r="XDM659"/>
      <c r="XDN659"/>
      <c r="XDO659"/>
      <c r="XDP659"/>
      <c r="XDQ659"/>
      <c r="XDR659"/>
      <c r="XDS659"/>
      <c r="XDT659"/>
      <c r="XDU659"/>
      <c r="XDV659"/>
      <c r="XDW659"/>
      <c r="XDX659"/>
      <c r="XDY659"/>
      <c r="XDZ659"/>
      <c r="XEA659"/>
      <c r="XEB659"/>
      <c r="XEC659"/>
      <c r="XED659"/>
      <c r="XEE659"/>
      <c r="XEF659"/>
      <c r="XEG659"/>
      <c r="XEH659"/>
      <c r="XEI659"/>
      <c r="XEJ659"/>
      <c r="XEK659"/>
      <c r="XEL659"/>
      <c r="XEM659"/>
      <c r="XEN659"/>
      <c r="XEO659"/>
      <c r="XEP659"/>
      <c r="XEQ659"/>
      <c r="XER659"/>
      <c r="XES659"/>
      <c r="XET659"/>
      <c r="XEU659"/>
      <c r="XEV659"/>
      <c r="XEW659"/>
      <c r="XEX659"/>
      <c r="XEY659"/>
      <c r="XEZ659"/>
      <c r="XFA659"/>
      <c r="XFB659"/>
      <c r="XFC659"/>
      <c r="XFD659"/>
    </row>
    <row r="660" spans="1:18 16327:16384" s="26" customFormat="1" ht="29.1" customHeight="1" outlineLevel="2" x14ac:dyDescent="0.25">
      <c r="A660" s="34" t="s">
        <v>1116</v>
      </c>
      <c r="B660" s="35"/>
      <c r="C660" s="65" t="s">
        <v>1101</v>
      </c>
      <c r="D660" s="65"/>
      <c r="E660" s="35"/>
      <c r="F660" s="36"/>
      <c r="G660" s="35" t="s">
        <v>31</v>
      </c>
      <c r="H660" s="37"/>
      <c r="I660" s="38">
        <f>2</f>
        <v>2</v>
      </c>
      <c r="J660" s="23"/>
      <c r="K660" s="39"/>
      <c r="L660" s="40"/>
      <c r="M660" s="41">
        <f>K660+L660</f>
        <v>0</v>
      </c>
      <c r="N660" s="41">
        <f t="shared" si="21"/>
        <v>0</v>
      </c>
      <c r="O660" s="41">
        <f>ROUND((I660*L660),2)</f>
        <v>0</v>
      </c>
      <c r="P660" s="41">
        <f>ROUND((I660*M660),2)</f>
        <v>0</v>
      </c>
      <c r="Q660" s="41"/>
      <c r="R660" s="23"/>
      <c r="XCY660"/>
      <c r="XCZ660"/>
      <c r="XDA660"/>
      <c r="XDB660"/>
      <c r="XDC660"/>
      <c r="XDD660"/>
      <c r="XDE660"/>
      <c r="XDF660"/>
      <c r="XDG660"/>
      <c r="XDH660"/>
      <c r="XDI660"/>
      <c r="XDJ660"/>
      <c r="XDK660"/>
      <c r="XDL660"/>
      <c r="XDM660"/>
      <c r="XDN660"/>
      <c r="XDO660"/>
      <c r="XDP660"/>
      <c r="XDQ660"/>
      <c r="XDR660"/>
      <c r="XDS660"/>
      <c r="XDT660"/>
      <c r="XDU660"/>
      <c r="XDV660"/>
      <c r="XDW660"/>
      <c r="XDX660"/>
      <c r="XDY660"/>
      <c r="XDZ660"/>
      <c r="XEA660"/>
      <c r="XEB660"/>
      <c r="XEC660"/>
      <c r="XED660"/>
      <c r="XEE660"/>
      <c r="XEF660"/>
      <c r="XEG660"/>
      <c r="XEH660"/>
      <c r="XEI660"/>
      <c r="XEJ660"/>
      <c r="XEK660"/>
      <c r="XEL660"/>
      <c r="XEM660"/>
      <c r="XEN660"/>
      <c r="XEO660"/>
      <c r="XEP660"/>
      <c r="XEQ660"/>
      <c r="XER660"/>
      <c r="XES660"/>
      <c r="XET660"/>
      <c r="XEU660"/>
      <c r="XEV660"/>
      <c r="XEW660"/>
      <c r="XEX660"/>
      <c r="XEY660"/>
      <c r="XEZ660"/>
      <c r="XFA660"/>
      <c r="XFB660"/>
      <c r="XFC660"/>
      <c r="XFD660"/>
    </row>
    <row r="661" spans="1:18 16327:16384" s="26" customFormat="1" ht="29.1" customHeight="1" outlineLevel="3" x14ac:dyDescent="0.25">
      <c r="A661" s="42" t="s">
        <v>1117</v>
      </c>
      <c r="B661" s="43"/>
      <c r="C661" s="66" t="s">
        <v>1118</v>
      </c>
      <c r="D661" s="66"/>
      <c r="E661" s="43" t="s">
        <v>34</v>
      </c>
      <c r="F661" s="44"/>
      <c r="G661" s="43" t="s">
        <v>31</v>
      </c>
      <c r="H661" s="45">
        <v>1</v>
      </c>
      <c r="I661" s="46">
        <f>2</f>
        <v>2</v>
      </c>
      <c r="J661" s="23"/>
      <c r="K661" s="47"/>
      <c r="L661" s="48"/>
      <c r="M661" s="49"/>
      <c r="N661" s="49">
        <f t="shared" si="21"/>
        <v>0</v>
      </c>
      <c r="O661" s="49"/>
      <c r="P661" s="49"/>
      <c r="Q661" s="49"/>
      <c r="R661" s="23"/>
      <c r="XCY661"/>
      <c r="XCZ661"/>
      <c r="XDA661"/>
      <c r="XDB661"/>
      <c r="XDC661"/>
      <c r="XDD661"/>
      <c r="XDE661"/>
      <c r="XDF661"/>
      <c r="XDG661"/>
      <c r="XDH661"/>
      <c r="XDI661"/>
      <c r="XDJ661"/>
      <c r="XDK661"/>
      <c r="XDL661"/>
      <c r="XDM661"/>
      <c r="XDN661"/>
      <c r="XDO661"/>
      <c r="XDP661"/>
      <c r="XDQ661"/>
      <c r="XDR661"/>
      <c r="XDS661"/>
      <c r="XDT661"/>
      <c r="XDU661"/>
      <c r="XDV661"/>
      <c r="XDW661"/>
      <c r="XDX661"/>
      <c r="XDY661"/>
      <c r="XDZ661"/>
      <c r="XEA661"/>
      <c r="XEB661"/>
      <c r="XEC661"/>
      <c r="XED661"/>
      <c r="XEE661"/>
      <c r="XEF661"/>
      <c r="XEG661"/>
      <c r="XEH661"/>
      <c r="XEI661"/>
      <c r="XEJ661"/>
      <c r="XEK661"/>
      <c r="XEL661"/>
      <c r="XEM661"/>
      <c r="XEN661"/>
      <c r="XEO661"/>
      <c r="XEP661"/>
      <c r="XEQ661"/>
      <c r="XER661"/>
      <c r="XES661"/>
      <c r="XET661"/>
      <c r="XEU661"/>
      <c r="XEV661"/>
      <c r="XEW661"/>
      <c r="XEX661"/>
      <c r="XEY661"/>
      <c r="XEZ661"/>
      <c r="XFA661"/>
      <c r="XFB661"/>
      <c r="XFC661"/>
      <c r="XFD661"/>
    </row>
    <row r="662" spans="1:18 16327:16384" s="26" customFormat="1" ht="29.1" customHeight="1" outlineLevel="2" x14ac:dyDescent="0.25">
      <c r="A662" s="34" t="s">
        <v>1119</v>
      </c>
      <c r="B662" s="35"/>
      <c r="C662" s="65" t="s">
        <v>1120</v>
      </c>
      <c r="D662" s="65"/>
      <c r="E662" s="35"/>
      <c r="F662" s="36"/>
      <c r="G662" s="35" t="s">
        <v>31</v>
      </c>
      <c r="H662" s="37"/>
      <c r="I662" s="38">
        <f>3</f>
        <v>3</v>
      </c>
      <c r="J662" s="23"/>
      <c r="K662" s="39"/>
      <c r="L662" s="40"/>
      <c r="M662" s="41">
        <f>K662+L662</f>
        <v>0</v>
      </c>
      <c r="N662" s="41">
        <f t="shared" si="21"/>
        <v>0</v>
      </c>
      <c r="O662" s="41">
        <f>ROUND((I662*L662),2)</f>
        <v>0</v>
      </c>
      <c r="P662" s="41">
        <f>ROUND((I662*M662),2)</f>
        <v>0</v>
      </c>
      <c r="Q662" s="41"/>
      <c r="R662" s="23"/>
      <c r="XCY662"/>
      <c r="XCZ662"/>
      <c r="XDA662"/>
      <c r="XDB662"/>
      <c r="XDC662"/>
      <c r="XDD662"/>
      <c r="XDE662"/>
      <c r="XDF662"/>
      <c r="XDG662"/>
      <c r="XDH662"/>
      <c r="XDI662"/>
      <c r="XDJ662"/>
      <c r="XDK662"/>
      <c r="XDL662"/>
      <c r="XDM662"/>
      <c r="XDN662"/>
      <c r="XDO662"/>
      <c r="XDP662"/>
      <c r="XDQ662"/>
      <c r="XDR662"/>
      <c r="XDS662"/>
      <c r="XDT662"/>
      <c r="XDU662"/>
      <c r="XDV662"/>
      <c r="XDW662"/>
      <c r="XDX662"/>
      <c r="XDY662"/>
      <c r="XDZ662"/>
      <c r="XEA662"/>
      <c r="XEB662"/>
      <c r="XEC662"/>
      <c r="XED662"/>
      <c r="XEE662"/>
      <c r="XEF662"/>
      <c r="XEG662"/>
      <c r="XEH662"/>
      <c r="XEI662"/>
      <c r="XEJ662"/>
      <c r="XEK662"/>
      <c r="XEL662"/>
      <c r="XEM662"/>
      <c r="XEN662"/>
      <c r="XEO662"/>
      <c r="XEP662"/>
      <c r="XEQ662"/>
      <c r="XER662"/>
      <c r="XES662"/>
      <c r="XET662"/>
      <c r="XEU662"/>
      <c r="XEV662"/>
      <c r="XEW662"/>
      <c r="XEX662"/>
      <c r="XEY662"/>
      <c r="XEZ662"/>
      <c r="XFA662"/>
      <c r="XFB662"/>
      <c r="XFC662"/>
      <c r="XFD662"/>
    </row>
    <row r="663" spans="1:18 16327:16384" s="26" customFormat="1" ht="29.1" customHeight="1" outlineLevel="3" x14ac:dyDescent="0.25">
      <c r="A663" s="42" t="s">
        <v>1121</v>
      </c>
      <c r="B663" s="43"/>
      <c r="C663" s="66" t="s">
        <v>1122</v>
      </c>
      <c r="D663" s="66"/>
      <c r="E663" s="43" t="s">
        <v>34</v>
      </c>
      <c r="F663" s="44"/>
      <c r="G663" s="43" t="s">
        <v>31</v>
      </c>
      <c r="H663" s="45">
        <v>1</v>
      </c>
      <c r="I663" s="46">
        <f>3</f>
        <v>3</v>
      </c>
      <c r="J663" s="23"/>
      <c r="K663" s="47"/>
      <c r="L663" s="48"/>
      <c r="M663" s="49"/>
      <c r="N663" s="49">
        <f t="shared" si="21"/>
        <v>0</v>
      </c>
      <c r="O663" s="49"/>
      <c r="P663" s="49"/>
      <c r="Q663" s="49"/>
      <c r="R663" s="23"/>
      <c r="XCY663"/>
      <c r="XCZ663"/>
      <c r="XDA663"/>
      <c r="XDB663"/>
      <c r="XDC663"/>
      <c r="XDD663"/>
      <c r="XDE663"/>
      <c r="XDF663"/>
      <c r="XDG663"/>
      <c r="XDH663"/>
      <c r="XDI663"/>
      <c r="XDJ663"/>
      <c r="XDK663"/>
      <c r="XDL663"/>
      <c r="XDM663"/>
      <c r="XDN663"/>
      <c r="XDO663"/>
      <c r="XDP663"/>
      <c r="XDQ663"/>
      <c r="XDR663"/>
      <c r="XDS663"/>
      <c r="XDT663"/>
      <c r="XDU663"/>
      <c r="XDV663"/>
      <c r="XDW663"/>
      <c r="XDX663"/>
      <c r="XDY663"/>
      <c r="XDZ663"/>
      <c r="XEA663"/>
      <c r="XEB663"/>
      <c r="XEC663"/>
      <c r="XED663"/>
      <c r="XEE663"/>
      <c r="XEF663"/>
      <c r="XEG663"/>
      <c r="XEH663"/>
      <c r="XEI663"/>
      <c r="XEJ663"/>
      <c r="XEK663"/>
      <c r="XEL663"/>
      <c r="XEM663"/>
      <c r="XEN663"/>
      <c r="XEO663"/>
      <c r="XEP663"/>
      <c r="XEQ663"/>
      <c r="XER663"/>
      <c r="XES663"/>
      <c r="XET663"/>
      <c r="XEU663"/>
      <c r="XEV663"/>
      <c r="XEW663"/>
      <c r="XEX663"/>
      <c r="XEY663"/>
      <c r="XEZ663"/>
      <c r="XFA663"/>
      <c r="XFB663"/>
      <c r="XFC663"/>
      <c r="XFD663"/>
    </row>
    <row r="664" spans="1:18 16327:16384" s="26" customFormat="1" ht="29.1" customHeight="1" outlineLevel="2" x14ac:dyDescent="0.25">
      <c r="A664" s="34" t="s">
        <v>1123</v>
      </c>
      <c r="B664" s="35"/>
      <c r="C664" s="65" t="s">
        <v>1120</v>
      </c>
      <c r="D664" s="65"/>
      <c r="E664" s="35"/>
      <c r="F664" s="36"/>
      <c r="G664" s="35" t="s">
        <v>31</v>
      </c>
      <c r="H664" s="37"/>
      <c r="I664" s="38">
        <f>2</f>
        <v>2</v>
      </c>
      <c r="J664" s="23"/>
      <c r="K664" s="39"/>
      <c r="L664" s="40"/>
      <c r="M664" s="41">
        <f>K664+L664</f>
        <v>0</v>
      </c>
      <c r="N664" s="41">
        <f t="shared" si="21"/>
        <v>0</v>
      </c>
      <c r="O664" s="41">
        <f>ROUND((I664*L664),2)</f>
        <v>0</v>
      </c>
      <c r="P664" s="41">
        <f>ROUND((I664*M664),2)</f>
        <v>0</v>
      </c>
      <c r="Q664" s="41"/>
      <c r="R664" s="23"/>
      <c r="XCY664"/>
      <c r="XCZ664"/>
      <c r="XDA664"/>
      <c r="XDB664"/>
      <c r="XDC664"/>
      <c r="XDD664"/>
      <c r="XDE664"/>
      <c r="XDF664"/>
      <c r="XDG664"/>
      <c r="XDH664"/>
      <c r="XDI664"/>
      <c r="XDJ664"/>
      <c r="XDK664"/>
      <c r="XDL664"/>
      <c r="XDM664"/>
      <c r="XDN664"/>
      <c r="XDO664"/>
      <c r="XDP664"/>
      <c r="XDQ664"/>
      <c r="XDR664"/>
      <c r="XDS664"/>
      <c r="XDT664"/>
      <c r="XDU664"/>
      <c r="XDV664"/>
      <c r="XDW664"/>
      <c r="XDX664"/>
      <c r="XDY664"/>
      <c r="XDZ664"/>
      <c r="XEA664"/>
      <c r="XEB664"/>
      <c r="XEC664"/>
      <c r="XED664"/>
      <c r="XEE664"/>
      <c r="XEF664"/>
      <c r="XEG664"/>
      <c r="XEH664"/>
      <c r="XEI664"/>
      <c r="XEJ664"/>
      <c r="XEK664"/>
      <c r="XEL664"/>
      <c r="XEM664"/>
      <c r="XEN664"/>
      <c r="XEO664"/>
      <c r="XEP664"/>
      <c r="XEQ664"/>
      <c r="XER664"/>
      <c r="XES664"/>
      <c r="XET664"/>
      <c r="XEU664"/>
      <c r="XEV664"/>
      <c r="XEW664"/>
      <c r="XEX664"/>
      <c r="XEY664"/>
      <c r="XEZ664"/>
      <c r="XFA664"/>
      <c r="XFB664"/>
      <c r="XFC664"/>
      <c r="XFD664"/>
    </row>
    <row r="665" spans="1:18 16327:16384" s="26" customFormat="1" ht="29.1" customHeight="1" outlineLevel="3" x14ac:dyDescent="0.25">
      <c r="A665" s="42" t="s">
        <v>1124</v>
      </c>
      <c r="B665" s="43"/>
      <c r="C665" s="66" t="s">
        <v>1125</v>
      </c>
      <c r="D665" s="66"/>
      <c r="E665" s="43" t="s">
        <v>34</v>
      </c>
      <c r="F665" s="44"/>
      <c r="G665" s="43" t="s">
        <v>31</v>
      </c>
      <c r="H665" s="45">
        <v>1</v>
      </c>
      <c r="I665" s="46">
        <f>2</f>
        <v>2</v>
      </c>
      <c r="J665" s="23"/>
      <c r="K665" s="47"/>
      <c r="L665" s="48"/>
      <c r="M665" s="49"/>
      <c r="N665" s="49">
        <f t="shared" si="21"/>
        <v>0</v>
      </c>
      <c r="O665" s="49"/>
      <c r="P665" s="49"/>
      <c r="Q665" s="49"/>
      <c r="R665" s="23"/>
      <c r="XCY665"/>
      <c r="XCZ665"/>
      <c r="XDA665"/>
      <c r="XDB665"/>
      <c r="XDC665"/>
      <c r="XDD665"/>
      <c r="XDE665"/>
      <c r="XDF665"/>
      <c r="XDG665"/>
      <c r="XDH665"/>
      <c r="XDI665"/>
      <c r="XDJ665"/>
      <c r="XDK665"/>
      <c r="XDL665"/>
      <c r="XDM665"/>
      <c r="XDN665"/>
      <c r="XDO665"/>
      <c r="XDP665"/>
      <c r="XDQ665"/>
      <c r="XDR665"/>
      <c r="XDS665"/>
      <c r="XDT665"/>
      <c r="XDU665"/>
      <c r="XDV665"/>
      <c r="XDW665"/>
      <c r="XDX665"/>
      <c r="XDY665"/>
      <c r="XDZ665"/>
      <c r="XEA665"/>
      <c r="XEB665"/>
      <c r="XEC665"/>
      <c r="XED665"/>
      <c r="XEE665"/>
      <c r="XEF665"/>
      <c r="XEG665"/>
      <c r="XEH665"/>
      <c r="XEI665"/>
      <c r="XEJ665"/>
      <c r="XEK665"/>
      <c r="XEL665"/>
      <c r="XEM665"/>
      <c r="XEN665"/>
      <c r="XEO665"/>
      <c r="XEP665"/>
      <c r="XEQ665"/>
      <c r="XER665"/>
      <c r="XES665"/>
      <c r="XET665"/>
      <c r="XEU665"/>
      <c r="XEV665"/>
      <c r="XEW665"/>
      <c r="XEX665"/>
      <c r="XEY665"/>
      <c r="XEZ665"/>
      <c r="XFA665"/>
      <c r="XFB665"/>
      <c r="XFC665"/>
      <c r="XFD665"/>
    </row>
    <row r="666" spans="1:18 16327:16384" s="26" customFormat="1" ht="29.1" customHeight="1" outlineLevel="2" x14ac:dyDescent="0.25">
      <c r="A666" s="34" t="s">
        <v>1126</v>
      </c>
      <c r="B666" s="35"/>
      <c r="C666" s="65" t="s">
        <v>1120</v>
      </c>
      <c r="D666" s="65"/>
      <c r="E666" s="35"/>
      <c r="F666" s="36"/>
      <c r="G666" s="35" t="s">
        <v>31</v>
      </c>
      <c r="H666" s="37"/>
      <c r="I666" s="38">
        <f>2</f>
        <v>2</v>
      </c>
      <c r="J666" s="23"/>
      <c r="K666" s="39"/>
      <c r="L666" s="40"/>
      <c r="M666" s="41">
        <f>K666+L666</f>
        <v>0</v>
      </c>
      <c r="N666" s="41">
        <f t="shared" si="21"/>
        <v>0</v>
      </c>
      <c r="O666" s="41">
        <f>ROUND((I666*L666),2)</f>
        <v>0</v>
      </c>
      <c r="P666" s="41">
        <f>ROUND((I666*M666),2)</f>
        <v>0</v>
      </c>
      <c r="Q666" s="41"/>
      <c r="R666" s="23"/>
      <c r="XCY666"/>
      <c r="XCZ666"/>
      <c r="XDA666"/>
      <c r="XDB666"/>
      <c r="XDC666"/>
      <c r="XDD666"/>
      <c r="XDE666"/>
      <c r="XDF666"/>
      <c r="XDG666"/>
      <c r="XDH666"/>
      <c r="XDI666"/>
      <c r="XDJ666"/>
      <c r="XDK666"/>
      <c r="XDL666"/>
      <c r="XDM666"/>
      <c r="XDN666"/>
      <c r="XDO666"/>
      <c r="XDP666"/>
      <c r="XDQ666"/>
      <c r="XDR666"/>
      <c r="XDS666"/>
      <c r="XDT666"/>
      <c r="XDU666"/>
      <c r="XDV666"/>
      <c r="XDW666"/>
      <c r="XDX666"/>
      <c r="XDY666"/>
      <c r="XDZ666"/>
      <c r="XEA666"/>
      <c r="XEB666"/>
      <c r="XEC666"/>
      <c r="XED666"/>
      <c r="XEE666"/>
      <c r="XEF666"/>
      <c r="XEG666"/>
      <c r="XEH666"/>
      <c r="XEI666"/>
      <c r="XEJ666"/>
      <c r="XEK666"/>
      <c r="XEL666"/>
      <c r="XEM666"/>
      <c r="XEN666"/>
      <c r="XEO666"/>
      <c r="XEP666"/>
      <c r="XEQ666"/>
      <c r="XER666"/>
      <c r="XES666"/>
      <c r="XET666"/>
      <c r="XEU666"/>
      <c r="XEV666"/>
      <c r="XEW666"/>
      <c r="XEX666"/>
      <c r="XEY666"/>
      <c r="XEZ666"/>
      <c r="XFA666"/>
      <c r="XFB666"/>
      <c r="XFC666"/>
      <c r="XFD666"/>
    </row>
    <row r="667" spans="1:18 16327:16384" s="26" customFormat="1" ht="29.1" customHeight="1" outlineLevel="3" x14ac:dyDescent="0.25">
      <c r="A667" s="42" t="s">
        <v>1127</v>
      </c>
      <c r="B667" s="43"/>
      <c r="C667" s="66" t="s">
        <v>1128</v>
      </c>
      <c r="D667" s="66"/>
      <c r="E667" s="43" t="s">
        <v>34</v>
      </c>
      <c r="F667" s="44"/>
      <c r="G667" s="43" t="s">
        <v>31</v>
      </c>
      <c r="H667" s="45">
        <v>1</v>
      </c>
      <c r="I667" s="46">
        <f>2</f>
        <v>2</v>
      </c>
      <c r="J667" s="23"/>
      <c r="K667" s="47"/>
      <c r="L667" s="48"/>
      <c r="M667" s="49"/>
      <c r="N667" s="49">
        <f t="shared" si="21"/>
        <v>0</v>
      </c>
      <c r="O667" s="49"/>
      <c r="P667" s="49"/>
      <c r="Q667" s="49"/>
      <c r="R667" s="23"/>
      <c r="XCY667"/>
      <c r="XCZ667"/>
      <c r="XDA667"/>
      <c r="XDB667"/>
      <c r="XDC667"/>
      <c r="XDD667"/>
      <c r="XDE667"/>
      <c r="XDF667"/>
      <c r="XDG667"/>
      <c r="XDH667"/>
      <c r="XDI667"/>
      <c r="XDJ667"/>
      <c r="XDK667"/>
      <c r="XDL667"/>
      <c r="XDM667"/>
      <c r="XDN667"/>
      <c r="XDO667"/>
      <c r="XDP667"/>
      <c r="XDQ667"/>
      <c r="XDR667"/>
      <c r="XDS667"/>
      <c r="XDT667"/>
      <c r="XDU667"/>
      <c r="XDV667"/>
      <c r="XDW667"/>
      <c r="XDX667"/>
      <c r="XDY667"/>
      <c r="XDZ667"/>
      <c r="XEA667"/>
      <c r="XEB667"/>
      <c r="XEC667"/>
      <c r="XED667"/>
      <c r="XEE667"/>
      <c r="XEF667"/>
      <c r="XEG667"/>
      <c r="XEH667"/>
      <c r="XEI667"/>
      <c r="XEJ667"/>
      <c r="XEK667"/>
      <c r="XEL667"/>
      <c r="XEM667"/>
      <c r="XEN667"/>
      <c r="XEO667"/>
      <c r="XEP667"/>
      <c r="XEQ667"/>
      <c r="XER667"/>
      <c r="XES667"/>
      <c r="XET667"/>
      <c r="XEU667"/>
      <c r="XEV667"/>
      <c r="XEW667"/>
      <c r="XEX667"/>
      <c r="XEY667"/>
      <c r="XEZ667"/>
      <c r="XFA667"/>
      <c r="XFB667"/>
      <c r="XFC667"/>
      <c r="XFD667"/>
    </row>
    <row r="668" spans="1:18 16327:16384" s="26" customFormat="1" ht="29.1" customHeight="1" outlineLevel="2" x14ac:dyDescent="0.25">
      <c r="A668" s="34" t="s">
        <v>1129</v>
      </c>
      <c r="B668" s="35"/>
      <c r="C668" s="65" t="s">
        <v>1120</v>
      </c>
      <c r="D668" s="65"/>
      <c r="E668" s="35"/>
      <c r="F668" s="36"/>
      <c r="G668" s="35" t="s">
        <v>31</v>
      </c>
      <c r="H668" s="37"/>
      <c r="I668" s="38">
        <f>2</f>
        <v>2</v>
      </c>
      <c r="J668" s="23"/>
      <c r="K668" s="39"/>
      <c r="L668" s="40"/>
      <c r="M668" s="41">
        <f>K668+L668</f>
        <v>0</v>
      </c>
      <c r="N668" s="41">
        <f t="shared" si="21"/>
        <v>0</v>
      </c>
      <c r="O668" s="41">
        <f>ROUND((I668*L668),2)</f>
        <v>0</v>
      </c>
      <c r="P668" s="41">
        <f>ROUND((I668*M668),2)</f>
        <v>0</v>
      </c>
      <c r="Q668" s="41"/>
      <c r="R668" s="23"/>
      <c r="XCY668"/>
      <c r="XCZ668"/>
      <c r="XDA668"/>
      <c r="XDB668"/>
      <c r="XDC668"/>
      <c r="XDD668"/>
      <c r="XDE668"/>
      <c r="XDF668"/>
      <c r="XDG668"/>
      <c r="XDH668"/>
      <c r="XDI668"/>
      <c r="XDJ668"/>
      <c r="XDK668"/>
      <c r="XDL668"/>
      <c r="XDM668"/>
      <c r="XDN668"/>
      <c r="XDO668"/>
      <c r="XDP668"/>
      <c r="XDQ668"/>
      <c r="XDR668"/>
      <c r="XDS668"/>
      <c r="XDT668"/>
      <c r="XDU668"/>
      <c r="XDV668"/>
      <c r="XDW668"/>
      <c r="XDX668"/>
      <c r="XDY668"/>
      <c r="XDZ668"/>
      <c r="XEA668"/>
      <c r="XEB668"/>
      <c r="XEC668"/>
      <c r="XED668"/>
      <c r="XEE668"/>
      <c r="XEF668"/>
      <c r="XEG668"/>
      <c r="XEH668"/>
      <c r="XEI668"/>
      <c r="XEJ668"/>
      <c r="XEK668"/>
      <c r="XEL668"/>
      <c r="XEM668"/>
      <c r="XEN668"/>
      <c r="XEO668"/>
      <c r="XEP668"/>
      <c r="XEQ668"/>
      <c r="XER668"/>
      <c r="XES668"/>
      <c r="XET668"/>
      <c r="XEU668"/>
      <c r="XEV668"/>
      <c r="XEW668"/>
      <c r="XEX668"/>
      <c r="XEY668"/>
      <c r="XEZ668"/>
      <c r="XFA668"/>
      <c r="XFB668"/>
      <c r="XFC668"/>
      <c r="XFD668"/>
    </row>
    <row r="669" spans="1:18 16327:16384" s="26" customFormat="1" ht="29.1" customHeight="1" outlineLevel="3" x14ac:dyDescent="0.25">
      <c r="A669" s="42" t="s">
        <v>1130</v>
      </c>
      <c r="B669" s="43"/>
      <c r="C669" s="66" t="s">
        <v>1131</v>
      </c>
      <c r="D669" s="66"/>
      <c r="E669" s="43" t="s">
        <v>34</v>
      </c>
      <c r="F669" s="44"/>
      <c r="G669" s="43" t="s">
        <v>31</v>
      </c>
      <c r="H669" s="45">
        <v>1</v>
      </c>
      <c r="I669" s="46">
        <f>2</f>
        <v>2</v>
      </c>
      <c r="J669" s="23"/>
      <c r="K669" s="47"/>
      <c r="L669" s="48"/>
      <c r="M669" s="49"/>
      <c r="N669" s="49">
        <f t="shared" si="21"/>
        <v>0</v>
      </c>
      <c r="O669" s="49"/>
      <c r="P669" s="49"/>
      <c r="Q669" s="49"/>
      <c r="R669" s="23"/>
      <c r="XCY669"/>
      <c r="XCZ669"/>
      <c r="XDA669"/>
      <c r="XDB669"/>
      <c r="XDC669"/>
      <c r="XDD669"/>
      <c r="XDE669"/>
      <c r="XDF669"/>
      <c r="XDG669"/>
      <c r="XDH669"/>
      <c r="XDI669"/>
      <c r="XDJ669"/>
      <c r="XDK669"/>
      <c r="XDL669"/>
      <c r="XDM669"/>
      <c r="XDN669"/>
      <c r="XDO669"/>
      <c r="XDP669"/>
      <c r="XDQ669"/>
      <c r="XDR669"/>
      <c r="XDS669"/>
      <c r="XDT669"/>
      <c r="XDU669"/>
      <c r="XDV669"/>
      <c r="XDW669"/>
      <c r="XDX669"/>
      <c r="XDY669"/>
      <c r="XDZ669"/>
      <c r="XEA669"/>
      <c r="XEB669"/>
      <c r="XEC669"/>
      <c r="XED669"/>
      <c r="XEE669"/>
      <c r="XEF669"/>
      <c r="XEG669"/>
      <c r="XEH669"/>
      <c r="XEI669"/>
      <c r="XEJ669"/>
      <c r="XEK669"/>
      <c r="XEL669"/>
      <c r="XEM669"/>
      <c r="XEN669"/>
      <c r="XEO669"/>
      <c r="XEP669"/>
      <c r="XEQ669"/>
      <c r="XER669"/>
      <c r="XES669"/>
      <c r="XET669"/>
      <c r="XEU669"/>
      <c r="XEV669"/>
      <c r="XEW669"/>
      <c r="XEX669"/>
      <c r="XEY669"/>
      <c r="XEZ669"/>
      <c r="XFA669"/>
      <c r="XFB669"/>
      <c r="XFC669"/>
      <c r="XFD669"/>
    </row>
    <row r="670" spans="1:18 16327:16384" s="26" customFormat="1" ht="29.1" customHeight="1" outlineLevel="2" x14ac:dyDescent="0.25">
      <c r="A670" s="34" t="s">
        <v>1132</v>
      </c>
      <c r="B670" s="35"/>
      <c r="C670" s="65" t="s">
        <v>1120</v>
      </c>
      <c r="D670" s="65"/>
      <c r="E670" s="35"/>
      <c r="F670" s="36"/>
      <c r="G670" s="35" t="s">
        <v>31</v>
      </c>
      <c r="H670" s="37"/>
      <c r="I670" s="38">
        <f>1</f>
        <v>1</v>
      </c>
      <c r="J670" s="23"/>
      <c r="K670" s="39"/>
      <c r="L670" s="40"/>
      <c r="M670" s="41">
        <f>K670+L670</f>
        <v>0</v>
      </c>
      <c r="N670" s="41">
        <f t="shared" si="21"/>
        <v>0</v>
      </c>
      <c r="O670" s="41">
        <f>ROUND((I670*L670),2)</f>
        <v>0</v>
      </c>
      <c r="P670" s="41">
        <f>ROUND((I670*M670),2)</f>
        <v>0</v>
      </c>
      <c r="Q670" s="41"/>
      <c r="R670" s="23"/>
      <c r="XCY670"/>
      <c r="XCZ670"/>
      <c r="XDA670"/>
      <c r="XDB670"/>
      <c r="XDC670"/>
      <c r="XDD670"/>
      <c r="XDE670"/>
      <c r="XDF670"/>
      <c r="XDG670"/>
      <c r="XDH670"/>
      <c r="XDI670"/>
      <c r="XDJ670"/>
      <c r="XDK670"/>
      <c r="XDL670"/>
      <c r="XDM670"/>
      <c r="XDN670"/>
      <c r="XDO670"/>
      <c r="XDP670"/>
      <c r="XDQ670"/>
      <c r="XDR670"/>
      <c r="XDS670"/>
      <c r="XDT670"/>
      <c r="XDU670"/>
      <c r="XDV670"/>
      <c r="XDW670"/>
      <c r="XDX670"/>
      <c r="XDY670"/>
      <c r="XDZ670"/>
      <c r="XEA670"/>
      <c r="XEB670"/>
      <c r="XEC670"/>
      <c r="XED670"/>
      <c r="XEE670"/>
      <c r="XEF670"/>
      <c r="XEG670"/>
      <c r="XEH670"/>
      <c r="XEI670"/>
      <c r="XEJ670"/>
      <c r="XEK670"/>
      <c r="XEL670"/>
      <c r="XEM670"/>
      <c r="XEN670"/>
      <c r="XEO670"/>
      <c r="XEP670"/>
      <c r="XEQ670"/>
      <c r="XER670"/>
      <c r="XES670"/>
      <c r="XET670"/>
      <c r="XEU670"/>
      <c r="XEV670"/>
      <c r="XEW670"/>
      <c r="XEX670"/>
      <c r="XEY670"/>
      <c r="XEZ670"/>
      <c r="XFA670"/>
      <c r="XFB670"/>
      <c r="XFC670"/>
      <c r="XFD670"/>
    </row>
    <row r="671" spans="1:18 16327:16384" s="26" customFormat="1" ht="29.1" customHeight="1" outlineLevel="3" x14ac:dyDescent="0.25">
      <c r="A671" s="42" t="s">
        <v>1133</v>
      </c>
      <c r="B671" s="43"/>
      <c r="C671" s="66" t="s">
        <v>1134</v>
      </c>
      <c r="D671" s="66"/>
      <c r="E671" s="43" t="s">
        <v>34</v>
      </c>
      <c r="F671" s="44"/>
      <c r="G671" s="43" t="s">
        <v>31</v>
      </c>
      <c r="H671" s="45">
        <v>1</v>
      </c>
      <c r="I671" s="46">
        <f>1</f>
        <v>1</v>
      </c>
      <c r="J671" s="23"/>
      <c r="K671" s="47"/>
      <c r="L671" s="48"/>
      <c r="M671" s="49"/>
      <c r="N671" s="49">
        <f t="shared" si="21"/>
        <v>0</v>
      </c>
      <c r="O671" s="49"/>
      <c r="P671" s="49"/>
      <c r="Q671" s="49"/>
      <c r="R671" s="23"/>
      <c r="XCY671"/>
      <c r="XCZ671"/>
      <c r="XDA671"/>
      <c r="XDB671"/>
      <c r="XDC671"/>
      <c r="XDD671"/>
      <c r="XDE671"/>
      <c r="XDF671"/>
      <c r="XDG671"/>
      <c r="XDH671"/>
      <c r="XDI671"/>
      <c r="XDJ671"/>
      <c r="XDK671"/>
      <c r="XDL671"/>
      <c r="XDM671"/>
      <c r="XDN671"/>
      <c r="XDO671"/>
      <c r="XDP671"/>
      <c r="XDQ671"/>
      <c r="XDR671"/>
      <c r="XDS671"/>
      <c r="XDT671"/>
      <c r="XDU671"/>
      <c r="XDV671"/>
      <c r="XDW671"/>
      <c r="XDX671"/>
      <c r="XDY671"/>
      <c r="XDZ671"/>
      <c r="XEA671"/>
      <c r="XEB671"/>
      <c r="XEC671"/>
      <c r="XED671"/>
      <c r="XEE671"/>
      <c r="XEF671"/>
      <c r="XEG671"/>
      <c r="XEH671"/>
      <c r="XEI671"/>
      <c r="XEJ671"/>
      <c r="XEK671"/>
      <c r="XEL671"/>
      <c r="XEM671"/>
      <c r="XEN671"/>
      <c r="XEO671"/>
      <c r="XEP671"/>
      <c r="XEQ671"/>
      <c r="XER671"/>
      <c r="XES671"/>
      <c r="XET671"/>
      <c r="XEU671"/>
      <c r="XEV671"/>
      <c r="XEW671"/>
      <c r="XEX671"/>
      <c r="XEY671"/>
      <c r="XEZ671"/>
      <c r="XFA671"/>
      <c r="XFB671"/>
      <c r="XFC671"/>
      <c r="XFD671"/>
    </row>
    <row r="672" spans="1:18 16327:16384" s="26" customFormat="1" ht="29.1" customHeight="1" outlineLevel="2" x14ac:dyDescent="0.25">
      <c r="A672" s="34" t="s">
        <v>1135</v>
      </c>
      <c r="B672" s="35"/>
      <c r="C672" s="65" t="s">
        <v>1120</v>
      </c>
      <c r="D672" s="65"/>
      <c r="E672" s="35"/>
      <c r="F672" s="36"/>
      <c r="G672" s="35" t="s">
        <v>31</v>
      </c>
      <c r="H672" s="37"/>
      <c r="I672" s="38">
        <f>1</f>
        <v>1</v>
      </c>
      <c r="J672" s="23"/>
      <c r="K672" s="39"/>
      <c r="L672" s="40"/>
      <c r="M672" s="41">
        <f>K672+L672</f>
        <v>0</v>
      </c>
      <c r="N672" s="41">
        <f t="shared" si="21"/>
        <v>0</v>
      </c>
      <c r="O672" s="41">
        <f>ROUND((I672*L672),2)</f>
        <v>0</v>
      </c>
      <c r="P672" s="41">
        <f>ROUND((I672*M672),2)</f>
        <v>0</v>
      </c>
      <c r="Q672" s="41"/>
      <c r="R672" s="23"/>
      <c r="XCY672"/>
      <c r="XCZ672"/>
      <c r="XDA672"/>
      <c r="XDB672"/>
      <c r="XDC672"/>
      <c r="XDD672"/>
      <c r="XDE672"/>
      <c r="XDF672"/>
      <c r="XDG672"/>
      <c r="XDH672"/>
      <c r="XDI672"/>
      <c r="XDJ672"/>
      <c r="XDK672"/>
      <c r="XDL672"/>
      <c r="XDM672"/>
      <c r="XDN672"/>
      <c r="XDO672"/>
      <c r="XDP672"/>
      <c r="XDQ672"/>
      <c r="XDR672"/>
      <c r="XDS672"/>
      <c r="XDT672"/>
      <c r="XDU672"/>
      <c r="XDV672"/>
      <c r="XDW672"/>
      <c r="XDX672"/>
      <c r="XDY672"/>
      <c r="XDZ672"/>
      <c r="XEA672"/>
      <c r="XEB672"/>
      <c r="XEC672"/>
      <c r="XED672"/>
      <c r="XEE672"/>
      <c r="XEF672"/>
      <c r="XEG672"/>
      <c r="XEH672"/>
      <c r="XEI672"/>
      <c r="XEJ672"/>
      <c r="XEK672"/>
      <c r="XEL672"/>
      <c r="XEM672"/>
      <c r="XEN672"/>
      <c r="XEO672"/>
      <c r="XEP672"/>
      <c r="XEQ672"/>
      <c r="XER672"/>
      <c r="XES672"/>
      <c r="XET672"/>
      <c r="XEU672"/>
      <c r="XEV672"/>
      <c r="XEW672"/>
      <c r="XEX672"/>
      <c r="XEY672"/>
      <c r="XEZ672"/>
      <c r="XFA672"/>
      <c r="XFB672"/>
      <c r="XFC672"/>
      <c r="XFD672"/>
    </row>
    <row r="673" spans="1:18 16327:16384" s="26" customFormat="1" ht="29.1" customHeight="1" outlineLevel="3" x14ac:dyDescent="0.25">
      <c r="A673" s="42" t="s">
        <v>1136</v>
      </c>
      <c r="B673" s="43"/>
      <c r="C673" s="66" t="s">
        <v>1137</v>
      </c>
      <c r="D673" s="66"/>
      <c r="E673" s="43" t="s">
        <v>34</v>
      </c>
      <c r="F673" s="44"/>
      <c r="G673" s="43" t="s">
        <v>31</v>
      </c>
      <c r="H673" s="45">
        <v>1</v>
      </c>
      <c r="I673" s="46">
        <f>1</f>
        <v>1</v>
      </c>
      <c r="J673" s="23"/>
      <c r="K673" s="47"/>
      <c r="L673" s="48"/>
      <c r="M673" s="49"/>
      <c r="N673" s="49">
        <f t="shared" si="21"/>
        <v>0</v>
      </c>
      <c r="O673" s="49"/>
      <c r="P673" s="49"/>
      <c r="Q673" s="49"/>
      <c r="R673" s="23"/>
      <c r="XCY673"/>
      <c r="XCZ673"/>
      <c r="XDA673"/>
      <c r="XDB673"/>
      <c r="XDC673"/>
      <c r="XDD673"/>
      <c r="XDE673"/>
      <c r="XDF673"/>
      <c r="XDG673"/>
      <c r="XDH673"/>
      <c r="XDI673"/>
      <c r="XDJ673"/>
      <c r="XDK673"/>
      <c r="XDL673"/>
      <c r="XDM673"/>
      <c r="XDN673"/>
      <c r="XDO673"/>
      <c r="XDP673"/>
      <c r="XDQ673"/>
      <c r="XDR673"/>
      <c r="XDS673"/>
      <c r="XDT673"/>
      <c r="XDU673"/>
      <c r="XDV673"/>
      <c r="XDW673"/>
      <c r="XDX673"/>
      <c r="XDY673"/>
      <c r="XDZ673"/>
      <c r="XEA673"/>
      <c r="XEB673"/>
      <c r="XEC673"/>
      <c r="XED673"/>
      <c r="XEE673"/>
      <c r="XEF673"/>
      <c r="XEG673"/>
      <c r="XEH673"/>
      <c r="XEI673"/>
      <c r="XEJ673"/>
      <c r="XEK673"/>
      <c r="XEL673"/>
      <c r="XEM673"/>
      <c r="XEN673"/>
      <c r="XEO673"/>
      <c r="XEP673"/>
      <c r="XEQ673"/>
      <c r="XER673"/>
      <c r="XES673"/>
      <c r="XET673"/>
      <c r="XEU673"/>
      <c r="XEV673"/>
      <c r="XEW673"/>
      <c r="XEX673"/>
      <c r="XEY673"/>
      <c r="XEZ673"/>
      <c r="XFA673"/>
      <c r="XFB673"/>
      <c r="XFC673"/>
      <c r="XFD673"/>
    </row>
    <row r="674" spans="1:18 16327:16384" s="26" customFormat="1" ht="29.1" customHeight="1" outlineLevel="2" x14ac:dyDescent="0.25">
      <c r="A674" s="34" t="s">
        <v>1138</v>
      </c>
      <c r="B674" s="35"/>
      <c r="C674" s="65" t="s">
        <v>1120</v>
      </c>
      <c r="D674" s="65"/>
      <c r="E674" s="35"/>
      <c r="F674" s="36"/>
      <c r="G674" s="35" t="s">
        <v>31</v>
      </c>
      <c r="H674" s="37"/>
      <c r="I674" s="38">
        <f>1</f>
        <v>1</v>
      </c>
      <c r="J674" s="23"/>
      <c r="K674" s="39"/>
      <c r="L674" s="40"/>
      <c r="M674" s="41">
        <f>K674+L674</f>
        <v>0</v>
      </c>
      <c r="N674" s="41">
        <f t="shared" si="21"/>
        <v>0</v>
      </c>
      <c r="O674" s="41">
        <f>ROUND((I674*L674),2)</f>
        <v>0</v>
      </c>
      <c r="P674" s="41">
        <f>ROUND((I674*M674),2)</f>
        <v>0</v>
      </c>
      <c r="Q674" s="41"/>
      <c r="R674" s="23"/>
      <c r="XCY674"/>
      <c r="XCZ674"/>
      <c r="XDA674"/>
      <c r="XDB674"/>
      <c r="XDC674"/>
      <c r="XDD674"/>
      <c r="XDE674"/>
      <c r="XDF674"/>
      <c r="XDG674"/>
      <c r="XDH674"/>
      <c r="XDI674"/>
      <c r="XDJ674"/>
      <c r="XDK674"/>
      <c r="XDL674"/>
      <c r="XDM674"/>
      <c r="XDN674"/>
      <c r="XDO674"/>
      <c r="XDP674"/>
      <c r="XDQ674"/>
      <c r="XDR674"/>
      <c r="XDS674"/>
      <c r="XDT674"/>
      <c r="XDU674"/>
      <c r="XDV674"/>
      <c r="XDW674"/>
      <c r="XDX674"/>
      <c r="XDY674"/>
      <c r="XDZ674"/>
      <c r="XEA674"/>
      <c r="XEB674"/>
      <c r="XEC674"/>
      <c r="XED674"/>
      <c r="XEE674"/>
      <c r="XEF674"/>
      <c r="XEG674"/>
      <c r="XEH674"/>
      <c r="XEI674"/>
      <c r="XEJ674"/>
      <c r="XEK674"/>
      <c r="XEL674"/>
      <c r="XEM674"/>
      <c r="XEN674"/>
      <c r="XEO674"/>
      <c r="XEP674"/>
      <c r="XEQ674"/>
      <c r="XER674"/>
      <c r="XES674"/>
      <c r="XET674"/>
      <c r="XEU674"/>
      <c r="XEV674"/>
      <c r="XEW674"/>
      <c r="XEX674"/>
      <c r="XEY674"/>
      <c r="XEZ674"/>
      <c r="XFA674"/>
      <c r="XFB674"/>
      <c r="XFC674"/>
      <c r="XFD674"/>
    </row>
    <row r="675" spans="1:18 16327:16384" s="26" customFormat="1" ht="29.1" customHeight="1" outlineLevel="3" x14ac:dyDescent="0.25">
      <c r="A675" s="42" t="s">
        <v>1139</v>
      </c>
      <c r="B675" s="43"/>
      <c r="C675" s="66" t="s">
        <v>1140</v>
      </c>
      <c r="D675" s="66"/>
      <c r="E675" s="43" t="s">
        <v>34</v>
      </c>
      <c r="F675" s="44"/>
      <c r="G675" s="43" t="s">
        <v>31</v>
      </c>
      <c r="H675" s="45">
        <v>1</v>
      </c>
      <c r="I675" s="46">
        <f>1</f>
        <v>1</v>
      </c>
      <c r="J675" s="23"/>
      <c r="K675" s="47"/>
      <c r="L675" s="48"/>
      <c r="M675" s="49"/>
      <c r="N675" s="49">
        <f t="shared" si="21"/>
        <v>0</v>
      </c>
      <c r="O675" s="49"/>
      <c r="P675" s="49"/>
      <c r="Q675" s="49"/>
      <c r="R675" s="23"/>
      <c r="XCY675"/>
      <c r="XCZ675"/>
      <c r="XDA675"/>
      <c r="XDB675"/>
      <c r="XDC675"/>
      <c r="XDD675"/>
      <c r="XDE675"/>
      <c r="XDF675"/>
      <c r="XDG675"/>
      <c r="XDH675"/>
      <c r="XDI675"/>
      <c r="XDJ675"/>
      <c r="XDK675"/>
      <c r="XDL675"/>
      <c r="XDM675"/>
      <c r="XDN675"/>
      <c r="XDO675"/>
      <c r="XDP675"/>
      <c r="XDQ675"/>
      <c r="XDR675"/>
      <c r="XDS675"/>
      <c r="XDT675"/>
      <c r="XDU675"/>
      <c r="XDV675"/>
      <c r="XDW675"/>
      <c r="XDX675"/>
      <c r="XDY675"/>
      <c r="XDZ675"/>
      <c r="XEA675"/>
      <c r="XEB675"/>
      <c r="XEC675"/>
      <c r="XED675"/>
      <c r="XEE675"/>
      <c r="XEF675"/>
      <c r="XEG675"/>
      <c r="XEH675"/>
      <c r="XEI675"/>
      <c r="XEJ675"/>
      <c r="XEK675"/>
      <c r="XEL675"/>
      <c r="XEM675"/>
      <c r="XEN675"/>
      <c r="XEO675"/>
      <c r="XEP675"/>
      <c r="XEQ675"/>
      <c r="XER675"/>
      <c r="XES675"/>
      <c r="XET675"/>
      <c r="XEU675"/>
      <c r="XEV675"/>
      <c r="XEW675"/>
      <c r="XEX675"/>
      <c r="XEY675"/>
      <c r="XEZ675"/>
      <c r="XFA675"/>
      <c r="XFB675"/>
      <c r="XFC675"/>
      <c r="XFD675"/>
    </row>
    <row r="676" spans="1:18 16327:16384" s="26" customFormat="1" ht="29.1" customHeight="1" outlineLevel="2" x14ac:dyDescent="0.25">
      <c r="A676" s="34" t="s">
        <v>1141</v>
      </c>
      <c r="B676" s="35"/>
      <c r="C676" s="65" t="s">
        <v>1120</v>
      </c>
      <c r="D676" s="65"/>
      <c r="E676" s="35"/>
      <c r="F676" s="36"/>
      <c r="G676" s="35" t="s">
        <v>31</v>
      </c>
      <c r="H676" s="37"/>
      <c r="I676" s="38">
        <f>1</f>
        <v>1</v>
      </c>
      <c r="J676" s="23"/>
      <c r="K676" s="39"/>
      <c r="L676" s="40"/>
      <c r="M676" s="41">
        <f>K676+L676</f>
        <v>0</v>
      </c>
      <c r="N676" s="41">
        <f t="shared" si="21"/>
        <v>0</v>
      </c>
      <c r="O676" s="41">
        <f>ROUND((I676*L676),2)</f>
        <v>0</v>
      </c>
      <c r="P676" s="41">
        <f>ROUND((I676*M676),2)</f>
        <v>0</v>
      </c>
      <c r="Q676" s="41"/>
      <c r="R676" s="23"/>
      <c r="XCY676"/>
      <c r="XCZ676"/>
      <c r="XDA676"/>
      <c r="XDB676"/>
      <c r="XDC676"/>
      <c r="XDD676"/>
      <c r="XDE676"/>
      <c r="XDF676"/>
      <c r="XDG676"/>
      <c r="XDH676"/>
      <c r="XDI676"/>
      <c r="XDJ676"/>
      <c r="XDK676"/>
      <c r="XDL676"/>
      <c r="XDM676"/>
      <c r="XDN676"/>
      <c r="XDO676"/>
      <c r="XDP676"/>
      <c r="XDQ676"/>
      <c r="XDR676"/>
      <c r="XDS676"/>
      <c r="XDT676"/>
      <c r="XDU676"/>
      <c r="XDV676"/>
      <c r="XDW676"/>
      <c r="XDX676"/>
      <c r="XDY676"/>
      <c r="XDZ676"/>
      <c r="XEA676"/>
      <c r="XEB676"/>
      <c r="XEC676"/>
      <c r="XED676"/>
      <c r="XEE676"/>
      <c r="XEF676"/>
      <c r="XEG676"/>
      <c r="XEH676"/>
      <c r="XEI676"/>
      <c r="XEJ676"/>
      <c r="XEK676"/>
      <c r="XEL676"/>
      <c r="XEM676"/>
      <c r="XEN676"/>
      <c r="XEO676"/>
      <c r="XEP676"/>
      <c r="XEQ676"/>
      <c r="XER676"/>
      <c r="XES676"/>
      <c r="XET676"/>
      <c r="XEU676"/>
      <c r="XEV676"/>
      <c r="XEW676"/>
      <c r="XEX676"/>
      <c r="XEY676"/>
      <c r="XEZ676"/>
      <c r="XFA676"/>
      <c r="XFB676"/>
      <c r="XFC676"/>
      <c r="XFD676"/>
    </row>
    <row r="677" spans="1:18 16327:16384" s="26" customFormat="1" ht="29.1" customHeight="1" outlineLevel="3" x14ac:dyDescent="0.25">
      <c r="A677" s="42" t="s">
        <v>1142</v>
      </c>
      <c r="B677" s="43"/>
      <c r="C677" s="66" t="s">
        <v>1143</v>
      </c>
      <c r="D677" s="66"/>
      <c r="E677" s="43" t="s">
        <v>34</v>
      </c>
      <c r="F677" s="44"/>
      <c r="G677" s="43" t="s">
        <v>31</v>
      </c>
      <c r="H677" s="45">
        <v>1</v>
      </c>
      <c r="I677" s="46">
        <f>1</f>
        <v>1</v>
      </c>
      <c r="J677" s="23"/>
      <c r="K677" s="47"/>
      <c r="L677" s="48"/>
      <c r="M677" s="49"/>
      <c r="N677" s="49">
        <f t="shared" si="21"/>
        <v>0</v>
      </c>
      <c r="O677" s="49"/>
      <c r="P677" s="49"/>
      <c r="Q677" s="49"/>
      <c r="R677" s="23"/>
      <c r="XCY677"/>
      <c r="XCZ677"/>
      <c r="XDA677"/>
      <c r="XDB677"/>
      <c r="XDC677"/>
      <c r="XDD677"/>
      <c r="XDE677"/>
      <c r="XDF677"/>
      <c r="XDG677"/>
      <c r="XDH677"/>
      <c r="XDI677"/>
      <c r="XDJ677"/>
      <c r="XDK677"/>
      <c r="XDL677"/>
      <c r="XDM677"/>
      <c r="XDN677"/>
      <c r="XDO677"/>
      <c r="XDP677"/>
      <c r="XDQ677"/>
      <c r="XDR677"/>
      <c r="XDS677"/>
      <c r="XDT677"/>
      <c r="XDU677"/>
      <c r="XDV677"/>
      <c r="XDW677"/>
      <c r="XDX677"/>
      <c r="XDY677"/>
      <c r="XDZ677"/>
      <c r="XEA677"/>
      <c r="XEB677"/>
      <c r="XEC677"/>
      <c r="XED677"/>
      <c r="XEE677"/>
      <c r="XEF677"/>
      <c r="XEG677"/>
      <c r="XEH677"/>
      <c r="XEI677"/>
      <c r="XEJ677"/>
      <c r="XEK677"/>
      <c r="XEL677"/>
      <c r="XEM677"/>
      <c r="XEN677"/>
      <c r="XEO677"/>
      <c r="XEP677"/>
      <c r="XEQ677"/>
      <c r="XER677"/>
      <c r="XES677"/>
      <c r="XET677"/>
      <c r="XEU677"/>
      <c r="XEV677"/>
      <c r="XEW677"/>
      <c r="XEX677"/>
      <c r="XEY677"/>
      <c r="XEZ677"/>
      <c r="XFA677"/>
      <c r="XFB677"/>
      <c r="XFC677"/>
      <c r="XFD677"/>
    </row>
    <row r="678" spans="1:18 16327:16384" s="26" customFormat="1" ht="29.1" customHeight="1" outlineLevel="2" x14ac:dyDescent="0.25">
      <c r="A678" s="34" t="s">
        <v>1144</v>
      </c>
      <c r="B678" s="35"/>
      <c r="C678" s="65" t="s">
        <v>1120</v>
      </c>
      <c r="D678" s="65"/>
      <c r="E678" s="35"/>
      <c r="F678" s="36"/>
      <c r="G678" s="35" t="s">
        <v>31</v>
      </c>
      <c r="H678" s="37"/>
      <c r="I678" s="38">
        <f>1</f>
        <v>1</v>
      </c>
      <c r="J678" s="23"/>
      <c r="K678" s="39"/>
      <c r="L678" s="40"/>
      <c r="M678" s="41">
        <f>K678+L678</f>
        <v>0</v>
      </c>
      <c r="N678" s="41">
        <f t="shared" si="21"/>
        <v>0</v>
      </c>
      <c r="O678" s="41">
        <f>ROUND((I678*L678),2)</f>
        <v>0</v>
      </c>
      <c r="P678" s="41">
        <f>ROUND((I678*M678),2)</f>
        <v>0</v>
      </c>
      <c r="Q678" s="41"/>
      <c r="R678" s="23"/>
      <c r="XCY678"/>
      <c r="XCZ678"/>
      <c r="XDA678"/>
      <c r="XDB678"/>
      <c r="XDC678"/>
      <c r="XDD678"/>
      <c r="XDE678"/>
      <c r="XDF678"/>
      <c r="XDG678"/>
      <c r="XDH678"/>
      <c r="XDI678"/>
      <c r="XDJ678"/>
      <c r="XDK678"/>
      <c r="XDL678"/>
      <c r="XDM678"/>
      <c r="XDN678"/>
      <c r="XDO678"/>
      <c r="XDP678"/>
      <c r="XDQ678"/>
      <c r="XDR678"/>
      <c r="XDS678"/>
      <c r="XDT678"/>
      <c r="XDU678"/>
      <c r="XDV678"/>
      <c r="XDW678"/>
      <c r="XDX678"/>
      <c r="XDY678"/>
      <c r="XDZ678"/>
      <c r="XEA678"/>
      <c r="XEB678"/>
      <c r="XEC678"/>
      <c r="XED678"/>
      <c r="XEE678"/>
      <c r="XEF678"/>
      <c r="XEG678"/>
      <c r="XEH678"/>
      <c r="XEI678"/>
      <c r="XEJ678"/>
      <c r="XEK678"/>
      <c r="XEL678"/>
      <c r="XEM678"/>
      <c r="XEN678"/>
      <c r="XEO678"/>
      <c r="XEP678"/>
      <c r="XEQ678"/>
      <c r="XER678"/>
      <c r="XES678"/>
      <c r="XET678"/>
      <c r="XEU678"/>
      <c r="XEV678"/>
      <c r="XEW678"/>
      <c r="XEX678"/>
      <c r="XEY678"/>
      <c r="XEZ678"/>
      <c r="XFA678"/>
      <c r="XFB678"/>
      <c r="XFC678"/>
      <c r="XFD678"/>
    </row>
    <row r="679" spans="1:18 16327:16384" s="26" customFormat="1" ht="29.1" customHeight="1" outlineLevel="3" x14ac:dyDescent="0.25">
      <c r="A679" s="42" t="s">
        <v>1145</v>
      </c>
      <c r="B679" s="43"/>
      <c r="C679" s="66" t="s">
        <v>1146</v>
      </c>
      <c r="D679" s="66"/>
      <c r="E679" s="43" t="s">
        <v>34</v>
      </c>
      <c r="F679" s="44"/>
      <c r="G679" s="43" t="s">
        <v>31</v>
      </c>
      <c r="H679" s="45">
        <v>1</v>
      </c>
      <c r="I679" s="46">
        <f>1</f>
        <v>1</v>
      </c>
      <c r="J679" s="23"/>
      <c r="K679" s="47"/>
      <c r="L679" s="48"/>
      <c r="M679" s="49"/>
      <c r="N679" s="49">
        <f t="shared" si="21"/>
        <v>0</v>
      </c>
      <c r="O679" s="49"/>
      <c r="P679" s="49"/>
      <c r="Q679" s="49"/>
      <c r="R679" s="23"/>
      <c r="XCY679"/>
      <c r="XCZ679"/>
      <c r="XDA679"/>
      <c r="XDB679"/>
      <c r="XDC679"/>
      <c r="XDD679"/>
      <c r="XDE679"/>
      <c r="XDF679"/>
      <c r="XDG679"/>
      <c r="XDH679"/>
      <c r="XDI679"/>
      <c r="XDJ679"/>
      <c r="XDK679"/>
      <c r="XDL679"/>
      <c r="XDM679"/>
      <c r="XDN679"/>
      <c r="XDO679"/>
      <c r="XDP679"/>
      <c r="XDQ679"/>
      <c r="XDR679"/>
      <c r="XDS679"/>
      <c r="XDT679"/>
      <c r="XDU679"/>
      <c r="XDV679"/>
      <c r="XDW679"/>
      <c r="XDX679"/>
      <c r="XDY679"/>
      <c r="XDZ679"/>
      <c r="XEA679"/>
      <c r="XEB679"/>
      <c r="XEC679"/>
      <c r="XED679"/>
      <c r="XEE679"/>
      <c r="XEF679"/>
      <c r="XEG679"/>
      <c r="XEH679"/>
      <c r="XEI679"/>
      <c r="XEJ679"/>
      <c r="XEK679"/>
      <c r="XEL679"/>
      <c r="XEM679"/>
      <c r="XEN679"/>
      <c r="XEO679"/>
      <c r="XEP679"/>
      <c r="XEQ679"/>
      <c r="XER679"/>
      <c r="XES679"/>
      <c r="XET679"/>
      <c r="XEU679"/>
      <c r="XEV679"/>
      <c r="XEW679"/>
      <c r="XEX679"/>
      <c r="XEY679"/>
      <c r="XEZ679"/>
      <c r="XFA679"/>
      <c r="XFB679"/>
      <c r="XFC679"/>
      <c r="XFD679"/>
    </row>
    <row r="680" spans="1:18 16327:16384" s="26" customFormat="1" ht="29.1" customHeight="1" outlineLevel="2" x14ac:dyDescent="0.25">
      <c r="A680" s="34" t="s">
        <v>1147</v>
      </c>
      <c r="B680" s="35"/>
      <c r="C680" s="65" t="s">
        <v>433</v>
      </c>
      <c r="D680" s="65"/>
      <c r="E680" s="35"/>
      <c r="F680" s="36" t="s">
        <v>1148</v>
      </c>
      <c r="G680" s="35" t="s">
        <v>31</v>
      </c>
      <c r="H680" s="37"/>
      <c r="I680" s="38">
        <f>10</f>
        <v>10</v>
      </c>
      <c r="J680" s="23"/>
      <c r="K680" s="39"/>
      <c r="L680" s="40"/>
      <c r="M680" s="41">
        <f>K680+L680</f>
        <v>0</v>
      </c>
      <c r="N680" s="41">
        <f t="shared" si="21"/>
        <v>0</v>
      </c>
      <c r="O680" s="41">
        <f>ROUND((I680*L680),2)</f>
        <v>0</v>
      </c>
      <c r="P680" s="41">
        <f>ROUND((I680*M680),2)</f>
        <v>0</v>
      </c>
      <c r="Q680" s="41"/>
      <c r="R680" s="23"/>
      <c r="XCY680"/>
      <c r="XCZ680"/>
      <c r="XDA680"/>
      <c r="XDB680"/>
      <c r="XDC680"/>
      <c r="XDD680"/>
      <c r="XDE680"/>
      <c r="XDF680"/>
      <c r="XDG680"/>
      <c r="XDH680"/>
      <c r="XDI680"/>
      <c r="XDJ680"/>
      <c r="XDK680"/>
      <c r="XDL680"/>
      <c r="XDM680"/>
      <c r="XDN680"/>
      <c r="XDO680"/>
      <c r="XDP680"/>
      <c r="XDQ680"/>
      <c r="XDR680"/>
      <c r="XDS680"/>
      <c r="XDT680"/>
      <c r="XDU680"/>
      <c r="XDV680"/>
      <c r="XDW680"/>
      <c r="XDX680"/>
      <c r="XDY680"/>
      <c r="XDZ680"/>
      <c r="XEA680"/>
      <c r="XEB680"/>
      <c r="XEC680"/>
      <c r="XED680"/>
      <c r="XEE680"/>
      <c r="XEF680"/>
      <c r="XEG680"/>
      <c r="XEH680"/>
      <c r="XEI680"/>
      <c r="XEJ680"/>
      <c r="XEK680"/>
      <c r="XEL680"/>
      <c r="XEM680"/>
      <c r="XEN680"/>
      <c r="XEO680"/>
      <c r="XEP680"/>
      <c r="XEQ680"/>
      <c r="XER680"/>
      <c r="XES680"/>
      <c r="XET680"/>
      <c r="XEU680"/>
      <c r="XEV680"/>
      <c r="XEW680"/>
      <c r="XEX680"/>
      <c r="XEY680"/>
      <c r="XEZ680"/>
      <c r="XFA680"/>
      <c r="XFB680"/>
      <c r="XFC680"/>
      <c r="XFD680"/>
    </row>
    <row r="681" spans="1:18 16327:16384" s="26" customFormat="1" ht="29.1" customHeight="1" outlineLevel="3" x14ac:dyDescent="0.25">
      <c r="A681" s="42" t="s">
        <v>1149</v>
      </c>
      <c r="B681" s="43"/>
      <c r="C681" s="66" t="s">
        <v>1150</v>
      </c>
      <c r="D681" s="66"/>
      <c r="E681" s="43" t="s">
        <v>34</v>
      </c>
      <c r="F681" s="44"/>
      <c r="G681" s="43" t="s">
        <v>31</v>
      </c>
      <c r="H681" s="45">
        <v>1</v>
      </c>
      <c r="I681" s="46">
        <f>10</f>
        <v>10</v>
      </c>
      <c r="J681" s="23"/>
      <c r="K681" s="47"/>
      <c r="L681" s="48"/>
      <c r="M681" s="49"/>
      <c r="N681" s="49">
        <f t="shared" si="21"/>
        <v>0</v>
      </c>
      <c r="O681" s="49"/>
      <c r="P681" s="49"/>
      <c r="Q681" s="49"/>
      <c r="R681" s="23"/>
      <c r="XCY681"/>
      <c r="XCZ681"/>
      <c r="XDA681"/>
      <c r="XDB681"/>
      <c r="XDC681"/>
      <c r="XDD681"/>
      <c r="XDE681"/>
      <c r="XDF681"/>
      <c r="XDG681"/>
      <c r="XDH681"/>
      <c r="XDI681"/>
      <c r="XDJ681"/>
      <c r="XDK681"/>
      <c r="XDL681"/>
      <c r="XDM681"/>
      <c r="XDN681"/>
      <c r="XDO681"/>
      <c r="XDP681"/>
      <c r="XDQ681"/>
      <c r="XDR681"/>
      <c r="XDS681"/>
      <c r="XDT681"/>
      <c r="XDU681"/>
      <c r="XDV681"/>
      <c r="XDW681"/>
      <c r="XDX681"/>
      <c r="XDY681"/>
      <c r="XDZ681"/>
      <c r="XEA681"/>
      <c r="XEB681"/>
      <c r="XEC681"/>
      <c r="XED681"/>
      <c r="XEE681"/>
      <c r="XEF681"/>
      <c r="XEG681"/>
      <c r="XEH681"/>
      <c r="XEI681"/>
      <c r="XEJ681"/>
      <c r="XEK681"/>
      <c r="XEL681"/>
      <c r="XEM681"/>
      <c r="XEN681"/>
      <c r="XEO681"/>
      <c r="XEP681"/>
      <c r="XEQ681"/>
      <c r="XER681"/>
      <c r="XES681"/>
      <c r="XET681"/>
      <c r="XEU681"/>
      <c r="XEV681"/>
      <c r="XEW681"/>
      <c r="XEX681"/>
      <c r="XEY681"/>
      <c r="XEZ681"/>
      <c r="XFA681"/>
      <c r="XFB681"/>
      <c r="XFC681"/>
      <c r="XFD681"/>
    </row>
    <row r="682" spans="1:18 16327:16384" s="26" customFormat="1" ht="29.1" customHeight="1" outlineLevel="2" x14ac:dyDescent="0.25">
      <c r="A682" s="34" t="s">
        <v>1151</v>
      </c>
      <c r="B682" s="35"/>
      <c r="C682" s="65" t="s">
        <v>1152</v>
      </c>
      <c r="D682" s="65"/>
      <c r="E682" s="35"/>
      <c r="F682" s="36" t="s">
        <v>1153</v>
      </c>
      <c r="G682" s="35" t="s">
        <v>31</v>
      </c>
      <c r="H682" s="37"/>
      <c r="I682" s="38">
        <f>7</f>
        <v>7</v>
      </c>
      <c r="J682" s="23"/>
      <c r="K682" s="39"/>
      <c r="L682" s="40"/>
      <c r="M682" s="41">
        <f>K682+L682</f>
        <v>0</v>
      </c>
      <c r="N682" s="41">
        <f t="shared" si="21"/>
        <v>0</v>
      </c>
      <c r="O682" s="41">
        <f>ROUND((I682*L682),2)</f>
        <v>0</v>
      </c>
      <c r="P682" s="41">
        <f>ROUND((I682*M682),2)</f>
        <v>0</v>
      </c>
      <c r="Q682" s="41"/>
      <c r="R682" s="23"/>
      <c r="XCY682"/>
      <c r="XCZ682"/>
      <c r="XDA682"/>
      <c r="XDB682"/>
      <c r="XDC682"/>
      <c r="XDD682"/>
      <c r="XDE682"/>
      <c r="XDF682"/>
      <c r="XDG682"/>
      <c r="XDH682"/>
      <c r="XDI682"/>
      <c r="XDJ682"/>
      <c r="XDK682"/>
      <c r="XDL682"/>
      <c r="XDM682"/>
      <c r="XDN682"/>
      <c r="XDO682"/>
      <c r="XDP682"/>
      <c r="XDQ682"/>
      <c r="XDR682"/>
      <c r="XDS682"/>
      <c r="XDT682"/>
      <c r="XDU682"/>
      <c r="XDV682"/>
      <c r="XDW682"/>
      <c r="XDX682"/>
      <c r="XDY682"/>
      <c r="XDZ682"/>
      <c r="XEA682"/>
      <c r="XEB682"/>
      <c r="XEC682"/>
      <c r="XED682"/>
      <c r="XEE682"/>
      <c r="XEF682"/>
      <c r="XEG682"/>
      <c r="XEH682"/>
      <c r="XEI682"/>
      <c r="XEJ682"/>
      <c r="XEK682"/>
      <c r="XEL682"/>
      <c r="XEM682"/>
      <c r="XEN682"/>
      <c r="XEO682"/>
      <c r="XEP682"/>
      <c r="XEQ682"/>
      <c r="XER682"/>
      <c r="XES682"/>
      <c r="XET682"/>
      <c r="XEU682"/>
      <c r="XEV682"/>
      <c r="XEW682"/>
      <c r="XEX682"/>
      <c r="XEY682"/>
      <c r="XEZ682"/>
      <c r="XFA682"/>
      <c r="XFB682"/>
      <c r="XFC682"/>
      <c r="XFD682"/>
    </row>
    <row r="683" spans="1:18 16327:16384" s="26" customFormat="1" ht="29.1" customHeight="1" outlineLevel="3" x14ac:dyDescent="0.25">
      <c r="A683" s="42" t="s">
        <v>1154</v>
      </c>
      <c r="B683" s="43"/>
      <c r="C683" s="66" t="s">
        <v>1155</v>
      </c>
      <c r="D683" s="66"/>
      <c r="E683" s="43" t="s">
        <v>34</v>
      </c>
      <c r="F683" s="44"/>
      <c r="G683" s="43" t="s">
        <v>31</v>
      </c>
      <c r="H683" s="45">
        <v>1</v>
      </c>
      <c r="I683" s="46">
        <f>7</f>
        <v>7</v>
      </c>
      <c r="J683" s="23"/>
      <c r="K683" s="47"/>
      <c r="L683" s="48"/>
      <c r="M683" s="49"/>
      <c r="N683" s="49">
        <f t="shared" si="21"/>
        <v>0</v>
      </c>
      <c r="O683" s="49"/>
      <c r="P683" s="49"/>
      <c r="Q683" s="49"/>
      <c r="R683" s="23"/>
      <c r="XCY683"/>
      <c r="XCZ683"/>
      <c r="XDA683"/>
      <c r="XDB683"/>
      <c r="XDC683"/>
      <c r="XDD683"/>
      <c r="XDE683"/>
      <c r="XDF683"/>
      <c r="XDG683"/>
      <c r="XDH683"/>
      <c r="XDI683"/>
      <c r="XDJ683"/>
      <c r="XDK683"/>
      <c r="XDL683"/>
      <c r="XDM683"/>
      <c r="XDN683"/>
      <c r="XDO683"/>
      <c r="XDP683"/>
      <c r="XDQ683"/>
      <c r="XDR683"/>
      <c r="XDS683"/>
      <c r="XDT683"/>
      <c r="XDU683"/>
      <c r="XDV683"/>
      <c r="XDW683"/>
      <c r="XDX683"/>
      <c r="XDY683"/>
      <c r="XDZ683"/>
      <c r="XEA683"/>
      <c r="XEB683"/>
      <c r="XEC683"/>
      <c r="XED683"/>
      <c r="XEE683"/>
      <c r="XEF683"/>
      <c r="XEG683"/>
      <c r="XEH683"/>
      <c r="XEI683"/>
      <c r="XEJ683"/>
      <c r="XEK683"/>
      <c r="XEL683"/>
      <c r="XEM683"/>
      <c r="XEN683"/>
      <c r="XEO683"/>
      <c r="XEP683"/>
      <c r="XEQ683"/>
      <c r="XER683"/>
      <c r="XES683"/>
      <c r="XET683"/>
      <c r="XEU683"/>
      <c r="XEV683"/>
      <c r="XEW683"/>
      <c r="XEX683"/>
      <c r="XEY683"/>
      <c r="XEZ683"/>
      <c r="XFA683"/>
      <c r="XFB683"/>
      <c r="XFC683"/>
      <c r="XFD683"/>
    </row>
    <row r="684" spans="1:18 16327:16384" s="26" customFormat="1" ht="29.1" customHeight="1" outlineLevel="2" x14ac:dyDescent="0.25">
      <c r="A684" s="34" t="s">
        <v>1156</v>
      </c>
      <c r="B684" s="35"/>
      <c r="C684" s="65" t="s">
        <v>1152</v>
      </c>
      <c r="D684" s="65"/>
      <c r="E684" s="35"/>
      <c r="F684" s="36" t="s">
        <v>1157</v>
      </c>
      <c r="G684" s="35" t="s">
        <v>31</v>
      </c>
      <c r="H684" s="37"/>
      <c r="I684" s="38">
        <f>3</f>
        <v>3</v>
      </c>
      <c r="J684" s="23"/>
      <c r="K684" s="39"/>
      <c r="L684" s="40"/>
      <c r="M684" s="41">
        <f>K684+L684</f>
        <v>0</v>
      </c>
      <c r="N684" s="41">
        <f t="shared" ref="N684:N715" si="22">ROUND((I684*K684),2)</f>
        <v>0</v>
      </c>
      <c r="O684" s="41">
        <f>ROUND((I684*L684),2)</f>
        <v>0</v>
      </c>
      <c r="P684" s="41">
        <f>ROUND((I684*M684),2)</f>
        <v>0</v>
      </c>
      <c r="Q684" s="41"/>
      <c r="R684" s="23"/>
      <c r="XCY684"/>
      <c r="XCZ684"/>
      <c r="XDA684"/>
      <c r="XDB684"/>
      <c r="XDC684"/>
      <c r="XDD684"/>
      <c r="XDE684"/>
      <c r="XDF684"/>
      <c r="XDG684"/>
      <c r="XDH684"/>
      <c r="XDI684"/>
      <c r="XDJ684"/>
      <c r="XDK684"/>
      <c r="XDL684"/>
      <c r="XDM684"/>
      <c r="XDN684"/>
      <c r="XDO684"/>
      <c r="XDP684"/>
      <c r="XDQ684"/>
      <c r="XDR684"/>
      <c r="XDS684"/>
      <c r="XDT684"/>
      <c r="XDU684"/>
      <c r="XDV684"/>
      <c r="XDW684"/>
      <c r="XDX684"/>
      <c r="XDY684"/>
      <c r="XDZ684"/>
      <c r="XEA684"/>
      <c r="XEB684"/>
      <c r="XEC684"/>
      <c r="XED684"/>
      <c r="XEE684"/>
      <c r="XEF684"/>
      <c r="XEG684"/>
      <c r="XEH684"/>
      <c r="XEI684"/>
      <c r="XEJ684"/>
      <c r="XEK684"/>
      <c r="XEL684"/>
      <c r="XEM684"/>
      <c r="XEN684"/>
      <c r="XEO684"/>
      <c r="XEP684"/>
      <c r="XEQ684"/>
      <c r="XER684"/>
      <c r="XES684"/>
      <c r="XET684"/>
      <c r="XEU684"/>
      <c r="XEV684"/>
      <c r="XEW684"/>
      <c r="XEX684"/>
      <c r="XEY684"/>
      <c r="XEZ684"/>
      <c r="XFA684"/>
      <c r="XFB684"/>
      <c r="XFC684"/>
      <c r="XFD684"/>
    </row>
    <row r="685" spans="1:18 16327:16384" s="26" customFormat="1" ht="29.1" customHeight="1" outlineLevel="3" x14ac:dyDescent="0.25">
      <c r="A685" s="42" t="s">
        <v>1158</v>
      </c>
      <c r="B685" s="43"/>
      <c r="C685" s="66" t="s">
        <v>1159</v>
      </c>
      <c r="D685" s="66"/>
      <c r="E685" s="43" t="s">
        <v>34</v>
      </c>
      <c r="F685" s="44"/>
      <c r="G685" s="43" t="s">
        <v>31</v>
      </c>
      <c r="H685" s="45">
        <v>1</v>
      </c>
      <c r="I685" s="46">
        <f>3</f>
        <v>3</v>
      </c>
      <c r="J685" s="23"/>
      <c r="K685" s="47"/>
      <c r="L685" s="48"/>
      <c r="M685" s="49"/>
      <c r="N685" s="49">
        <f t="shared" si="22"/>
        <v>0</v>
      </c>
      <c r="O685" s="49"/>
      <c r="P685" s="49"/>
      <c r="Q685" s="49"/>
      <c r="R685" s="23"/>
      <c r="XCY685"/>
      <c r="XCZ685"/>
      <c r="XDA685"/>
      <c r="XDB685"/>
      <c r="XDC685"/>
      <c r="XDD685"/>
      <c r="XDE685"/>
      <c r="XDF685"/>
      <c r="XDG685"/>
      <c r="XDH685"/>
      <c r="XDI685"/>
      <c r="XDJ685"/>
      <c r="XDK685"/>
      <c r="XDL685"/>
      <c r="XDM685"/>
      <c r="XDN685"/>
      <c r="XDO685"/>
      <c r="XDP685"/>
      <c r="XDQ685"/>
      <c r="XDR685"/>
      <c r="XDS685"/>
      <c r="XDT685"/>
      <c r="XDU685"/>
      <c r="XDV685"/>
      <c r="XDW685"/>
      <c r="XDX685"/>
      <c r="XDY685"/>
      <c r="XDZ685"/>
      <c r="XEA685"/>
      <c r="XEB685"/>
      <c r="XEC685"/>
      <c r="XED685"/>
      <c r="XEE685"/>
      <c r="XEF685"/>
      <c r="XEG685"/>
      <c r="XEH685"/>
      <c r="XEI685"/>
      <c r="XEJ685"/>
      <c r="XEK685"/>
      <c r="XEL685"/>
      <c r="XEM685"/>
      <c r="XEN685"/>
      <c r="XEO685"/>
      <c r="XEP685"/>
      <c r="XEQ685"/>
      <c r="XER685"/>
      <c r="XES685"/>
      <c r="XET685"/>
      <c r="XEU685"/>
      <c r="XEV685"/>
      <c r="XEW685"/>
      <c r="XEX685"/>
      <c r="XEY685"/>
      <c r="XEZ685"/>
      <c r="XFA685"/>
      <c r="XFB685"/>
      <c r="XFC685"/>
      <c r="XFD685"/>
    </row>
    <row r="686" spans="1:18 16327:16384" s="26" customFormat="1" ht="29.1" customHeight="1" outlineLevel="2" x14ac:dyDescent="0.25">
      <c r="A686" s="34" t="s">
        <v>1160</v>
      </c>
      <c r="B686" s="35"/>
      <c r="C686" s="65" t="s">
        <v>1161</v>
      </c>
      <c r="D686" s="65"/>
      <c r="E686" s="35"/>
      <c r="F686" s="36" t="s">
        <v>1162</v>
      </c>
      <c r="G686" s="35" t="s">
        <v>31</v>
      </c>
      <c r="H686" s="37"/>
      <c r="I686" s="38">
        <f>42</f>
        <v>42</v>
      </c>
      <c r="J686" s="23"/>
      <c r="K686" s="39"/>
      <c r="L686" s="40"/>
      <c r="M686" s="41">
        <f>K686+L686</f>
        <v>0</v>
      </c>
      <c r="N686" s="41">
        <f t="shared" si="22"/>
        <v>0</v>
      </c>
      <c r="O686" s="41">
        <f>ROUND((I686*L686),2)</f>
        <v>0</v>
      </c>
      <c r="P686" s="41">
        <f>ROUND((I686*M686),2)</f>
        <v>0</v>
      </c>
      <c r="Q686" s="41"/>
      <c r="R686" s="23"/>
      <c r="XCY686"/>
      <c r="XCZ686"/>
      <c r="XDA686"/>
      <c r="XDB686"/>
      <c r="XDC686"/>
      <c r="XDD686"/>
      <c r="XDE686"/>
      <c r="XDF686"/>
      <c r="XDG686"/>
      <c r="XDH686"/>
      <c r="XDI686"/>
      <c r="XDJ686"/>
      <c r="XDK686"/>
      <c r="XDL686"/>
      <c r="XDM686"/>
      <c r="XDN686"/>
      <c r="XDO686"/>
      <c r="XDP686"/>
      <c r="XDQ686"/>
      <c r="XDR686"/>
      <c r="XDS686"/>
      <c r="XDT686"/>
      <c r="XDU686"/>
      <c r="XDV686"/>
      <c r="XDW686"/>
      <c r="XDX686"/>
      <c r="XDY686"/>
      <c r="XDZ686"/>
      <c r="XEA686"/>
      <c r="XEB686"/>
      <c r="XEC686"/>
      <c r="XED686"/>
      <c r="XEE686"/>
      <c r="XEF686"/>
      <c r="XEG686"/>
      <c r="XEH686"/>
      <c r="XEI686"/>
      <c r="XEJ686"/>
      <c r="XEK686"/>
      <c r="XEL686"/>
      <c r="XEM686"/>
      <c r="XEN686"/>
      <c r="XEO686"/>
      <c r="XEP686"/>
      <c r="XEQ686"/>
      <c r="XER686"/>
      <c r="XES686"/>
      <c r="XET686"/>
      <c r="XEU686"/>
      <c r="XEV686"/>
      <c r="XEW686"/>
      <c r="XEX686"/>
      <c r="XEY686"/>
      <c r="XEZ686"/>
      <c r="XFA686"/>
      <c r="XFB686"/>
      <c r="XFC686"/>
      <c r="XFD686"/>
    </row>
    <row r="687" spans="1:18 16327:16384" s="26" customFormat="1" ht="29.1" customHeight="1" outlineLevel="3" x14ac:dyDescent="0.25">
      <c r="A687" s="42" t="s">
        <v>1163</v>
      </c>
      <c r="B687" s="43"/>
      <c r="C687" s="66" t="s">
        <v>1164</v>
      </c>
      <c r="D687" s="66"/>
      <c r="E687" s="43" t="s">
        <v>34</v>
      </c>
      <c r="F687" s="44"/>
      <c r="G687" s="43" t="s">
        <v>31</v>
      </c>
      <c r="H687" s="45">
        <v>1</v>
      </c>
      <c r="I687" s="46">
        <f>42</f>
        <v>42</v>
      </c>
      <c r="J687" s="23"/>
      <c r="K687" s="47"/>
      <c r="L687" s="48"/>
      <c r="M687" s="49"/>
      <c r="N687" s="49">
        <f t="shared" si="22"/>
        <v>0</v>
      </c>
      <c r="O687" s="49"/>
      <c r="P687" s="49"/>
      <c r="Q687" s="49"/>
      <c r="R687" s="23"/>
      <c r="XCY687"/>
      <c r="XCZ687"/>
      <c r="XDA687"/>
      <c r="XDB687"/>
      <c r="XDC687"/>
      <c r="XDD687"/>
      <c r="XDE687"/>
      <c r="XDF687"/>
      <c r="XDG687"/>
      <c r="XDH687"/>
      <c r="XDI687"/>
      <c r="XDJ687"/>
      <c r="XDK687"/>
      <c r="XDL687"/>
      <c r="XDM687"/>
      <c r="XDN687"/>
      <c r="XDO687"/>
      <c r="XDP687"/>
      <c r="XDQ687"/>
      <c r="XDR687"/>
      <c r="XDS687"/>
      <c r="XDT687"/>
      <c r="XDU687"/>
      <c r="XDV687"/>
      <c r="XDW687"/>
      <c r="XDX687"/>
      <c r="XDY687"/>
      <c r="XDZ687"/>
      <c r="XEA687"/>
      <c r="XEB687"/>
      <c r="XEC687"/>
      <c r="XED687"/>
      <c r="XEE687"/>
      <c r="XEF687"/>
      <c r="XEG687"/>
      <c r="XEH687"/>
      <c r="XEI687"/>
      <c r="XEJ687"/>
      <c r="XEK687"/>
      <c r="XEL687"/>
      <c r="XEM687"/>
      <c r="XEN687"/>
      <c r="XEO687"/>
      <c r="XEP687"/>
      <c r="XEQ687"/>
      <c r="XER687"/>
      <c r="XES687"/>
      <c r="XET687"/>
      <c r="XEU687"/>
      <c r="XEV687"/>
      <c r="XEW687"/>
      <c r="XEX687"/>
      <c r="XEY687"/>
      <c r="XEZ687"/>
      <c r="XFA687"/>
      <c r="XFB687"/>
      <c r="XFC687"/>
      <c r="XFD687"/>
    </row>
    <row r="688" spans="1:18 16327:16384" s="26" customFormat="1" ht="29.1" customHeight="1" outlineLevel="2" x14ac:dyDescent="0.25">
      <c r="A688" s="34" t="s">
        <v>1165</v>
      </c>
      <c r="B688" s="35"/>
      <c r="C688" s="65" t="s">
        <v>1161</v>
      </c>
      <c r="D688" s="65"/>
      <c r="E688" s="35"/>
      <c r="F688" s="36" t="s">
        <v>1166</v>
      </c>
      <c r="G688" s="35" t="s">
        <v>31</v>
      </c>
      <c r="H688" s="37"/>
      <c r="I688" s="38">
        <f>6</f>
        <v>6</v>
      </c>
      <c r="J688" s="23"/>
      <c r="K688" s="39"/>
      <c r="L688" s="40"/>
      <c r="M688" s="41">
        <f>K688+L688</f>
        <v>0</v>
      </c>
      <c r="N688" s="41">
        <f t="shared" si="22"/>
        <v>0</v>
      </c>
      <c r="O688" s="41">
        <f>ROUND((I688*L688),2)</f>
        <v>0</v>
      </c>
      <c r="P688" s="41">
        <f>ROUND((I688*M688),2)</f>
        <v>0</v>
      </c>
      <c r="Q688" s="41"/>
      <c r="R688" s="23"/>
      <c r="XCY688"/>
      <c r="XCZ688"/>
      <c r="XDA688"/>
      <c r="XDB688"/>
      <c r="XDC688"/>
      <c r="XDD688"/>
      <c r="XDE688"/>
      <c r="XDF688"/>
      <c r="XDG688"/>
      <c r="XDH688"/>
      <c r="XDI688"/>
      <c r="XDJ688"/>
      <c r="XDK688"/>
      <c r="XDL688"/>
      <c r="XDM688"/>
      <c r="XDN688"/>
      <c r="XDO688"/>
      <c r="XDP688"/>
      <c r="XDQ688"/>
      <c r="XDR688"/>
      <c r="XDS688"/>
      <c r="XDT688"/>
      <c r="XDU688"/>
      <c r="XDV688"/>
      <c r="XDW688"/>
      <c r="XDX688"/>
      <c r="XDY688"/>
      <c r="XDZ688"/>
      <c r="XEA688"/>
      <c r="XEB688"/>
      <c r="XEC688"/>
      <c r="XED688"/>
      <c r="XEE688"/>
      <c r="XEF688"/>
      <c r="XEG688"/>
      <c r="XEH688"/>
      <c r="XEI688"/>
      <c r="XEJ688"/>
      <c r="XEK688"/>
      <c r="XEL688"/>
      <c r="XEM688"/>
      <c r="XEN688"/>
      <c r="XEO688"/>
      <c r="XEP688"/>
      <c r="XEQ688"/>
      <c r="XER688"/>
      <c r="XES688"/>
      <c r="XET688"/>
      <c r="XEU688"/>
      <c r="XEV688"/>
      <c r="XEW688"/>
      <c r="XEX688"/>
      <c r="XEY688"/>
      <c r="XEZ688"/>
      <c r="XFA688"/>
      <c r="XFB688"/>
      <c r="XFC688"/>
      <c r="XFD688"/>
    </row>
    <row r="689" spans="1:18 16327:16384" s="26" customFormat="1" ht="29.1" customHeight="1" outlineLevel="3" x14ac:dyDescent="0.25">
      <c r="A689" s="42" t="s">
        <v>1167</v>
      </c>
      <c r="B689" s="43"/>
      <c r="C689" s="66" t="s">
        <v>1168</v>
      </c>
      <c r="D689" s="66"/>
      <c r="E689" s="43" t="s">
        <v>34</v>
      </c>
      <c r="F689" s="44"/>
      <c r="G689" s="43" t="s">
        <v>31</v>
      </c>
      <c r="H689" s="45">
        <v>1</v>
      </c>
      <c r="I689" s="46">
        <f>6</f>
        <v>6</v>
      </c>
      <c r="J689" s="23"/>
      <c r="K689" s="47"/>
      <c r="L689" s="48"/>
      <c r="M689" s="49"/>
      <c r="N689" s="49">
        <f t="shared" si="22"/>
        <v>0</v>
      </c>
      <c r="O689" s="49"/>
      <c r="P689" s="49"/>
      <c r="Q689" s="49"/>
      <c r="R689" s="23"/>
      <c r="XCY689"/>
      <c r="XCZ689"/>
      <c r="XDA689"/>
      <c r="XDB689"/>
      <c r="XDC689"/>
      <c r="XDD689"/>
      <c r="XDE689"/>
      <c r="XDF689"/>
      <c r="XDG689"/>
      <c r="XDH689"/>
      <c r="XDI689"/>
      <c r="XDJ689"/>
      <c r="XDK689"/>
      <c r="XDL689"/>
      <c r="XDM689"/>
      <c r="XDN689"/>
      <c r="XDO689"/>
      <c r="XDP689"/>
      <c r="XDQ689"/>
      <c r="XDR689"/>
      <c r="XDS689"/>
      <c r="XDT689"/>
      <c r="XDU689"/>
      <c r="XDV689"/>
      <c r="XDW689"/>
      <c r="XDX689"/>
      <c r="XDY689"/>
      <c r="XDZ689"/>
      <c r="XEA689"/>
      <c r="XEB689"/>
      <c r="XEC689"/>
      <c r="XED689"/>
      <c r="XEE689"/>
      <c r="XEF689"/>
      <c r="XEG689"/>
      <c r="XEH689"/>
      <c r="XEI689"/>
      <c r="XEJ689"/>
      <c r="XEK689"/>
      <c r="XEL689"/>
      <c r="XEM689"/>
      <c r="XEN689"/>
      <c r="XEO689"/>
      <c r="XEP689"/>
      <c r="XEQ689"/>
      <c r="XER689"/>
      <c r="XES689"/>
      <c r="XET689"/>
      <c r="XEU689"/>
      <c r="XEV689"/>
      <c r="XEW689"/>
      <c r="XEX689"/>
      <c r="XEY689"/>
      <c r="XEZ689"/>
      <c r="XFA689"/>
      <c r="XFB689"/>
      <c r="XFC689"/>
      <c r="XFD689"/>
    </row>
    <row r="690" spans="1:18 16327:16384" s="26" customFormat="1" ht="29.1" customHeight="1" outlineLevel="2" x14ac:dyDescent="0.25">
      <c r="A690" s="34" t="s">
        <v>1169</v>
      </c>
      <c r="B690" s="35"/>
      <c r="C690" s="65" t="s">
        <v>739</v>
      </c>
      <c r="D690" s="65"/>
      <c r="E690" s="35"/>
      <c r="F690" s="36"/>
      <c r="G690" s="35" t="s">
        <v>65</v>
      </c>
      <c r="H690" s="37"/>
      <c r="I690" s="38">
        <f>5224</f>
        <v>5224</v>
      </c>
      <c r="J690" s="23"/>
      <c r="K690" s="39"/>
      <c r="L690" s="40"/>
      <c r="M690" s="41"/>
      <c r="N690" s="41"/>
      <c r="O690" s="41"/>
      <c r="P690" s="41"/>
      <c r="Q690" s="41"/>
      <c r="R690" s="23"/>
      <c r="XCY690"/>
      <c r="XCZ690"/>
      <c r="XDA690"/>
      <c r="XDB690"/>
      <c r="XDC690"/>
      <c r="XDD690"/>
      <c r="XDE690"/>
      <c r="XDF690"/>
      <c r="XDG690"/>
      <c r="XDH690"/>
      <c r="XDI690"/>
      <c r="XDJ690"/>
      <c r="XDK690"/>
      <c r="XDL690"/>
      <c r="XDM690"/>
      <c r="XDN690"/>
      <c r="XDO690"/>
      <c r="XDP690"/>
      <c r="XDQ690"/>
      <c r="XDR690"/>
      <c r="XDS690"/>
      <c r="XDT690"/>
      <c r="XDU690"/>
      <c r="XDV690"/>
      <c r="XDW690"/>
      <c r="XDX690"/>
      <c r="XDY690"/>
      <c r="XDZ690"/>
      <c r="XEA690"/>
      <c r="XEB690"/>
      <c r="XEC690"/>
      <c r="XED690"/>
      <c r="XEE690"/>
      <c r="XEF690"/>
      <c r="XEG690"/>
      <c r="XEH690"/>
      <c r="XEI690"/>
      <c r="XEJ690"/>
      <c r="XEK690"/>
      <c r="XEL690"/>
      <c r="XEM690"/>
      <c r="XEN690"/>
      <c r="XEO690"/>
      <c r="XEP690"/>
      <c r="XEQ690"/>
      <c r="XER690"/>
      <c r="XES690"/>
      <c r="XET690"/>
      <c r="XEU690"/>
      <c r="XEV690"/>
      <c r="XEW690"/>
      <c r="XEX690"/>
      <c r="XEY690"/>
      <c r="XEZ690"/>
      <c r="XFA690"/>
      <c r="XFB690"/>
      <c r="XFC690"/>
      <c r="XFD690"/>
    </row>
    <row r="691" spans="1:18 16327:16384" s="26" customFormat="1" ht="29.1" customHeight="1" outlineLevel="3" x14ac:dyDescent="0.25">
      <c r="A691" s="42" t="s">
        <v>1170</v>
      </c>
      <c r="B691" s="43"/>
      <c r="C691" s="66" t="s">
        <v>1171</v>
      </c>
      <c r="D691" s="66"/>
      <c r="E691" s="43" t="s">
        <v>34</v>
      </c>
      <c r="F691" s="44"/>
      <c r="G691" s="43" t="s">
        <v>65</v>
      </c>
      <c r="H691" s="45">
        <v>1.02</v>
      </c>
      <c r="I691" s="46">
        <f>5328.48</f>
        <v>5328.48</v>
      </c>
      <c r="J691" s="23"/>
      <c r="K691" s="47"/>
      <c r="L691" s="48"/>
      <c r="M691" s="49"/>
      <c r="N691" s="49">
        <f t="shared" si="22"/>
        <v>0</v>
      </c>
      <c r="O691" s="49"/>
      <c r="P691" s="49"/>
      <c r="Q691" s="49"/>
      <c r="R691" s="23"/>
      <c r="XCY691"/>
      <c r="XCZ691"/>
      <c r="XDA691"/>
      <c r="XDB691"/>
      <c r="XDC691"/>
      <c r="XDD691"/>
      <c r="XDE691"/>
      <c r="XDF691"/>
      <c r="XDG691"/>
      <c r="XDH691"/>
      <c r="XDI691"/>
      <c r="XDJ691"/>
      <c r="XDK691"/>
      <c r="XDL691"/>
      <c r="XDM691"/>
      <c r="XDN691"/>
      <c r="XDO691"/>
      <c r="XDP691"/>
      <c r="XDQ691"/>
      <c r="XDR691"/>
      <c r="XDS691"/>
      <c r="XDT691"/>
      <c r="XDU691"/>
      <c r="XDV691"/>
      <c r="XDW691"/>
      <c r="XDX691"/>
      <c r="XDY691"/>
      <c r="XDZ691"/>
      <c r="XEA691"/>
      <c r="XEB691"/>
      <c r="XEC691"/>
      <c r="XED691"/>
      <c r="XEE691"/>
      <c r="XEF691"/>
      <c r="XEG691"/>
      <c r="XEH691"/>
      <c r="XEI691"/>
      <c r="XEJ691"/>
      <c r="XEK691"/>
      <c r="XEL691"/>
      <c r="XEM691"/>
      <c r="XEN691"/>
      <c r="XEO691"/>
      <c r="XEP691"/>
      <c r="XEQ691"/>
      <c r="XER691"/>
      <c r="XES691"/>
      <c r="XET691"/>
      <c r="XEU691"/>
      <c r="XEV691"/>
      <c r="XEW691"/>
      <c r="XEX691"/>
      <c r="XEY691"/>
      <c r="XEZ691"/>
      <c r="XFA691"/>
      <c r="XFB691"/>
      <c r="XFC691"/>
      <c r="XFD691"/>
    </row>
    <row r="692" spans="1:18 16327:16384" s="26" customFormat="1" ht="29.1" customHeight="1" outlineLevel="2" x14ac:dyDescent="0.25">
      <c r="A692" s="34" t="s">
        <v>1172</v>
      </c>
      <c r="B692" s="35"/>
      <c r="C692" s="65" t="s">
        <v>75</v>
      </c>
      <c r="D692" s="65"/>
      <c r="E692" s="35"/>
      <c r="F692" s="36"/>
      <c r="G692" s="35" t="s">
        <v>65</v>
      </c>
      <c r="H692" s="37"/>
      <c r="I692" s="38">
        <f>573</f>
        <v>573</v>
      </c>
      <c r="J692" s="23"/>
      <c r="K692" s="39"/>
      <c r="L692" s="40"/>
      <c r="M692" s="41"/>
      <c r="N692" s="41"/>
      <c r="O692" s="41"/>
      <c r="P692" s="41"/>
      <c r="Q692" s="41"/>
      <c r="R692" s="23"/>
      <c r="XCY692"/>
      <c r="XCZ692"/>
      <c r="XDA692"/>
      <c r="XDB692"/>
      <c r="XDC692"/>
      <c r="XDD692"/>
      <c r="XDE692"/>
      <c r="XDF692"/>
      <c r="XDG692"/>
      <c r="XDH692"/>
      <c r="XDI692"/>
      <c r="XDJ692"/>
      <c r="XDK692"/>
      <c r="XDL692"/>
      <c r="XDM692"/>
      <c r="XDN692"/>
      <c r="XDO692"/>
      <c r="XDP692"/>
      <c r="XDQ692"/>
      <c r="XDR692"/>
      <c r="XDS692"/>
      <c r="XDT692"/>
      <c r="XDU692"/>
      <c r="XDV692"/>
      <c r="XDW692"/>
      <c r="XDX692"/>
      <c r="XDY692"/>
      <c r="XDZ692"/>
      <c r="XEA692"/>
      <c r="XEB692"/>
      <c r="XEC692"/>
      <c r="XED692"/>
      <c r="XEE692"/>
      <c r="XEF692"/>
      <c r="XEG692"/>
      <c r="XEH692"/>
      <c r="XEI692"/>
      <c r="XEJ692"/>
      <c r="XEK692"/>
      <c r="XEL692"/>
      <c r="XEM692"/>
      <c r="XEN692"/>
      <c r="XEO692"/>
      <c r="XEP692"/>
      <c r="XEQ692"/>
      <c r="XER692"/>
      <c r="XES692"/>
      <c r="XET692"/>
      <c r="XEU692"/>
      <c r="XEV692"/>
      <c r="XEW692"/>
      <c r="XEX692"/>
      <c r="XEY692"/>
      <c r="XEZ692"/>
      <c r="XFA692"/>
      <c r="XFB692"/>
      <c r="XFC692"/>
      <c r="XFD692"/>
    </row>
    <row r="693" spans="1:18 16327:16384" s="26" customFormat="1" ht="29.1" customHeight="1" outlineLevel="3" x14ac:dyDescent="0.25">
      <c r="A693" s="42" t="s">
        <v>1173</v>
      </c>
      <c r="B693" s="43"/>
      <c r="C693" s="66" t="s">
        <v>1171</v>
      </c>
      <c r="D693" s="66"/>
      <c r="E693" s="43" t="s">
        <v>34</v>
      </c>
      <c r="F693" s="44"/>
      <c r="G693" s="43" t="s">
        <v>65</v>
      </c>
      <c r="H693" s="45">
        <v>1.02</v>
      </c>
      <c r="I693" s="46">
        <f>584.46</f>
        <v>584.46</v>
      </c>
      <c r="J693" s="23"/>
      <c r="K693" s="47"/>
      <c r="L693" s="48"/>
      <c r="M693" s="49"/>
      <c r="N693" s="49">
        <f t="shared" si="22"/>
        <v>0</v>
      </c>
      <c r="O693" s="49"/>
      <c r="P693" s="49"/>
      <c r="Q693" s="49"/>
      <c r="R693" s="23"/>
      <c r="XCY693"/>
      <c r="XCZ693"/>
      <c r="XDA693"/>
      <c r="XDB693"/>
      <c r="XDC693"/>
      <c r="XDD693"/>
      <c r="XDE693"/>
      <c r="XDF693"/>
      <c r="XDG693"/>
      <c r="XDH693"/>
      <c r="XDI693"/>
      <c r="XDJ693"/>
      <c r="XDK693"/>
      <c r="XDL693"/>
      <c r="XDM693"/>
      <c r="XDN693"/>
      <c r="XDO693"/>
      <c r="XDP693"/>
      <c r="XDQ693"/>
      <c r="XDR693"/>
      <c r="XDS693"/>
      <c r="XDT693"/>
      <c r="XDU693"/>
      <c r="XDV693"/>
      <c r="XDW693"/>
      <c r="XDX693"/>
      <c r="XDY693"/>
      <c r="XDZ693"/>
      <c r="XEA693"/>
      <c r="XEB693"/>
      <c r="XEC693"/>
      <c r="XED693"/>
      <c r="XEE693"/>
      <c r="XEF693"/>
      <c r="XEG693"/>
      <c r="XEH693"/>
      <c r="XEI693"/>
      <c r="XEJ693"/>
      <c r="XEK693"/>
      <c r="XEL693"/>
      <c r="XEM693"/>
      <c r="XEN693"/>
      <c r="XEO693"/>
      <c r="XEP693"/>
      <c r="XEQ693"/>
      <c r="XER693"/>
      <c r="XES693"/>
      <c r="XET693"/>
      <c r="XEU693"/>
      <c r="XEV693"/>
      <c r="XEW693"/>
      <c r="XEX693"/>
      <c r="XEY693"/>
      <c r="XEZ693"/>
      <c r="XFA693"/>
      <c r="XFB693"/>
      <c r="XFC693"/>
      <c r="XFD693"/>
    </row>
    <row r="694" spans="1:18 16327:16384" s="26" customFormat="1" ht="29.1" customHeight="1" outlineLevel="2" x14ac:dyDescent="0.25">
      <c r="A694" s="34" t="s">
        <v>1174</v>
      </c>
      <c r="B694" s="35"/>
      <c r="C694" s="65" t="s">
        <v>75</v>
      </c>
      <c r="D694" s="65"/>
      <c r="E694" s="35"/>
      <c r="F694" s="36"/>
      <c r="G694" s="35" t="s">
        <v>65</v>
      </c>
      <c r="H694" s="37"/>
      <c r="I694" s="38">
        <f>8</f>
        <v>8</v>
      </c>
      <c r="J694" s="23"/>
      <c r="K694" s="39"/>
      <c r="L694" s="40"/>
      <c r="M694" s="41"/>
      <c r="N694" s="41"/>
      <c r="O694" s="41"/>
      <c r="P694" s="41"/>
      <c r="Q694" s="41"/>
      <c r="R694" s="23"/>
      <c r="XCY694"/>
      <c r="XCZ694"/>
      <c r="XDA694"/>
      <c r="XDB694"/>
      <c r="XDC694"/>
      <c r="XDD694"/>
      <c r="XDE694"/>
      <c r="XDF694"/>
      <c r="XDG694"/>
      <c r="XDH694"/>
      <c r="XDI694"/>
      <c r="XDJ694"/>
      <c r="XDK694"/>
      <c r="XDL694"/>
      <c r="XDM694"/>
      <c r="XDN694"/>
      <c r="XDO694"/>
      <c r="XDP694"/>
      <c r="XDQ694"/>
      <c r="XDR694"/>
      <c r="XDS694"/>
      <c r="XDT694"/>
      <c r="XDU694"/>
      <c r="XDV694"/>
      <c r="XDW694"/>
      <c r="XDX694"/>
      <c r="XDY694"/>
      <c r="XDZ694"/>
      <c r="XEA694"/>
      <c r="XEB694"/>
      <c r="XEC694"/>
      <c r="XED694"/>
      <c r="XEE694"/>
      <c r="XEF694"/>
      <c r="XEG694"/>
      <c r="XEH694"/>
      <c r="XEI694"/>
      <c r="XEJ694"/>
      <c r="XEK694"/>
      <c r="XEL694"/>
      <c r="XEM694"/>
      <c r="XEN694"/>
      <c r="XEO694"/>
      <c r="XEP694"/>
      <c r="XEQ694"/>
      <c r="XER694"/>
      <c r="XES694"/>
      <c r="XET694"/>
      <c r="XEU694"/>
      <c r="XEV694"/>
      <c r="XEW694"/>
      <c r="XEX694"/>
      <c r="XEY694"/>
      <c r="XEZ694"/>
      <c r="XFA694"/>
      <c r="XFB694"/>
      <c r="XFC694"/>
      <c r="XFD694"/>
    </row>
    <row r="695" spans="1:18 16327:16384" s="26" customFormat="1" ht="29.1" customHeight="1" outlineLevel="3" x14ac:dyDescent="0.25">
      <c r="A695" s="42" t="s">
        <v>1175</v>
      </c>
      <c r="B695" s="43"/>
      <c r="C695" s="66" t="s">
        <v>1176</v>
      </c>
      <c r="D695" s="66"/>
      <c r="E695" s="43" t="s">
        <v>34</v>
      </c>
      <c r="F695" s="44"/>
      <c r="G695" s="43" t="s">
        <v>65</v>
      </c>
      <c r="H695" s="45">
        <v>1.02</v>
      </c>
      <c r="I695" s="46">
        <f>8.16</f>
        <v>8.16</v>
      </c>
      <c r="J695" s="23"/>
      <c r="K695" s="47"/>
      <c r="L695" s="48"/>
      <c r="M695" s="49"/>
      <c r="N695" s="49">
        <f t="shared" si="22"/>
        <v>0</v>
      </c>
      <c r="O695" s="49"/>
      <c r="P695" s="49"/>
      <c r="Q695" s="49"/>
      <c r="R695" s="23"/>
      <c r="XCY695"/>
      <c r="XCZ695"/>
      <c r="XDA695"/>
      <c r="XDB695"/>
      <c r="XDC695"/>
      <c r="XDD695"/>
      <c r="XDE695"/>
      <c r="XDF695"/>
      <c r="XDG695"/>
      <c r="XDH695"/>
      <c r="XDI695"/>
      <c r="XDJ695"/>
      <c r="XDK695"/>
      <c r="XDL695"/>
      <c r="XDM695"/>
      <c r="XDN695"/>
      <c r="XDO695"/>
      <c r="XDP695"/>
      <c r="XDQ695"/>
      <c r="XDR695"/>
      <c r="XDS695"/>
      <c r="XDT695"/>
      <c r="XDU695"/>
      <c r="XDV695"/>
      <c r="XDW695"/>
      <c r="XDX695"/>
      <c r="XDY695"/>
      <c r="XDZ695"/>
      <c r="XEA695"/>
      <c r="XEB695"/>
      <c r="XEC695"/>
      <c r="XED695"/>
      <c r="XEE695"/>
      <c r="XEF695"/>
      <c r="XEG695"/>
      <c r="XEH695"/>
      <c r="XEI695"/>
      <c r="XEJ695"/>
      <c r="XEK695"/>
      <c r="XEL695"/>
      <c r="XEM695"/>
      <c r="XEN695"/>
      <c r="XEO695"/>
      <c r="XEP695"/>
      <c r="XEQ695"/>
      <c r="XER695"/>
      <c r="XES695"/>
      <c r="XET695"/>
      <c r="XEU695"/>
      <c r="XEV695"/>
      <c r="XEW695"/>
      <c r="XEX695"/>
      <c r="XEY695"/>
      <c r="XEZ695"/>
      <c r="XFA695"/>
      <c r="XFB695"/>
      <c r="XFC695"/>
      <c r="XFD695"/>
    </row>
    <row r="696" spans="1:18 16327:16384" s="26" customFormat="1" ht="29.1" customHeight="1" outlineLevel="2" x14ac:dyDescent="0.25">
      <c r="A696" s="34" t="s">
        <v>1177</v>
      </c>
      <c r="B696" s="35"/>
      <c r="C696" s="65" t="s">
        <v>739</v>
      </c>
      <c r="D696" s="65"/>
      <c r="E696" s="35"/>
      <c r="F696" s="36"/>
      <c r="G696" s="35" t="s">
        <v>65</v>
      </c>
      <c r="H696" s="37"/>
      <c r="I696" s="38">
        <f>1683</f>
        <v>1683</v>
      </c>
      <c r="J696" s="23"/>
      <c r="K696" s="39"/>
      <c r="L696" s="40"/>
      <c r="M696" s="41"/>
      <c r="N696" s="41"/>
      <c r="O696" s="41"/>
      <c r="P696" s="41"/>
      <c r="Q696" s="41"/>
      <c r="R696" s="23"/>
      <c r="XCY696"/>
      <c r="XCZ696"/>
      <c r="XDA696"/>
      <c r="XDB696"/>
      <c r="XDC696"/>
      <c r="XDD696"/>
      <c r="XDE696"/>
      <c r="XDF696"/>
      <c r="XDG696"/>
      <c r="XDH696"/>
      <c r="XDI696"/>
      <c r="XDJ696"/>
      <c r="XDK696"/>
      <c r="XDL696"/>
      <c r="XDM696"/>
      <c r="XDN696"/>
      <c r="XDO696"/>
      <c r="XDP696"/>
      <c r="XDQ696"/>
      <c r="XDR696"/>
      <c r="XDS696"/>
      <c r="XDT696"/>
      <c r="XDU696"/>
      <c r="XDV696"/>
      <c r="XDW696"/>
      <c r="XDX696"/>
      <c r="XDY696"/>
      <c r="XDZ696"/>
      <c r="XEA696"/>
      <c r="XEB696"/>
      <c r="XEC696"/>
      <c r="XED696"/>
      <c r="XEE696"/>
      <c r="XEF696"/>
      <c r="XEG696"/>
      <c r="XEH696"/>
      <c r="XEI696"/>
      <c r="XEJ696"/>
      <c r="XEK696"/>
      <c r="XEL696"/>
      <c r="XEM696"/>
      <c r="XEN696"/>
      <c r="XEO696"/>
      <c r="XEP696"/>
      <c r="XEQ696"/>
      <c r="XER696"/>
      <c r="XES696"/>
      <c r="XET696"/>
      <c r="XEU696"/>
      <c r="XEV696"/>
      <c r="XEW696"/>
      <c r="XEX696"/>
      <c r="XEY696"/>
      <c r="XEZ696"/>
      <c r="XFA696"/>
      <c r="XFB696"/>
      <c r="XFC696"/>
      <c r="XFD696"/>
    </row>
    <row r="697" spans="1:18 16327:16384" s="26" customFormat="1" ht="29.1" customHeight="1" outlineLevel="3" x14ac:dyDescent="0.25">
      <c r="A697" s="42" t="s">
        <v>1178</v>
      </c>
      <c r="B697" s="43"/>
      <c r="C697" s="66" t="s">
        <v>1179</v>
      </c>
      <c r="D697" s="66"/>
      <c r="E697" s="43" t="s">
        <v>34</v>
      </c>
      <c r="F697" s="44"/>
      <c r="G697" s="43" t="s">
        <v>65</v>
      </c>
      <c r="H697" s="45">
        <v>1.02</v>
      </c>
      <c r="I697" s="46">
        <f>1716.66</f>
        <v>1716.66</v>
      </c>
      <c r="J697" s="23"/>
      <c r="K697" s="47"/>
      <c r="L697" s="48"/>
      <c r="M697" s="49"/>
      <c r="N697" s="49">
        <f t="shared" si="22"/>
        <v>0</v>
      </c>
      <c r="O697" s="49"/>
      <c r="P697" s="49"/>
      <c r="Q697" s="49"/>
      <c r="R697" s="23"/>
      <c r="XCY697"/>
      <c r="XCZ697"/>
      <c r="XDA697"/>
      <c r="XDB697"/>
      <c r="XDC697"/>
      <c r="XDD697"/>
      <c r="XDE697"/>
      <c r="XDF697"/>
      <c r="XDG697"/>
      <c r="XDH697"/>
      <c r="XDI697"/>
      <c r="XDJ697"/>
      <c r="XDK697"/>
      <c r="XDL697"/>
      <c r="XDM697"/>
      <c r="XDN697"/>
      <c r="XDO697"/>
      <c r="XDP697"/>
      <c r="XDQ697"/>
      <c r="XDR697"/>
      <c r="XDS697"/>
      <c r="XDT697"/>
      <c r="XDU697"/>
      <c r="XDV697"/>
      <c r="XDW697"/>
      <c r="XDX697"/>
      <c r="XDY697"/>
      <c r="XDZ697"/>
      <c r="XEA697"/>
      <c r="XEB697"/>
      <c r="XEC697"/>
      <c r="XED697"/>
      <c r="XEE697"/>
      <c r="XEF697"/>
      <c r="XEG697"/>
      <c r="XEH697"/>
      <c r="XEI697"/>
      <c r="XEJ697"/>
      <c r="XEK697"/>
      <c r="XEL697"/>
      <c r="XEM697"/>
      <c r="XEN697"/>
      <c r="XEO697"/>
      <c r="XEP697"/>
      <c r="XEQ697"/>
      <c r="XER697"/>
      <c r="XES697"/>
      <c r="XET697"/>
      <c r="XEU697"/>
      <c r="XEV697"/>
      <c r="XEW697"/>
      <c r="XEX697"/>
      <c r="XEY697"/>
      <c r="XEZ697"/>
      <c r="XFA697"/>
      <c r="XFB697"/>
      <c r="XFC697"/>
      <c r="XFD697"/>
    </row>
    <row r="698" spans="1:18 16327:16384" s="26" customFormat="1" ht="29.1" customHeight="1" outlineLevel="2" x14ac:dyDescent="0.25">
      <c r="A698" s="34" t="s">
        <v>1180</v>
      </c>
      <c r="B698" s="35"/>
      <c r="C698" s="65" t="s">
        <v>75</v>
      </c>
      <c r="D698" s="65"/>
      <c r="E698" s="35"/>
      <c r="F698" s="36"/>
      <c r="G698" s="35" t="s">
        <v>65</v>
      </c>
      <c r="H698" s="37"/>
      <c r="I698" s="38">
        <f>220</f>
        <v>220</v>
      </c>
      <c r="J698" s="23"/>
      <c r="K698" s="39"/>
      <c r="L698" s="40"/>
      <c r="M698" s="41"/>
      <c r="N698" s="41"/>
      <c r="O698" s="41"/>
      <c r="P698" s="41"/>
      <c r="Q698" s="41"/>
      <c r="R698" s="23"/>
      <c r="XCY698"/>
      <c r="XCZ698"/>
      <c r="XDA698"/>
      <c r="XDB698"/>
      <c r="XDC698"/>
      <c r="XDD698"/>
      <c r="XDE698"/>
      <c r="XDF698"/>
      <c r="XDG698"/>
      <c r="XDH698"/>
      <c r="XDI698"/>
      <c r="XDJ698"/>
      <c r="XDK698"/>
      <c r="XDL698"/>
      <c r="XDM698"/>
      <c r="XDN698"/>
      <c r="XDO698"/>
      <c r="XDP698"/>
      <c r="XDQ698"/>
      <c r="XDR698"/>
      <c r="XDS698"/>
      <c r="XDT698"/>
      <c r="XDU698"/>
      <c r="XDV698"/>
      <c r="XDW698"/>
      <c r="XDX698"/>
      <c r="XDY698"/>
      <c r="XDZ698"/>
      <c r="XEA698"/>
      <c r="XEB698"/>
      <c r="XEC698"/>
      <c r="XED698"/>
      <c r="XEE698"/>
      <c r="XEF698"/>
      <c r="XEG698"/>
      <c r="XEH698"/>
      <c r="XEI698"/>
      <c r="XEJ698"/>
      <c r="XEK698"/>
      <c r="XEL698"/>
      <c r="XEM698"/>
      <c r="XEN698"/>
      <c r="XEO698"/>
      <c r="XEP698"/>
      <c r="XEQ698"/>
      <c r="XER698"/>
      <c r="XES698"/>
      <c r="XET698"/>
      <c r="XEU698"/>
      <c r="XEV698"/>
      <c r="XEW698"/>
      <c r="XEX698"/>
      <c r="XEY698"/>
      <c r="XEZ698"/>
      <c r="XFA698"/>
      <c r="XFB698"/>
      <c r="XFC698"/>
      <c r="XFD698"/>
    </row>
    <row r="699" spans="1:18 16327:16384" s="26" customFormat="1" ht="29.1" customHeight="1" outlineLevel="3" x14ac:dyDescent="0.25">
      <c r="A699" s="42" t="s">
        <v>1181</v>
      </c>
      <c r="B699" s="43"/>
      <c r="C699" s="66" t="s">
        <v>1182</v>
      </c>
      <c r="D699" s="66"/>
      <c r="E699" s="43" t="s">
        <v>34</v>
      </c>
      <c r="F699" s="44"/>
      <c r="G699" s="43" t="s">
        <v>65</v>
      </c>
      <c r="H699" s="45">
        <v>1.02</v>
      </c>
      <c r="I699" s="46">
        <f>224.4</f>
        <v>224.4</v>
      </c>
      <c r="J699" s="23"/>
      <c r="K699" s="47"/>
      <c r="L699" s="48"/>
      <c r="M699" s="49"/>
      <c r="N699" s="49">
        <f t="shared" si="22"/>
        <v>0</v>
      </c>
      <c r="O699" s="49"/>
      <c r="P699" s="49"/>
      <c r="Q699" s="49"/>
      <c r="R699" s="23"/>
      <c r="XCY699"/>
      <c r="XCZ699"/>
      <c r="XDA699"/>
      <c r="XDB699"/>
      <c r="XDC699"/>
      <c r="XDD699"/>
      <c r="XDE699"/>
      <c r="XDF699"/>
      <c r="XDG699"/>
      <c r="XDH699"/>
      <c r="XDI699"/>
      <c r="XDJ699"/>
      <c r="XDK699"/>
      <c r="XDL699"/>
      <c r="XDM699"/>
      <c r="XDN699"/>
      <c r="XDO699"/>
      <c r="XDP699"/>
      <c r="XDQ699"/>
      <c r="XDR699"/>
      <c r="XDS699"/>
      <c r="XDT699"/>
      <c r="XDU699"/>
      <c r="XDV699"/>
      <c r="XDW699"/>
      <c r="XDX699"/>
      <c r="XDY699"/>
      <c r="XDZ699"/>
      <c r="XEA699"/>
      <c r="XEB699"/>
      <c r="XEC699"/>
      <c r="XED699"/>
      <c r="XEE699"/>
      <c r="XEF699"/>
      <c r="XEG699"/>
      <c r="XEH699"/>
      <c r="XEI699"/>
      <c r="XEJ699"/>
      <c r="XEK699"/>
      <c r="XEL699"/>
      <c r="XEM699"/>
      <c r="XEN699"/>
      <c r="XEO699"/>
      <c r="XEP699"/>
      <c r="XEQ699"/>
      <c r="XER699"/>
      <c r="XES699"/>
      <c r="XET699"/>
      <c r="XEU699"/>
      <c r="XEV699"/>
      <c r="XEW699"/>
      <c r="XEX699"/>
      <c r="XEY699"/>
      <c r="XEZ699"/>
      <c r="XFA699"/>
      <c r="XFB699"/>
      <c r="XFC699"/>
      <c r="XFD699"/>
    </row>
    <row r="700" spans="1:18 16327:16384" s="26" customFormat="1" ht="29.1" customHeight="1" outlineLevel="2" x14ac:dyDescent="0.25">
      <c r="A700" s="34" t="s">
        <v>1183</v>
      </c>
      <c r="B700" s="35"/>
      <c r="C700" s="65" t="s">
        <v>1184</v>
      </c>
      <c r="D700" s="65"/>
      <c r="E700" s="35"/>
      <c r="F700" s="36"/>
      <c r="G700" s="35" t="s">
        <v>65</v>
      </c>
      <c r="H700" s="37"/>
      <c r="I700" s="38">
        <f>25</f>
        <v>25</v>
      </c>
      <c r="J700" s="23"/>
      <c r="K700" s="39"/>
      <c r="L700" s="40"/>
      <c r="M700" s="41"/>
      <c r="N700" s="41"/>
      <c r="O700" s="41"/>
      <c r="P700" s="41"/>
      <c r="Q700" s="41"/>
      <c r="R700" s="23"/>
      <c r="XCY700"/>
      <c r="XCZ700"/>
      <c r="XDA700"/>
      <c r="XDB700"/>
      <c r="XDC700"/>
      <c r="XDD700"/>
      <c r="XDE700"/>
      <c r="XDF700"/>
      <c r="XDG700"/>
      <c r="XDH700"/>
      <c r="XDI700"/>
      <c r="XDJ700"/>
      <c r="XDK700"/>
      <c r="XDL700"/>
      <c r="XDM700"/>
      <c r="XDN700"/>
      <c r="XDO700"/>
      <c r="XDP700"/>
      <c r="XDQ700"/>
      <c r="XDR700"/>
      <c r="XDS700"/>
      <c r="XDT700"/>
      <c r="XDU700"/>
      <c r="XDV700"/>
      <c r="XDW700"/>
      <c r="XDX700"/>
      <c r="XDY700"/>
      <c r="XDZ700"/>
      <c r="XEA700"/>
      <c r="XEB700"/>
      <c r="XEC700"/>
      <c r="XED700"/>
      <c r="XEE700"/>
      <c r="XEF700"/>
      <c r="XEG700"/>
      <c r="XEH700"/>
      <c r="XEI700"/>
      <c r="XEJ700"/>
      <c r="XEK700"/>
      <c r="XEL700"/>
      <c r="XEM700"/>
      <c r="XEN700"/>
      <c r="XEO700"/>
      <c r="XEP700"/>
      <c r="XEQ700"/>
      <c r="XER700"/>
      <c r="XES700"/>
      <c r="XET700"/>
      <c r="XEU700"/>
      <c r="XEV700"/>
      <c r="XEW700"/>
      <c r="XEX700"/>
      <c r="XEY700"/>
      <c r="XEZ700"/>
      <c r="XFA700"/>
      <c r="XFB700"/>
      <c r="XFC700"/>
      <c r="XFD700"/>
    </row>
    <row r="701" spans="1:18 16327:16384" s="26" customFormat="1" ht="29.1" customHeight="1" outlineLevel="3" x14ac:dyDescent="0.25">
      <c r="A701" s="42" t="s">
        <v>1185</v>
      </c>
      <c r="B701" s="43"/>
      <c r="C701" s="66" t="s">
        <v>1186</v>
      </c>
      <c r="D701" s="66"/>
      <c r="E701" s="43" t="s">
        <v>34</v>
      </c>
      <c r="F701" s="44"/>
      <c r="G701" s="43" t="s">
        <v>65</v>
      </c>
      <c r="H701" s="45">
        <v>1.02</v>
      </c>
      <c r="I701" s="46">
        <f>25.5</f>
        <v>25.5</v>
      </c>
      <c r="J701" s="23"/>
      <c r="K701" s="47"/>
      <c r="L701" s="48"/>
      <c r="M701" s="49"/>
      <c r="N701" s="49">
        <f t="shared" si="22"/>
        <v>0</v>
      </c>
      <c r="O701" s="49"/>
      <c r="P701" s="49"/>
      <c r="Q701" s="49"/>
      <c r="R701" s="23"/>
      <c r="XCY701"/>
      <c r="XCZ701"/>
      <c r="XDA701"/>
      <c r="XDB701"/>
      <c r="XDC701"/>
      <c r="XDD701"/>
      <c r="XDE701"/>
      <c r="XDF701"/>
      <c r="XDG701"/>
      <c r="XDH701"/>
      <c r="XDI701"/>
      <c r="XDJ701"/>
      <c r="XDK701"/>
      <c r="XDL701"/>
      <c r="XDM701"/>
      <c r="XDN701"/>
      <c r="XDO701"/>
      <c r="XDP701"/>
      <c r="XDQ701"/>
      <c r="XDR701"/>
      <c r="XDS701"/>
      <c r="XDT701"/>
      <c r="XDU701"/>
      <c r="XDV701"/>
      <c r="XDW701"/>
      <c r="XDX701"/>
      <c r="XDY701"/>
      <c r="XDZ701"/>
      <c r="XEA701"/>
      <c r="XEB701"/>
      <c r="XEC701"/>
      <c r="XED701"/>
      <c r="XEE701"/>
      <c r="XEF701"/>
      <c r="XEG701"/>
      <c r="XEH701"/>
      <c r="XEI701"/>
      <c r="XEJ701"/>
      <c r="XEK701"/>
      <c r="XEL701"/>
      <c r="XEM701"/>
      <c r="XEN701"/>
      <c r="XEO701"/>
      <c r="XEP701"/>
      <c r="XEQ701"/>
      <c r="XER701"/>
      <c r="XES701"/>
      <c r="XET701"/>
      <c r="XEU701"/>
      <c r="XEV701"/>
      <c r="XEW701"/>
      <c r="XEX701"/>
      <c r="XEY701"/>
      <c r="XEZ701"/>
      <c r="XFA701"/>
      <c r="XFB701"/>
      <c r="XFC701"/>
      <c r="XFD701"/>
    </row>
    <row r="702" spans="1:18 16327:16384" s="26" customFormat="1" ht="29.1" customHeight="1" outlineLevel="2" x14ac:dyDescent="0.25">
      <c r="A702" s="34" t="s">
        <v>1187</v>
      </c>
      <c r="B702" s="35"/>
      <c r="C702" s="65" t="s">
        <v>552</v>
      </c>
      <c r="D702" s="65"/>
      <c r="E702" s="35"/>
      <c r="F702" s="36"/>
      <c r="G702" s="35" t="s">
        <v>65</v>
      </c>
      <c r="H702" s="37"/>
      <c r="I702" s="38">
        <f>65</f>
        <v>65</v>
      </c>
      <c r="J702" s="23"/>
      <c r="K702" s="39"/>
      <c r="L702" s="40"/>
      <c r="M702" s="41"/>
      <c r="N702" s="41"/>
      <c r="O702" s="41"/>
      <c r="P702" s="41"/>
      <c r="Q702" s="41"/>
      <c r="R702" s="23"/>
      <c r="XCY702"/>
      <c r="XCZ702"/>
      <c r="XDA702"/>
      <c r="XDB702"/>
      <c r="XDC702"/>
      <c r="XDD702"/>
      <c r="XDE702"/>
      <c r="XDF702"/>
      <c r="XDG702"/>
      <c r="XDH702"/>
      <c r="XDI702"/>
      <c r="XDJ702"/>
      <c r="XDK702"/>
      <c r="XDL702"/>
      <c r="XDM702"/>
      <c r="XDN702"/>
      <c r="XDO702"/>
      <c r="XDP702"/>
      <c r="XDQ702"/>
      <c r="XDR702"/>
      <c r="XDS702"/>
      <c r="XDT702"/>
      <c r="XDU702"/>
      <c r="XDV702"/>
      <c r="XDW702"/>
      <c r="XDX702"/>
      <c r="XDY702"/>
      <c r="XDZ702"/>
      <c r="XEA702"/>
      <c r="XEB702"/>
      <c r="XEC702"/>
      <c r="XED702"/>
      <c r="XEE702"/>
      <c r="XEF702"/>
      <c r="XEG702"/>
      <c r="XEH702"/>
      <c r="XEI702"/>
      <c r="XEJ702"/>
      <c r="XEK702"/>
      <c r="XEL702"/>
      <c r="XEM702"/>
      <c r="XEN702"/>
      <c r="XEO702"/>
      <c r="XEP702"/>
      <c r="XEQ702"/>
      <c r="XER702"/>
      <c r="XES702"/>
      <c r="XET702"/>
      <c r="XEU702"/>
      <c r="XEV702"/>
      <c r="XEW702"/>
      <c r="XEX702"/>
      <c r="XEY702"/>
      <c r="XEZ702"/>
      <c r="XFA702"/>
      <c r="XFB702"/>
      <c r="XFC702"/>
      <c r="XFD702"/>
    </row>
    <row r="703" spans="1:18 16327:16384" s="26" customFormat="1" ht="29.1" customHeight="1" outlineLevel="3" x14ac:dyDescent="0.25">
      <c r="A703" s="42" t="s">
        <v>1188</v>
      </c>
      <c r="B703" s="43"/>
      <c r="C703" s="66" t="s">
        <v>1189</v>
      </c>
      <c r="D703" s="66"/>
      <c r="E703" s="43" t="s">
        <v>34</v>
      </c>
      <c r="F703" s="44"/>
      <c r="G703" s="43" t="s">
        <v>65</v>
      </c>
      <c r="H703" s="45">
        <v>1.02</v>
      </c>
      <c r="I703" s="46">
        <f>66.3</f>
        <v>66.3</v>
      </c>
      <c r="J703" s="23"/>
      <c r="K703" s="47"/>
      <c r="L703" s="48"/>
      <c r="M703" s="49"/>
      <c r="N703" s="49">
        <f t="shared" si="22"/>
        <v>0</v>
      </c>
      <c r="O703" s="49"/>
      <c r="P703" s="49"/>
      <c r="Q703" s="49"/>
      <c r="R703" s="23"/>
      <c r="XCY703"/>
      <c r="XCZ703"/>
      <c r="XDA703"/>
      <c r="XDB703"/>
      <c r="XDC703"/>
      <c r="XDD703"/>
      <c r="XDE703"/>
      <c r="XDF703"/>
      <c r="XDG703"/>
      <c r="XDH703"/>
      <c r="XDI703"/>
      <c r="XDJ703"/>
      <c r="XDK703"/>
      <c r="XDL703"/>
      <c r="XDM703"/>
      <c r="XDN703"/>
      <c r="XDO703"/>
      <c r="XDP703"/>
      <c r="XDQ703"/>
      <c r="XDR703"/>
      <c r="XDS703"/>
      <c r="XDT703"/>
      <c r="XDU703"/>
      <c r="XDV703"/>
      <c r="XDW703"/>
      <c r="XDX703"/>
      <c r="XDY703"/>
      <c r="XDZ703"/>
      <c r="XEA703"/>
      <c r="XEB703"/>
      <c r="XEC703"/>
      <c r="XED703"/>
      <c r="XEE703"/>
      <c r="XEF703"/>
      <c r="XEG703"/>
      <c r="XEH703"/>
      <c r="XEI703"/>
      <c r="XEJ703"/>
      <c r="XEK703"/>
      <c r="XEL703"/>
      <c r="XEM703"/>
      <c r="XEN703"/>
      <c r="XEO703"/>
      <c r="XEP703"/>
      <c r="XEQ703"/>
      <c r="XER703"/>
      <c r="XES703"/>
      <c r="XET703"/>
      <c r="XEU703"/>
      <c r="XEV703"/>
      <c r="XEW703"/>
      <c r="XEX703"/>
      <c r="XEY703"/>
      <c r="XEZ703"/>
      <c r="XFA703"/>
      <c r="XFB703"/>
      <c r="XFC703"/>
      <c r="XFD703"/>
    </row>
    <row r="704" spans="1:18 16327:16384" s="26" customFormat="1" ht="29.1" customHeight="1" outlineLevel="2" x14ac:dyDescent="0.25">
      <c r="A704" s="34" t="s">
        <v>1190</v>
      </c>
      <c r="B704" s="35"/>
      <c r="C704" s="65" t="s">
        <v>1184</v>
      </c>
      <c r="D704" s="65"/>
      <c r="E704" s="35"/>
      <c r="F704" s="36"/>
      <c r="G704" s="35" t="s">
        <v>65</v>
      </c>
      <c r="H704" s="37"/>
      <c r="I704" s="38">
        <f>25</f>
        <v>25</v>
      </c>
      <c r="J704" s="23"/>
      <c r="K704" s="39"/>
      <c r="L704" s="40"/>
      <c r="M704" s="41"/>
      <c r="N704" s="41"/>
      <c r="O704" s="41"/>
      <c r="P704" s="41"/>
      <c r="Q704" s="41"/>
      <c r="R704" s="23"/>
      <c r="XCY704"/>
      <c r="XCZ704"/>
      <c r="XDA704"/>
      <c r="XDB704"/>
      <c r="XDC704"/>
      <c r="XDD704"/>
      <c r="XDE704"/>
      <c r="XDF704"/>
      <c r="XDG704"/>
      <c r="XDH704"/>
      <c r="XDI704"/>
      <c r="XDJ704"/>
      <c r="XDK704"/>
      <c r="XDL704"/>
      <c r="XDM704"/>
      <c r="XDN704"/>
      <c r="XDO704"/>
      <c r="XDP704"/>
      <c r="XDQ704"/>
      <c r="XDR704"/>
      <c r="XDS704"/>
      <c r="XDT704"/>
      <c r="XDU704"/>
      <c r="XDV704"/>
      <c r="XDW704"/>
      <c r="XDX704"/>
      <c r="XDY704"/>
      <c r="XDZ704"/>
      <c r="XEA704"/>
      <c r="XEB704"/>
      <c r="XEC704"/>
      <c r="XED704"/>
      <c r="XEE704"/>
      <c r="XEF704"/>
      <c r="XEG704"/>
      <c r="XEH704"/>
      <c r="XEI704"/>
      <c r="XEJ704"/>
      <c r="XEK704"/>
      <c r="XEL704"/>
      <c r="XEM704"/>
      <c r="XEN704"/>
      <c r="XEO704"/>
      <c r="XEP704"/>
      <c r="XEQ704"/>
      <c r="XER704"/>
      <c r="XES704"/>
      <c r="XET704"/>
      <c r="XEU704"/>
      <c r="XEV704"/>
      <c r="XEW704"/>
      <c r="XEX704"/>
      <c r="XEY704"/>
      <c r="XEZ704"/>
      <c r="XFA704"/>
      <c r="XFB704"/>
      <c r="XFC704"/>
      <c r="XFD704"/>
    </row>
    <row r="705" spans="1:18 16327:16384" s="26" customFormat="1" ht="29.1" customHeight="1" outlineLevel="3" x14ac:dyDescent="0.25">
      <c r="A705" s="42" t="s">
        <v>1191</v>
      </c>
      <c r="B705" s="43"/>
      <c r="C705" s="66" t="s">
        <v>1192</v>
      </c>
      <c r="D705" s="66"/>
      <c r="E705" s="43" t="s">
        <v>34</v>
      </c>
      <c r="F705" s="44"/>
      <c r="G705" s="43" t="s">
        <v>65</v>
      </c>
      <c r="H705" s="45">
        <v>1.02</v>
      </c>
      <c r="I705" s="46">
        <f>25.5</f>
        <v>25.5</v>
      </c>
      <c r="J705" s="23"/>
      <c r="K705" s="47"/>
      <c r="L705" s="48"/>
      <c r="M705" s="49"/>
      <c r="N705" s="49">
        <f t="shared" si="22"/>
        <v>0</v>
      </c>
      <c r="O705" s="49"/>
      <c r="P705" s="49"/>
      <c r="Q705" s="49"/>
      <c r="R705" s="23"/>
      <c r="XCY705"/>
      <c r="XCZ705"/>
      <c r="XDA705"/>
      <c r="XDB705"/>
      <c r="XDC705"/>
      <c r="XDD705"/>
      <c r="XDE705"/>
      <c r="XDF705"/>
      <c r="XDG705"/>
      <c r="XDH705"/>
      <c r="XDI705"/>
      <c r="XDJ705"/>
      <c r="XDK705"/>
      <c r="XDL705"/>
      <c r="XDM705"/>
      <c r="XDN705"/>
      <c r="XDO705"/>
      <c r="XDP705"/>
      <c r="XDQ705"/>
      <c r="XDR705"/>
      <c r="XDS705"/>
      <c r="XDT705"/>
      <c r="XDU705"/>
      <c r="XDV705"/>
      <c r="XDW705"/>
      <c r="XDX705"/>
      <c r="XDY705"/>
      <c r="XDZ705"/>
      <c r="XEA705"/>
      <c r="XEB705"/>
      <c r="XEC705"/>
      <c r="XED705"/>
      <c r="XEE705"/>
      <c r="XEF705"/>
      <c r="XEG705"/>
      <c r="XEH705"/>
      <c r="XEI705"/>
      <c r="XEJ705"/>
      <c r="XEK705"/>
      <c r="XEL705"/>
      <c r="XEM705"/>
      <c r="XEN705"/>
      <c r="XEO705"/>
      <c r="XEP705"/>
      <c r="XEQ705"/>
      <c r="XER705"/>
      <c r="XES705"/>
      <c r="XET705"/>
      <c r="XEU705"/>
      <c r="XEV705"/>
      <c r="XEW705"/>
      <c r="XEX705"/>
      <c r="XEY705"/>
      <c r="XEZ705"/>
      <c r="XFA705"/>
      <c r="XFB705"/>
      <c r="XFC705"/>
      <c r="XFD705"/>
    </row>
    <row r="706" spans="1:18 16327:16384" s="26" customFormat="1" ht="29.1" customHeight="1" outlineLevel="2" x14ac:dyDescent="0.25">
      <c r="A706" s="34" t="s">
        <v>1193</v>
      </c>
      <c r="B706" s="35"/>
      <c r="C706" s="65" t="s">
        <v>552</v>
      </c>
      <c r="D706" s="65"/>
      <c r="E706" s="35"/>
      <c r="F706" s="36"/>
      <c r="G706" s="35" t="s">
        <v>65</v>
      </c>
      <c r="H706" s="37"/>
      <c r="I706" s="38">
        <f>17</f>
        <v>17</v>
      </c>
      <c r="J706" s="23"/>
      <c r="K706" s="39"/>
      <c r="L706" s="40"/>
      <c r="M706" s="41"/>
      <c r="N706" s="41"/>
      <c r="O706" s="41"/>
      <c r="P706" s="41"/>
      <c r="Q706" s="41"/>
      <c r="R706" s="23"/>
      <c r="XCY706"/>
      <c r="XCZ706"/>
      <c r="XDA706"/>
      <c r="XDB706"/>
      <c r="XDC706"/>
      <c r="XDD706"/>
      <c r="XDE706"/>
      <c r="XDF706"/>
      <c r="XDG706"/>
      <c r="XDH706"/>
      <c r="XDI706"/>
      <c r="XDJ706"/>
      <c r="XDK706"/>
      <c r="XDL706"/>
      <c r="XDM706"/>
      <c r="XDN706"/>
      <c r="XDO706"/>
      <c r="XDP706"/>
      <c r="XDQ706"/>
      <c r="XDR706"/>
      <c r="XDS706"/>
      <c r="XDT706"/>
      <c r="XDU706"/>
      <c r="XDV706"/>
      <c r="XDW706"/>
      <c r="XDX706"/>
      <c r="XDY706"/>
      <c r="XDZ706"/>
      <c r="XEA706"/>
      <c r="XEB706"/>
      <c r="XEC706"/>
      <c r="XED706"/>
      <c r="XEE706"/>
      <c r="XEF706"/>
      <c r="XEG706"/>
      <c r="XEH706"/>
      <c r="XEI706"/>
      <c r="XEJ706"/>
      <c r="XEK706"/>
      <c r="XEL706"/>
      <c r="XEM706"/>
      <c r="XEN706"/>
      <c r="XEO706"/>
      <c r="XEP706"/>
      <c r="XEQ706"/>
      <c r="XER706"/>
      <c r="XES706"/>
      <c r="XET706"/>
      <c r="XEU706"/>
      <c r="XEV706"/>
      <c r="XEW706"/>
      <c r="XEX706"/>
      <c r="XEY706"/>
      <c r="XEZ706"/>
      <c r="XFA706"/>
      <c r="XFB706"/>
      <c r="XFC706"/>
      <c r="XFD706"/>
    </row>
    <row r="707" spans="1:18 16327:16384" s="26" customFormat="1" ht="29.1" customHeight="1" outlineLevel="3" x14ac:dyDescent="0.25">
      <c r="A707" s="42" t="s">
        <v>1194</v>
      </c>
      <c r="B707" s="43"/>
      <c r="C707" s="66" t="s">
        <v>1195</v>
      </c>
      <c r="D707" s="66"/>
      <c r="E707" s="43" t="s">
        <v>34</v>
      </c>
      <c r="F707" s="44"/>
      <c r="G707" s="43" t="s">
        <v>65</v>
      </c>
      <c r="H707" s="45">
        <v>1.02</v>
      </c>
      <c r="I707" s="46">
        <f>17.34</f>
        <v>17.34</v>
      </c>
      <c r="J707" s="23"/>
      <c r="K707" s="47"/>
      <c r="L707" s="48"/>
      <c r="M707" s="49"/>
      <c r="N707" s="49">
        <f t="shared" si="22"/>
        <v>0</v>
      </c>
      <c r="O707" s="49"/>
      <c r="P707" s="49"/>
      <c r="Q707" s="49"/>
      <c r="R707" s="23"/>
      <c r="XCY707"/>
      <c r="XCZ707"/>
      <c r="XDA707"/>
      <c r="XDB707"/>
      <c r="XDC707"/>
      <c r="XDD707"/>
      <c r="XDE707"/>
      <c r="XDF707"/>
      <c r="XDG707"/>
      <c r="XDH707"/>
      <c r="XDI707"/>
      <c r="XDJ707"/>
      <c r="XDK707"/>
      <c r="XDL707"/>
      <c r="XDM707"/>
      <c r="XDN707"/>
      <c r="XDO707"/>
      <c r="XDP707"/>
      <c r="XDQ707"/>
      <c r="XDR707"/>
      <c r="XDS707"/>
      <c r="XDT707"/>
      <c r="XDU707"/>
      <c r="XDV707"/>
      <c r="XDW707"/>
      <c r="XDX707"/>
      <c r="XDY707"/>
      <c r="XDZ707"/>
      <c r="XEA707"/>
      <c r="XEB707"/>
      <c r="XEC707"/>
      <c r="XED707"/>
      <c r="XEE707"/>
      <c r="XEF707"/>
      <c r="XEG707"/>
      <c r="XEH707"/>
      <c r="XEI707"/>
      <c r="XEJ707"/>
      <c r="XEK707"/>
      <c r="XEL707"/>
      <c r="XEM707"/>
      <c r="XEN707"/>
      <c r="XEO707"/>
      <c r="XEP707"/>
      <c r="XEQ707"/>
      <c r="XER707"/>
      <c r="XES707"/>
      <c r="XET707"/>
      <c r="XEU707"/>
      <c r="XEV707"/>
      <c r="XEW707"/>
      <c r="XEX707"/>
      <c r="XEY707"/>
      <c r="XEZ707"/>
      <c r="XFA707"/>
      <c r="XFB707"/>
      <c r="XFC707"/>
      <c r="XFD707"/>
    </row>
    <row r="708" spans="1:18 16327:16384" s="26" customFormat="1" ht="29.1" customHeight="1" outlineLevel="2" x14ac:dyDescent="0.25">
      <c r="A708" s="34" t="s">
        <v>1196</v>
      </c>
      <c r="B708" s="35"/>
      <c r="C708" s="65" t="s">
        <v>739</v>
      </c>
      <c r="D708" s="65"/>
      <c r="E708" s="35"/>
      <c r="F708" s="36"/>
      <c r="G708" s="35" t="s">
        <v>65</v>
      </c>
      <c r="H708" s="37"/>
      <c r="I708" s="38">
        <f>485</f>
        <v>485</v>
      </c>
      <c r="J708" s="23"/>
      <c r="K708" s="39"/>
      <c r="L708" s="40"/>
      <c r="M708" s="41"/>
      <c r="N708" s="41"/>
      <c r="O708" s="41"/>
      <c r="P708" s="41"/>
      <c r="Q708" s="41"/>
      <c r="R708" s="23"/>
      <c r="XCY708"/>
      <c r="XCZ708"/>
      <c r="XDA708"/>
      <c r="XDB708"/>
      <c r="XDC708"/>
      <c r="XDD708"/>
      <c r="XDE708"/>
      <c r="XDF708"/>
      <c r="XDG708"/>
      <c r="XDH708"/>
      <c r="XDI708"/>
      <c r="XDJ708"/>
      <c r="XDK708"/>
      <c r="XDL708"/>
      <c r="XDM708"/>
      <c r="XDN708"/>
      <c r="XDO708"/>
      <c r="XDP708"/>
      <c r="XDQ708"/>
      <c r="XDR708"/>
      <c r="XDS708"/>
      <c r="XDT708"/>
      <c r="XDU708"/>
      <c r="XDV708"/>
      <c r="XDW708"/>
      <c r="XDX708"/>
      <c r="XDY708"/>
      <c r="XDZ708"/>
      <c r="XEA708"/>
      <c r="XEB708"/>
      <c r="XEC708"/>
      <c r="XED708"/>
      <c r="XEE708"/>
      <c r="XEF708"/>
      <c r="XEG708"/>
      <c r="XEH708"/>
      <c r="XEI708"/>
      <c r="XEJ708"/>
      <c r="XEK708"/>
      <c r="XEL708"/>
      <c r="XEM708"/>
      <c r="XEN708"/>
      <c r="XEO708"/>
      <c r="XEP708"/>
      <c r="XEQ708"/>
      <c r="XER708"/>
      <c r="XES708"/>
      <c r="XET708"/>
      <c r="XEU708"/>
      <c r="XEV708"/>
      <c r="XEW708"/>
      <c r="XEX708"/>
      <c r="XEY708"/>
      <c r="XEZ708"/>
      <c r="XFA708"/>
      <c r="XFB708"/>
      <c r="XFC708"/>
      <c r="XFD708"/>
    </row>
    <row r="709" spans="1:18 16327:16384" s="26" customFormat="1" ht="29.1" customHeight="1" outlineLevel="3" x14ac:dyDescent="0.25">
      <c r="A709" s="42" t="s">
        <v>1197</v>
      </c>
      <c r="B709" s="43"/>
      <c r="C709" s="66" t="s">
        <v>1198</v>
      </c>
      <c r="D709" s="66"/>
      <c r="E709" s="43" t="s">
        <v>34</v>
      </c>
      <c r="F709" s="44"/>
      <c r="G709" s="43" t="s">
        <v>65</v>
      </c>
      <c r="H709" s="45">
        <v>1.02</v>
      </c>
      <c r="I709" s="46">
        <f>494.7</f>
        <v>494.7</v>
      </c>
      <c r="J709" s="23"/>
      <c r="K709" s="47"/>
      <c r="L709" s="48"/>
      <c r="M709" s="49"/>
      <c r="N709" s="49">
        <f t="shared" si="22"/>
        <v>0</v>
      </c>
      <c r="O709" s="49"/>
      <c r="P709" s="49"/>
      <c r="Q709" s="49"/>
      <c r="R709" s="23"/>
      <c r="XCY709"/>
      <c r="XCZ709"/>
      <c r="XDA709"/>
      <c r="XDB709"/>
      <c r="XDC709"/>
      <c r="XDD709"/>
      <c r="XDE709"/>
      <c r="XDF709"/>
      <c r="XDG709"/>
      <c r="XDH709"/>
      <c r="XDI709"/>
      <c r="XDJ709"/>
      <c r="XDK709"/>
      <c r="XDL709"/>
      <c r="XDM709"/>
      <c r="XDN709"/>
      <c r="XDO709"/>
      <c r="XDP709"/>
      <c r="XDQ709"/>
      <c r="XDR709"/>
      <c r="XDS709"/>
      <c r="XDT709"/>
      <c r="XDU709"/>
      <c r="XDV709"/>
      <c r="XDW709"/>
      <c r="XDX709"/>
      <c r="XDY709"/>
      <c r="XDZ709"/>
      <c r="XEA709"/>
      <c r="XEB709"/>
      <c r="XEC709"/>
      <c r="XED709"/>
      <c r="XEE709"/>
      <c r="XEF709"/>
      <c r="XEG709"/>
      <c r="XEH709"/>
      <c r="XEI709"/>
      <c r="XEJ709"/>
      <c r="XEK709"/>
      <c r="XEL709"/>
      <c r="XEM709"/>
      <c r="XEN709"/>
      <c r="XEO709"/>
      <c r="XEP709"/>
      <c r="XEQ709"/>
      <c r="XER709"/>
      <c r="XES709"/>
      <c r="XET709"/>
      <c r="XEU709"/>
      <c r="XEV709"/>
      <c r="XEW709"/>
      <c r="XEX709"/>
      <c r="XEY709"/>
      <c r="XEZ709"/>
      <c r="XFA709"/>
      <c r="XFB709"/>
      <c r="XFC709"/>
      <c r="XFD709"/>
    </row>
    <row r="710" spans="1:18 16327:16384" s="26" customFormat="1" ht="29.1" customHeight="1" outlineLevel="2" x14ac:dyDescent="0.25">
      <c r="A710" s="34" t="s">
        <v>1199</v>
      </c>
      <c r="B710" s="35"/>
      <c r="C710" s="65" t="s">
        <v>75</v>
      </c>
      <c r="D710" s="65"/>
      <c r="E710" s="35"/>
      <c r="F710" s="36"/>
      <c r="G710" s="35" t="s">
        <v>65</v>
      </c>
      <c r="H710" s="37"/>
      <c r="I710" s="38">
        <f>56</f>
        <v>56</v>
      </c>
      <c r="J710" s="23"/>
      <c r="K710" s="39"/>
      <c r="L710" s="40"/>
      <c r="M710" s="41"/>
      <c r="N710" s="41"/>
      <c r="O710" s="41"/>
      <c r="P710" s="41"/>
      <c r="Q710" s="41"/>
      <c r="R710" s="23"/>
      <c r="XCY710"/>
      <c r="XCZ710"/>
      <c r="XDA710"/>
      <c r="XDB710"/>
      <c r="XDC710"/>
      <c r="XDD710"/>
      <c r="XDE710"/>
      <c r="XDF710"/>
      <c r="XDG710"/>
      <c r="XDH710"/>
      <c r="XDI710"/>
      <c r="XDJ710"/>
      <c r="XDK710"/>
      <c r="XDL710"/>
      <c r="XDM710"/>
      <c r="XDN710"/>
      <c r="XDO710"/>
      <c r="XDP710"/>
      <c r="XDQ710"/>
      <c r="XDR710"/>
      <c r="XDS710"/>
      <c r="XDT710"/>
      <c r="XDU710"/>
      <c r="XDV710"/>
      <c r="XDW710"/>
      <c r="XDX710"/>
      <c r="XDY710"/>
      <c r="XDZ710"/>
      <c r="XEA710"/>
      <c r="XEB710"/>
      <c r="XEC710"/>
      <c r="XED710"/>
      <c r="XEE710"/>
      <c r="XEF710"/>
      <c r="XEG710"/>
      <c r="XEH710"/>
      <c r="XEI710"/>
      <c r="XEJ710"/>
      <c r="XEK710"/>
      <c r="XEL710"/>
      <c r="XEM710"/>
      <c r="XEN710"/>
      <c r="XEO710"/>
      <c r="XEP710"/>
      <c r="XEQ710"/>
      <c r="XER710"/>
      <c r="XES710"/>
      <c r="XET710"/>
      <c r="XEU710"/>
      <c r="XEV710"/>
      <c r="XEW710"/>
      <c r="XEX710"/>
      <c r="XEY710"/>
      <c r="XEZ710"/>
      <c r="XFA710"/>
      <c r="XFB710"/>
      <c r="XFC710"/>
      <c r="XFD710"/>
    </row>
    <row r="711" spans="1:18 16327:16384" s="26" customFormat="1" ht="29.1" customHeight="1" outlineLevel="3" x14ac:dyDescent="0.25">
      <c r="A711" s="42" t="s">
        <v>1200</v>
      </c>
      <c r="B711" s="43"/>
      <c r="C711" s="66" t="s">
        <v>1201</v>
      </c>
      <c r="D711" s="66"/>
      <c r="E711" s="43" t="s">
        <v>34</v>
      </c>
      <c r="F711" s="44"/>
      <c r="G711" s="43" t="s">
        <v>65</v>
      </c>
      <c r="H711" s="45">
        <v>1.02</v>
      </c>
      <c r="I711" s="46">
        <f>57.12</f>
        <v>57.12</v>
      </c>
      <c r="J711" s="23"/>
      <c r="K711" s="47"/>
      <c r="L711" s="48"/>
      <c r="M711" s="49"/>
      <c r="N711" s="49">
        <f t="shared" si="22"/>
        <v>0</v>
      </c>
      <c r="O711" s="49"/>
      <c r="P711" s="49"/>
      <c r="Q711" s="49"/>
      <c r="R711" s="23"/>
      <c r="XCY711"/>
      <c r="XCZ711"/>
      <c r="XDA711"/>
      <c r="XDB711"/>
      <c r="XDC711"/>
      <c r="XDD711"/>
      <c r="XDE711"/>
      <c r="XDF711"/>
      <c r="XDG711"/>
      <c r="XDH711"/>
      <c r="XDI711"/>
      <c r="XDJ711"/>
      <c r="XDK711"/>
      <c r="XDL711"/>
      <c r="XDM711"/>
      <c r="XDN711"/>
      <c r="XDO711"/>
      <c r="XDP711"/>
      <c r="XDQ711"/>
      <c r="XDR711"/>
      <c r="XDS711"/>
      <c r="XDT711"/>
      <c r="XDU711"/>
      <c r="XDV711"/>
      <c r="XDW711"/>
      <c r="XDX711"/>
      <c r="XDY711"/>
      <c r="XDZ711"/>
      <c r="XEA711"/>
      <c r="XEB711"/>
      <c r="XEC711"/>
      <c r="XED711"/>
      <c r="XEE711"/>
      <c r="XEF711"/>
      <c r="XEG711"/>
      <c r="XEH711"/>
      <c r="XEI711"/>
      <c r="XEJ711"/>
      <c r="XEK711"/>
      <c r="XEL711"/>
      <c r="XEM711"/>
      <c r="XEN711"/>
      <c r="XEO711"/>
      <c r="XEP711"/>
      <c r="XEQ711"/>
      <c r="XER711"/>
      <c r="XES711"/>
      <c r="XET711"/>
      <c r="XEU711"/>
      <c r="XEV711"/>
      <c r="XEW711"/>
      <c r="XEX711"/>
      <c r="XEY711"/>
      <c r="XEZ711"/>
      <c r="XFA711"/>
      <c r="XFB711"/>
      <c r="XFC711"/>
      <c r="XFD711"/>
    </row>
    <row r="712" spans="1:18 16327:16384" s="26" customFormat="1" ht="29.1" customHeight="1" outlineLevel="2" x14ac:dyDescent="0.25">
      <c r="A712" s="34" t="s">
        <v>1202</v>
      </c>
      <c r="B712" s="35"/>
      <c r="C712" s="65" t="s">
        <v>1184</v>
      </c>
      <c r="D712" s="65"/>
      <c r="E712" s="35"/>
      <c r="F712" s="36"/>
      <c r="G712" s="35" t="s">
        <v>65</v>
      </c>
      <c r="H712" s="37"/>
      <c r="I712" s="38">
        <f>1232</f>
        <v>1232</v>
      </c>
      <c r="J712" s="23"/>
      <c r="K712" s="39"/>
      <c r="L712" s="40"/>
      <c r="M712" s="41"/>
      <c r="N712" s="41"/>
      <c r="O712" s="41"/>
      <c r="P712" s="41"/>
      <c r="Q712" s="41"/>
      <c r="R712" s="23"/>
      <c r="XCY712"/>
      <c r="XCZ712"/>
      <c r="XDA712"/>
      <c r="XDB712"/>
      <c r="XDC712"/>
      <c r="XDD712"/>
      <c r="XDE712"/>
      <c r="XDF712"/>
      <c r="XDG712"/>
      <c r="XDH712"/>
      <c r="XDI712"/>
      <c r="XDJ712"/>
      <c r="XDK712"/>
      <c r="XDL712"/>
      <c r="XDM712"/>
      <c r="XDN712"/>
      <c r="XDO712"/>
      <c r="XDP712"/>
      <c r="XDQ712"/>
      <c r="XDR712"/>
      <c r="XDS712"/>
      <c r="XDT712"/>
      <c r="XDU712"/>
      <c r="XDV712"/>
      <c r="XDW712"/>
      <c r="XDX712"/>
      <c r="XDY712"/>
      <c r="XDZ712"/>
      <c r="XEA712"/>
      <c r="XEB712"/>
      <c r="XEC712"/>
      <c r="XED712"/>
      <c r="XEE712"/>
      <c r="XEF712"/>
      <c r="XEG712"/>
      <c r="XEH712"/>
      <c r="XEI712"/>
      <c r="XEJ712"/>
      <c r="XEK712"/>
      <c r="XEL712"/>
      <c r="XEM712"/>
      <c r="XEN712"/>
      <c r="XEO712"/>
      <c r="XEP712"/>
      <c r="XEQ712"/>
      <c r="XER712"/>
      <c r="XES712"/>
      <c r="XET712"/>
      <c r="XEU712"/>
      <c r="XEV712"/>
      <c r="XEW712"/>
      <c r="XEX712"/>
      <c r="XEY712"/>
      <c r="XEZ712"/>
      <c r="XFA712"/>
      <c r="XFB712"/>
      <c r="XFC712"/>
      <c r="XFD712"/>
    </row>
    <row r="713" spans="1:18 16327:16384" s="26" customFormat="1" ht="29.1" customHeight="1" outlineLevel="3" x14ac:dyDescent="0.25">
      <c r="A713" s="42" t="s">
        <v>1203</v>
      </c>
      <c r="B713" s="43"/>
      <c r="C713" s="66" t="s">
        <v>1204</v>
      </c>
      <c r="D713" s="66"/>
      <c r="E713" s="43" t="s">
        <v>34</v>
      </c>
      <c r="F713" s="44"/>
      <c r="G713" s="43" t="s">
        <v>65</v>
      </c>
      <c r="H713" s="45">
        <v>1.02</v>
      </c>
      <c r="I713" s="46">
        <f>1256.64</f>
        <v>1256.6400000000001</v>
      </c>
      <c r="J713" s="23"/>
      <c r="K713" s="47"/>
      <c r="L713" s="48"/>
      <c r="M713" s="49"/>
      <c r="N713" s="49">
        <f t="shared" si="22"/>
        <v>0</v>
      </c>
      <c r="O713" s="49"/>
      <c r="P713" s="49"/>
      <c r="Q713" s="49"/>
      <c r="R713" s="23"/>
      <c r="XCY713"/>
      <c r="XCZ713"/>
      <c r="XDA713"/>
      <c r="XDB713"/>
      <c r="XDC713"/>
      <c r="XDD713"/>
      <c r="XDE713"/>
      <c r="XDF713"/>
      <c r="XDG713"/>
      <c r="XDH713"/>
      <c r="XDI713"/>
      <c r="XDJ713"/>
      <c r="XDK713"/>
      <c r="XDL713"/>
      <c r="XDM713"/>
      <c r="XDN713"/>
      <c r="XDO713"/>
      <c r="XDP713"/>
      <c r="XDQ713"/>
      <c r="XDR713"/>
      <c r="XDS713"/>
      <c r="XDT713"/>
      <c r="XDU713"/>
      <c r="XDV713"/>
      <c r="XDW713"/>
      <c r="XDX713"/>
      <c r="XDY713"/>
      <c r="XDZ713"/>
      <c r="XEA713"/>
      <c r="XEB713"/>
      <c r="XEC713"/>
      <c r="XED713"/>
      <c r="XEE713"/>
      <c r="XEF713"/>
      <c r="XEG713"/>
      <c r="XEH713"/>
      <c r="XEI713"/>
      <c r="XEJ713"/>
      <c r="XEK713"/>
      <c r="XEL713"/>
      <c r="XEM713"/>
      <c r="XEN713"/>
      <c r="XEO713"/>
      <c r="XEP713"/>
      <c r="XEQ713"/>
      <c r="XER713"/>
      <c r="XES713"/>
      <c r="XET713"/>
      <c r="XEU713"/>
      <c r="XEV713"/>
      <c r="XEW713"/>
      <c r="XEX713"/>
      <c r="XEY713"/>
      <c r="XEZ713"/>
      <c r="XFA713"/>
      <c r="XFB713"/>
      <c r="XFC713"/>
      <c r="XFD713"/>
    </row>
    <row r="714" spans="1:18 16327:16384" s="26" customFormat="1" ht="29.1" customHeight="1" outlineLevel="2" x14ac:dyDescent="0.25">
      <c r="A714" s="34" t="s">
        <v>1205</v>
      </c>
      <c r="B714" s="35"/>
      <c r="C714" s="65" t="s">
        <v>552</v>
      </c>
      <c r="D714" s="65"/>
      <c r="E714" s="35"/>
      <c r="F714" s="36"/>
      <c r="G714" s="35" t="s">
        <v>65</v>
      </c>
      <c r="H714" s="37"/>
      <c r="I714" s="38">
        <f>54</f>
        <v>54</v>
      </c>
      <c r="J714" s="23"/>
      <c r="K714" s="39"/>
      <c r="L714" s="40"/>
      <c r="M714" s="41"/>
      <c r="N714" s="41"/>
      <c r="O714" s="41"/>
      <c r="P714" s="41"/>
      <c r="Q714" s="41"/>
      <c r="R714" s="23"/>
      <c r="XCY714"/>
      <c r="XCZ714"/>
      <c r="XDA714"/>
      <c r="XDB714"/>
      <c r="XDC714"/>
      <c r="XDD714"/>
      <c r="XDE714"/>
      <c r="XDF714"/>
      <c r="XDG714"/>
      <c r="XDH714"/>
      <c r="XDI714"/>
      <c r="XDJ714"/>
      <c r="XDK714"/>
      <c r="XDL714"/>
      <c r="XDM714"/>
      <c r="XDN714"/>
      <c r="XDO714"/>
      <c r="XDP714"/>
      <c r="XDQ714"/>
      <c r="XDR714"/>
      <c r="XDS714"/>
      <c r="XDT714"/>
      <c r="XDU714"/>
      <c r="XDV714"/>
      <c r="XDW714"/>
      <c r="XDX714"/>
      <c r="XDY714"/>
      <c r="XDZ714"/>
      <c r="XEA714"/>
      <c r="XEB714"/>
      <c r="XEC714"/>
      <c r="XED714"/>
      <c r="XEE714"/>
      <c r="XEF714"/>
      <c r="XEG714"/>
      <c r="XEH714"/>
      <c r="XEI714"/>
      <c r="XEJ714"/>
      <c r="XEK714"/>
      <c r="XEL714"/>
      <c r="XEM714"/>
      <c r="XEN714"/>
      <c r="XEO714"/>
      <c r="XEP714"/>
      <c r="XEQ714"/>
      <c r="XER714"/>
      <c r="XES714"/>
      <c r="XET714"/>
      <c r="XEU714"/>
      <c r="XEV714"/>
      <c r="XEW714"/>
      <c r="XEX714"/>
      <c r="XEY714"/>
      <c r="XEZ714"/>
      <c r="XFA714"/>
      <c r="XFB714"/>
      <c r="XFC714"/>
      <c r="XFD714"/>
    </row>
    <row r="715" spans="1:18 16327:16384" s="26" customFormat="1" ht="29.1" customHeight="1" outlineLevel="3" x14ac:dyDescent="0.25">
      <c r="A715" s="42" t="s">
        <v>1206</v>
      </c>
      <c r="B715" s="43"/>
      <c r="C715" s="66" t="s">
        <v>1207</v>
      </c>
      <c r="D715" s="66"/>
      <c r="E715" s="43" t="s">
        <v>34</v>
      </c>
      <c r="F715" s="44"/>
      <c r="G715" s="43" t="s">
        <v>65</v>
      </c>
      <c r="H715" s="45">
        <v>1.02</v>
      </c>
      <c r="I715" s="46">
        <f>55.08</f>
        <v>55.08</v>
      </c>
      <c r="J715" s="23"/>
      <c r="K715" s="47"/>
      <c r="L715" s="48"/>
      <c r="M715" s="49"/>
      <c r="N715" s="49">
        <f t="shared" si="22"/>
        <v>0</v>
      </c>
      <c r="O715" s="49"/>
      <c r="P715" s="49"/>
      <c r="Q715" s="49"/>
      <c r="R715" s="23"/>
      <c r="XCY715"/>
      <c r="XCZ715"/>
      <c r="XDA715"/>
      <c r="XDB715"/>
      <c r="XDC715"/>
      <c r="XDD715"/>
      <c r="XDE715"/>
      <c r="XDF715"/>
      <c r="XDG715"/>
      <c r="XDH715"/>
      <c r="XDI715"/>
      <c r="XDJ715"/>
      <c r="XDK715"/>
      <c r="XDL715"/>
      <c r="XDM715"/>
      <c r="XDN715"/>
      <c r="XDO715"/>
      <c r="XDP715"/>
      <c r="XDQ715"/>
      <c r="XDR715"/>
      <c r="XDS715"/>
      <c r="XDT715"/>
      <c r="XDU715"/>
      <c r="XDV715"/>
      <c r="XDW715"/>
      <c r="XDX715"/>
      <c r="XDY715"/>
      <c r="XDZ715"/>
      <c r="XEA715"/>
      <c r="XEB715"/>
      <c r="XEC715"/>
      <c r="XED715"/>
      <c r="XEE715"/>
      <c r="XEF715"/>
      <c r="XEG715"/>
      <c r="XEH715"/>
      <c r="XEI715"/>
      <c r="XEJ715"/>
      <c r="XEK715"/>
      <c r="XEL715"/>
      <c r="XEM715"/>
      <c r="XEN715"/>
      <c r="XEO715"/>
      <c r="XEP715"/>
      <c r="XEQ715"/>
      <c r="XER715"/>
      <c r="XES715"/>
      <c r="XET715"/>
      <c r="XEU715"/>
      <c r="XEV715"/>
      <c r="XEW715"/>
      <c r="XEX715"/>
      <c r="XEY715"/>
      <c r="XEZ715"/>
      <c r="XFA715"/>
      <c r="XFB715"/>
      <c r="XFC715"/>
      <c r="XFD715"/>
    </row>
    <row r="716" spans="1:18 16327:16384" s="26" customFormat="1" ht="29.1" customHeight="1" outlineLevel="2" x14ac:dyDescent="0.25">
      <c r="A716" s="34" t="s">
        <v>1208</v>
      </c>
      <c r="B716" s="35"/>
      <c r="C716" s="65" t="s">
        <v>64</v>
      </c>
      <c r="D716" s="65"/>
      <c r="E716" s="35"/>
      <c r="F716" s="36"/>
      <c r="G716" s="35" t="s">
        <v>65</v>
      </c>
      <c r="H716" s="37"/>
      <c r="I716" s="38">
        <f>4014</f>
        <v>4014</v>
      </c>
      <c r="J716" s="23"/>
      <c r="K716" s="39"/>
      <c r="L716" s="40"/>
      <c r="M716" s="41"/>
      <c r="N716" s="41"/>
      <c r="O716" s="41"/>
      <c r="P716" s="41"/>
      <c r="Q716" s="41"/>
      <c r="R716" s="23"/>
      <c r="XCY716"/>
      <c r="XCZ716"/>
      <c r="XDA716"/>
      <c r="XDB716"/>
      <c r="XDC716"/>
      <c r="XDD716"/>
      <c r="XDE716"/>
      <c r="XDF716"/>
      <c r="XDG716"/>
      <c r="XDH716"/>
      <c r="XDI716"/>
      <c r="XDJ716"/>
      <c r="XDK716"/>
      <c r="XDL716"/>
      <c r="XDM716"/>
      <c r="XDN716"/>
      <c r="XDO716"/>
      <c r="XDP716"/>
      <c r="XDQ716"/>
      <c r="XDR716"/>
      <c r="XDS716"/>
      <c r="XDT716"/>
      <c r="XDU716"/>
      <c r="XDV716"/>
      <c r="XDW716"/>
      <c r="XDX716"/>
      <c r="XDY716"/>
      <c r="XDZ716"/>
      <c r="XEA716"/>
      <c r="XEB716"/>
      <c r="XEC716"/>
      <c r="XED716"/>
      <c r="XEE716"/>
      <c r="XEF716"/>
      <c r="XEG716"/>
      <c r="XEH716"/>
      <c r="XEI716"/>
      <c r="XEJ716"/>
      <c r="XEK716"/>
      <c r="XEL716"/>
      <c r="XEM716"/>
      <c r="XEN716"/>
      <c r="XEO716"/>
      <c r="XEP716"/>
      <c r="XEQ716"/>
      <c r="XER716"/>
      <c r="XES716"/>
      <c r="XET716"/>
      <c r="XEU716"/>
      <c r="XEV716"/>
      <c r="XEW716"/>
      <c r="XEX716"/>
      <c r="XEY716"/>
      <c r="XEZ716"/>
      <c r="XFA716"/>
      <c r="XFB716"/>
      <c r="XFC716"/>
      <c r="XFD716"/>
    </row>
    <row r="717" spans="1:18 16327:16384" s="26" customFormat="1" ht="29.1" customHeight="1" outlineLevel="3" x14ac:dyDescent="0.25">
      <c r="A717" s="42" t="s">
        <v>1209</v>
      </c>
      <c r="B717" s="43"/>
      <c r="C717" s="66" t="s">
        <v>1210</v>
      </c>
      <c r="D717" s="66"/>
      <c r="E717" s="43" t="s">
        <v>34</v>
      </c>
      <c r="F717" s="44"/>
      <c r="G717" s="43" t="s">
        <v>65</v>
      </c>
      <c r="H717" s="45">
        <v>1.02</v>
      </c>
      <c r="I717" s="46">
        <f>4094.28</f>
        <v>4094.28</v>
      </c>
      <c r="J717" s="23"/>
      <c r="K717" s="47"/>
      <c r="L717" s="48"/>
      <c r="M717" s="49"/>
      <c r="N717" s="49">
        <f t="shared" ref="N717:N741" si="23">ROUND((I717*K717),2)</f>
        <v>0</v>
      </c>
      <c r="O717" s="49"/>
      <c r="P717" s="49"/>
      <c r="Q717" s="49"/>
      <c r="R717" s="23"/>
      <c r="XCY717"/>
      <c r="XCZ717"/>
      <c r="XDA717"/>
      <c r="XDB717"/>
      <c r="XDC717"/>
      <c r="XDD717"/>
      <c r="XDE717"/>
      <c r="XDF717"/>
      <c r="XDG717"/>
      <c r="XDH717"/>
      <c r="XDI717"/>
      <c r="XDJ717"/>
      <c r="XDK717"/>
      <c r="XDL717"/>
      <c r="XDM717"/>
      <c r="XDN717"/>
      <c r="XDO717"/>
      <c r="XDP717"/>
      <c r="XDQ717"/>
      <c r="XDR717"/>
      <c r="XDS717"/>
      <c r="XDT717"/>
      <c r="XDU717"/>
      <c r="XDV717"/>
      <c r="XDW717"/>
      <c r="XDX717"/>
      <c r="XDY717"/>
      <c r="XDZ717"/>
      <c r="XEA717"/>
      <c r="XEB717"/>
      <c r="XEC717"/>
      <c r="XED717"/>
      <c r="XEE717"/>
      <c r="XEF717"/>
      <c r="XEG717"/>
      <c r="XEH717"/>
      <c r="XEI717"/>
      <c r="XEJ717"/>
      <c r="XEK717"/>
      <c r="XEL717"/>
      <c r="XEM717"/>
      <c r="XEN717"/>
      <c r="XEO717"/>
      <c r="XEP717"/>
      <c r="XEQ717"/>
      <c r="XER717"/>
      <c r="XES717"/>
      <c r="XET717"/>
      <c r="XEU717"/>
      <c r="XEV717"/>
      <c r="XEW717"/>
      <c r="XEX717"/>
      <c r="XEY717"/>
      <c r="XEZ717"/>
      <c r="XFA717"/>
      <c r="XFB717"/>
      <c r="XFC717"/>
      <c r="XFD717"/>
    </row>
    <row r="718" spans="1:18 16327:16384" s="26" customFormat="1" ht="29.1" customHeight="1" outlineLevel="2" x14ac:dyDescent="0.25">
      <c r="A718" s="34" t="s">
        <v>1211</v>
      </c>
      <c r="B718" s="35"/>
      <c r="C718" s="65" t="s">
        <v>69</v>
      </c>
      <c r="D718" s="65"/>
      <c r="E718" s="35"/>
      <c r="F718" s="36"/>
      <c r="G718" s="35" t="s">
        <v>65</v>
      </c>
      <c r="H718" s="37"/>
      <c r="I718" s="38">
        <f>366</f>
        <v>366</v>
      </c>
      <c r="J718" s="23"/>
      <c r="K718" s="39"/>
      <c r="L718" s="40"/>
      <c r="M718" s="41"/>
      <c r="N718" s="41"/>
      <c r="O718" s="41"/>
      <c r="P718" s="41"/>
      <c r="Q718" s="41"/>
      <c r="R718" s="23"/>
      <c r="XCY718"/>
      <c r="XCZ718"/>
      <c r="XDA718"/>
      <c r="XDB718"/>
      <c r="XDC718"/>
      <c r="XDD718"/>
      <c r="XDE718"/>
      <c r="XDF718"/>
      <c r="XDG718"/>
      <c r="XDH718"/>
      <c r="XDI718"/>
      <c r="XDJ718"/>
      <c r="XDK718"/>
      <c r="XDL718"/>
      <c r="XDM718"/>
      <c r="XDN718"/>
      <c r="XDO718"/>
      <c r="XDP718"/>
      <c r="XDQ718"/>
      <c r="XDR718"/>
      <c r="XDS718"/>
      <c r="XDT718"/>
      <c r="XDU718"/>
      <c r="XDV718"/>
      <c r="XDW718"/>
      <c r="XDX718"/>
      <c r="XDY718"/>
      <c r="XDZ718"/>
      <c r="XEA718"/>
      <c r="XEB718"/>
      <c r="XEC718"/>
      <c r="XED718"/>
      <c r="XEE718"/>
      <c r="XEF718"/>
      <c r="XEG718"/>
      <c r="XEH718"/>
      <c r="XEI718"/>
      <c r="XEJ718"/>
      <c r="XEK718"/>
      <c r="XEL718"/>
      <c r="XEM718"/>
      <c r="XEN718"/>
      <c r="XEO718"/>
      <c r="XEP718"/>
      <c r="XEQ718"/>
      <c r="XER718"/>
      <c r="XES718"/>
      <c r="XET718"/>
      <c r="XEU718"/>
      <c r="XEV718"/>
      <c r="XEW718"/>
      <c r="XEX718"/>
      <c r="XEY718"/>
      <c r="XEZ718"/>
      <c r="XFA718"/>
      <c r="XFB718"/>
      <c r="XFC718"/>
      <c r="XFD718"/>
    </row>
    <row r="719" spans="1:18 16327:16384" s="26" customFormat="1" ht="29.1" customHeight="1" outlineLevel="3" x14ac:dyDescent="0.25">
      <c r="A719" s="42" t="s">
        <v>1212</v>
      </c>
      <c r="B719" s="43"/>
      <c r="C719" s="66" t="s">
        <v>1213</v>
      </c>
      <c r="D719" s="66"/>
      <c r="E719" s="43" t="s">
        <v>34</v>
      </c>
      <c r="F719" s="44"/>
      <c r="G719" s="43" t="s">
        <v>65</v>
      </c>
      <c r="H719" s="45">
        <v>1.02</v>
      </c>
      <c r="I719" s="46">
        <f>373.32</f>
        <v>373.32</v>
      </c>
      <c r="J719" s="23"/>
      <c r="K719" s="47"/>
      <c r="L719" s="48"/>
      <c r="M719" s="49"/>
      <c r="N719" s="49">
        <f t="shared" si="23"/>
        <v>0</v>
      </c>
      <c r="O719" s="49"/>
      <c r="P719" s="49"/>
      <c r="Q719" s="49"/>
      <c r="R719" s="23"/>
      <c r="XCY719"/>
      <c r="XCZ719"/>
      <c r="XDA719"/>
      <c r="XDB719"/>
      <c r="XDC719"/>
      <c r="XDD719"/>
      <c r="XDE719"/>
      <c r="XDF719"/>
      <c r="XDG719"/>
      <c r="XDH719"/>
      <c r="XDI719"/>
      <c r="XDJ719"/>
      <c r="XDK719"/>
      <c r="XDL719"/>
      <c r="XDM719"/>
      <c r="XDN719"/>
      <c r="XDO719"/>
      <c r="XDP719"/>
      <c r="XDQ719"/>
      <c r="XDR719"/>
      <c r="XDS719"/>
      <c r="XDT719"/>
      <c r="XDU719"/>
      <c r="XDV719"/>
      <c r="XDW719"/>
      <c r="XDX719"/>
      <c r="XDY719"/>
      <c r="XDZ719"/>
      <c r="XEA719"/>
      <c r="XEB719"/>
      <c r="XEC719"/>
      <c r="XED719"/>
      <c r="XEE719"/>
      <c r="XEF719"/>
      <c r="XEG719"/>
      <c r="XEH719"/>
      <c r="XEI719"/>
      <c r="XEJ719"/>
      <c r="XEK719"/>
      <c r="XEL719"/>
      <c r="XEM719"/>
      <c r="XEN719"/>
      <c r="XEO719"/>
      <c r="XEP719"/>
      <c r="XEQ719"/>
      <c r="XER719"/>
      <c r="XES719"/>
      <c r="XET719"/>
      <c r="XEU719"/>
      <c r="XEV719"/>
      <c r="XEW719"/>
      <c r="XEX719"/>
      <c r="XEY719"/>
      <c r="XEZ719"/>
      <c r="XFA719"/>
      <c r="XFB719"/>
      <c r="XFC719"/>
      <c r="XFD719"/>
    </row>
    <row r="720" spans="1:18 16327:16384" s="26" customFormat="1" ht="29.1" customHeight="1" outlineLevel="2" x14ac:dyDescent="0.25">
      <c r="A720" s="34" t="s">
        <v>1214</v>
      </c>
      <c r="B720" s="35"/>
      <c r="C720" s="65" t="s">
        <v>69</v>
      </c>
      <c r="D720" s="65"/>
      <c r="E720" s="35"/>
      <c r="F720" s="36"/>
      <c r="G720" s="35" t="s">
        <v>65</v>
      </c>
      <c r="H720" s="37"/>
      <c r="I720" s="38">
        <f>112</f>
        <v>112</v>
      </c>
      <c r="J720" s="23"/>
      <c r="K720" s="39"/>
      <c r="L720" s="40"/>
      <c r="M720" s="41"/>
      <c r="N720" s="41"/>
      <c r="O720" s="41"/>
      <c r="P720" s="41"/>
      <c r="Q720" s="41"/>
      <c r="R720" s="23"/>
      <c r="XCY720"/>
      <c r="XCZ720"/>
      <c r="XDA720"/>
      <c r="XDB720"/>
      <c r="XDC720"/>
      <c r="XDD720"/>
      <c r="XDE720"/>
      <c r="XDF720"/>
      <c r="XDG720"/>
      <c r="XDH720"/>
      <c r="XDI720"/>
      <c r="XDJ720"/>
      <c r="XDK720"/>
      <c r="XDL720"/>
      <c r="XDM720"/>
      <c r="XDN720"/>
      <c r="XDO720"/>
      <c r="XDP720"/>
      <c r="XDQ720"/>
      <c r="XDR720"/>
      <c r="XDS720"/>
      <c r="XDT720"/>
      <c r="XDU720"/>
      <c r="XDV720"/>
      <c r="XDW720"/>
      <c r="XDX720"/>
      <c r="XDY720"/>
      <c r="XDZ720"/>
      <c r="XEA720"/>
      <c r="XEB720"/>
      <c r="XEC720"/>
      <c r="XED720"/>
      <c r="XEE720"/>
      <c r="XEF720"/>
      <c r="XEG720"/>
      <c r="XEH720"/>
      <c r="XEI720"/>
      <c r="XEJ720"/>
      <c r="XEK720"/>
      <c r="XEL720"/>
      <c r="XEM720"/>
      <c r="XEN720"/>
      <c r="XEO720"/>
      <c r="XEP720"/>
      <c r="XEQ720"/>
      <c r="XER720"/>
      <c r="XES720"/>
      <c r="XET720"/>
      <c r="XEU720"/>
      <c r="XEV720"/>
      <c r="XEW720"/>
      <c r="XEX720"/>
      <c r="XEY720"/>
      <c r="XEZ720"/>
      <c r="XFA720"/>
      <c r="XFB720"/>
      <c r="XFC720"/>
      <c r="XFD720"/>
    </row>
    <row r="721" spans="1:18 16327:16384" s="26" customFormat="1" ht="29.1" customHeight="1" outlineLevel="3" x14ac:dyDescent="0.25">
      <c r="A721" s="42" t="s">
        <v>1215</v>
      </c>
      <c r="B721" s="43"/>
      <c r="C721" s="66" t="s">
        <v>1216</v>
      </c>
      <c r="D721" s="66"/>
      <c r="E721" s="43" t="s">
        <v>34</v>
      </c>
      <c r="F721" s="44"/>
      <c r="G721" s="43" t="s">
        <v>65</v>
      </c>
      <c r="H721" s="45">
        <v>1.02</v>
      </c>
      <c r="I721" s="46">
        <f>114.24</f>
        <v>114.24</v>
      </c>
      <c r="J721" s="23"/>
      <c r="K721" s="47"/>
      <c r="L721" s="48"/>
      <c r="M721" s="49"/>
      <c r="N721" s="49">
        <f t="shared" si="23"/>
        <v>0</v>
      </c>
      <c r="O721" s="49"/>
      <c r="P721" s="49"/>
      <c r="Q721" s="49"/>
      <c r="R721" s="23"/>
      <c r="XCY721"/>
      <c r="XCZ721"/>
      <c r="XDA721"/>
      <c r="XDB721"/>
      <c r="XDC721"/>
      <c r="XDD721"/>
      <c r="XDE721"/>
      <c r="XDF721"/>
      <c r="XDG721"/>
      <c r="XDH721"/>
      <c r="XDI721"/>
      <c r="XDJ721"/>
      <c r="XDK721"/>
      <c r="XDL721"/>
      <c r="XDM721"/>
      <c r="XDN721"/>
      <c r="XDO721"/>
      <c r="XDP721"/>
      <c r="XDQ721"/>
      <c r="XDR721"/>
      <c r="XDS721"/>
      <c r="XDT721"/>
      <c r="XDU721"/>
      <c r="XDV721"/>
      <c r="XDW721"/>
      <c r="XDX721"/>
      <c r="XDY721"/>
      <c r="XDZ721"/>
      <c r="XEA721"/>
      <c r="XEB721"/>
      <c r="XEC721"/>
      <c r="XED721"/>
      <c r="XEE721"/>
      <c r="XEF721"/>
      <c r="XEG721"/>
      <c r="XEH721"/>
      <c r="XEI721"/>
      <c r="XEJ721"/>
      <c r="XEK721"/>
      <c r="XEL721"/>
      <c r="XEM721"/>
      <c r="XEN721"/>
      <c r="XEO721"/>
      <c r="XEP721"/>
      <c r="XEQ721"/>
      <c r="XER721"/>
      <c r="XES721"/>
      <c r="XET721"/>
      <c r="XEU721"/>
      <c r="XEV721"/>
      <c r="XEW721"/>
      <c r="XEX721"/>
      <c r="XEY721"/>
      <c r="XEZ721"/>
      <c r="XFA721"/>
      <c r="XFB721"/>
      <c r="XFC721"/>
      <c r="XFD721"/>
    </row>
    <row r="722" spans="1:18 16327:16384" s="26" customFormat="1" ht="29.1" customHeight="1" outlineLevel="2" x14ac:dyDescent="0.25">
      <c r="A722" s="34" t="s">
        <v>1217</v>
      </c>
      <c r="B722" s="35"/>
      <c r="C722" s="65" t="s">
        <v>69</v>
      </c>
      <c r="D722" s="65"/>
      <c r="E722" s="35"/>
      <c r="F722" s="36"/>
      <c r="G722" s="35" t="s">
        <v>65</v>
      </c>
      <c r="H722" s="37"/>
      <c r="I722" s="38">
        <f>30</f>
        <v>30</v>
      </c>
      <c r="J722" s="23"/>
      <c r="K722" s="39"/>
      <c r="L722" s="40"/>
      <c r="M722" s="41"/>
      <c r="N722" s="41"/>
      <c r="O722" s="41"/>
      <c r="P722" s="41"/>
      <c r="Q722" s="41"/>
      <c r="R722" s="23"/>
      <c r="XCY722"/>
      <c r="XCZ722"/>
      <c r="XDA722"/>
      <c r="XDB722"/>
      <c r="XDC722"/>
      <c r="XDD722"/>
      <c r="XDE722"/>
      <c r="XDF722"/>
      <c r="XDG722"/>
      <c r="XDH722"/>
      <c r="XDI722"/>
      <c r="XDJ722"/>
      <c r="XDK722"/>
      <c r="XDL722"/>
      <c r="XDM722"/>
      <c r="XDN722"/>
      <c r="XDO722"/>
      <c r="XDP722"/>
      <c r="XDQ722"/>
      <c r="XDR722"/>
      <c r="XDS722"/>
      <c r="XDT722"/>
      <c r="XDU722"/>
      <c r="XDV722"/>
      <c r="XDW722"/>
      <c r="XDX722"/>
      <c r="XDY722"/>
      <c r="XDZ722"/>
      <c r="XEA722"/>
      <c r="XEB722"/>
      <c r="XEC722"/>
      <c r="XED722"/>
      <c r="XEE722"/>
      <c r="XEF722"/>
      <c r="XEG722"/>
      <c r="XEH722"/>
      <c r="XEI722"/>
      <c r="XEJ722"/>
      <c r="XEK722"/>
      <c r="XEL722"/>
      <c r="XEM722"/>
      <c r="XEN722"/>
      <c r="XEO722"/>
      <c r="XEP722"/>
      <c r="XEQ722"/>
      <c r="XER722"/>
      <c r="XES722"/>
      <c r="XET722"/>
      <c r="XEU722"/>
      <c r="XEV722"/>
      <c r="XEW722"/>
      <c r="XEX722"/>
      <c r="XEY722"/>
      <c r="XEZ722"/>
      <c r="XFA722"/>
      <c r="XFB722"/>
      <c r="XFC722"/>
      <c r="XFD722"/>
    </row>
    <row r="723" spans="1:18 16327:16384" s="26" customFormat="1" ht="29.1" customHeight="1" outlineLevel="3" x14ac:dyDescent="0.25">
      <c r="A723" s="42" t="s">
        <v>1218</v>
      </c>
      <c r="B723" s="43"/>
      <c r="C723" s="66" t="s">
        <v>1219</v>
      </c>
      <c r="D723" s="66"/>
      <c r="E723" s="43" t="s">
        <v>34</v>
      </c>
      <c r="F723" s="44"/>
      <c r="G723" s="43" t="s">
        <v>65</v>
      </c>
      <c r="H723" s="45">
        <v>1.02</v>
      </c>
      <c r="I723" s="46">
        <f>30.6</f>
        <v>30.6</v>
      </c>
      <c r="J723" s="23"/>
      <c r="K723" s="47"/>
      <c r="L723" s="48"/>
      <c r="M723" s="49"/>
      <c r="N723" s="49">
        <f t="shared" si="23"/>
        <v>0</v>
      </c>
      <c r="O723" s="49"/>
      <c r="P723" s="49"/>
      <c r="Q723" s="49"/>
      <c r="R723" s="23"/>
      <c r="XCY723"/>
      <c r="XCZ723"/>
      <c r="XDA723"/>
      <c r="XDB723"/>
      <c r="XDC723"/>
      <c r="XDD723"/>
      <c r="XDE723"/>
      <c r="XDF723"/>
      <c r="XDG723"/>
      <c r="XDH723"/>
      <c r="XDI723"/>
      <c r="XDJ723"/>
      <c r="XDK723"/>
      <c r="XDL723"/>
      <c r="XDM723"/>
      <c r="XDN723"/>
      <c r="XDO723"/>
      <c r="XDP723"/>
      <c r="XDQ723"/>
      <c r="XDR723"/>
      <c r="XDS723"/>
      <c r="XDT723"/>
      <c r="XDU723"/>
      <c r="XDV723"/>
      <c r="XDW723"/>
      <c r="XDX723"/>
      <c r="XDY723"/>
      <c r="XDZ723"/>
      <c r="XEA723"/>
      <c r="XEB723"/>
      <c r="XEC723"/>
      <c r="XED723"/>
      <c r="XEE723"/>
      <c r="XEF723"/>
      <c r="XEG723"/>
      <c r="XEH723"/>
      <c r="XEI723"/>
      <c r="XEJ723"/>
      <c r="XEK723"/>
      <c r="XEL723"/>
      <c r="XEM723"/>
      <c r="XEN723"/>
      <c r="XEO723"/>
      <c r="XEP723"/>
      <c r="XEQ723"/>
      <c r="XER723"/>
      <c r="XES723"/>
      <c r="XET723"/>
      <c r="XEU723"/>
      <c r="XEV723"/>
      <c r="XEW723"/>
      <c r="XEX723"/>
      <c r="XEY723"/>
      <c r="XEZ723"/>
      <c r="XFA723"/>
      <c r="XFB723"/>
      <c r="XFC723"/>
      <c r="XFD723"/>
    </row>
    <row r="724" spans="1:18 16327:16384" s="26" customFormat="1" ht="29.1" customHeight="1" outlineLevel="2" x14ac:dyDescent="0.25">
      <c r="A724" s="34" t="s">
        <v>1220</v>
      </c>
      <c r="B724" s="35"/>
      <c r="C724" s="65" t="s">
        <v>64</v>
      </c>
      <c r="D724" s="65"/>
      <c r="E724" s="35"/>
      <c r="F724" s="36"/>
      <c r="G724" s="35" t="s">
        <v>65</v>
      </c>
      <c r="H724" s="37"/>
      <c r="I724" s="38">
        <f>5854</f>
        <v>5854</v>
      </c>
      <c r="J724" s="23"/>
      <c r="K724" s="39"/>
      <c r="L724" s="40"/>
      <c r="M724" s="41"/>
      <c r="N724" s="41"/>
      <c r="O724" s="41"/>
      <c r="P724" s="41"/>
      <c r="Q724" s="41"/>
      <c r="R724" s="23"/>
      <c r="XCY724"/>
      <c r="XCZ724"/>
      <c r="XDA724"/>
      <c r="XDB724"/>
      <c r="XDC724"/>
      <c r="XDD724"/>
      <c r="XDE724"/>
      <c r="XDF724"/>
      <c r="XDG724"/>
      <c r="XDH724"/>
      <c r="XDI724"/>
      <c r="XDJ724"/>
      <c r="XDK724"/>
      <c r="XDL724"/>
      <c r="XDM724"/>
      <c r="XDN724"/>
      <c r="XDO724"/>
      <c r="XDP724"/>
      <c r="XDQ724"/>
      <c r="XDR724"/>
      <c r="XDS724"/>
      <c r="XDT724"/>
      <c r="XDU724"/>
      <c r="XDV724"/>
      <c r="XDW724"/>
      <c r="XDX724"/>
      <c r="XDY724"/>
      <c r="XDZ724"/>
      <c r="XEA724"/>
      <c r="XEB724"/>
      <c r="XEC724"/>
      <c r="XED724"/>
      <c r="XEE724"/>
      <c r="XEF724"/>
      <c r="XEG724"/>
      <c r="XEH724"/>
      <c r="XEI724"/>
      <c r="XEJ724"/>
      <c r="XEK724"/>
      <c r="XEL724"/>
      <c r="XEM724"/>
      <c r="XEN724"/>
      <c r="XEO724"/>
      <c r="XEP724"/>
      <c r="XEQ724"/>
      <c r="XER724"/>
      <c r="XES724"/>
      <c r="XET724"/>
      <c r="XEU724"/>
      <c r="XEV724"/>
      <c r="XEW724"/>
      <c r="XEX724"/>
      <c r="XEY724"/>
      <c r="XEZ724"/>
      <c r="XFA724"/>
      <c r="XFB724"/>
      <c r="XFC724"/>
      <c r="XFD724"/>
    </row>
    <row r="725" spans="1:18 16327:16384" s="26" customFormat="1" ht="29.1" customHeight="1" outlineLevel="3" x14ac:dyDescent="0.25">
      <c r="A725" s="42" t="s">
        <v>1221</v>
      </c>
      <c r="B725" s="43"/>
      <c r="C725" s="66" t="s">
        <v>1222</v>
      </c>
      <c r="D725" s="66"/>
      <c r="E725" s="43" t="s">
        <v>34</v>
      </c>
      <c r="F725" s="44"/>
      <c r="G725" s="43" t="s">
        <v>65</v>
      </c>
      <c r="H725" s="45">
        <v>1.02</v>
      </c>
      <c r="I725" s="46">
        <f>5971.08</f>
        <v>5971.08</v>
      </c>
      <c r="J725" s="23"/>
      <c r="K725" s="47"/>
      <c r="L725" s="48"/>
      <c r="M725" s="49"/>
      <c r="N725" s="49">
        <f t="shared" si="23"/>
        <v>0</v>
      </c>
      <c r="O725" s="49"/>
      <c r="P725" s="49"/>
      <c r="Q725" s="49"/>
      <c r="R725" s="23"/>
      <c r="XCY725"/>
      <c r="XCZ725"/>
      <c r="XDA725"/>
      <c r="XDB725"/>
      <c r="XDC725"/>
      <c r="XDD725"/>
      <c r="XDE725"/>
      <c r="XDF725"/>
      <c r="XDG725"/>
      <c r="XDH725"/>
      <c r="XDI725"/>
      <c r="XDJ725"/>
      <c r="XDK725"/>
      <c r="XDL725"/>
      <c r="XDM725"/>
      <c r="XDN725"/>
      <c r="XDO725"/>
      <c r="XDP725"/>
      <c r="XDQ725"/>
      <c r="XDR725"/>
      <c r="XDS725"/>
      <c r="XDT725"/>
      <c r="XDU725"/>
      <c r="XDV725"/>
      <c r="XDW725"/>
      <c r="XDX725"/>
      <c r="XDY725"/>
      <c r="XDZ725"/>
      <c r="XEA725"/>
      <c r="XEB725"/>
      <c r="XEC725"/>
      <c r="XED725"/>
      <c r="XEE725"/>
      <c r="XEF725"/>
      <c r="XEG725"/>
      <c r="XEH725"/>
      <c r="XEI725"/>
      <c r="XEJ725"/>
      <c r="XEK725"/>
      <c r="XEL725"/>
      <c r="XEM725"/>
      <c r="XEN725"/>
      <c r="XEO725"/>
      <c r="XEP725"/>
      <c r="XEQ725"/>
      <c r="XER725"/>
      <c r="XES725"/>
      <c r="XET725"/>
      <c r="XEU725"/>
      <c r="XEV725"/>
      <c r="XEW725"/>
      <c r="XEX725"/>
      <c r="XEY725"/>
      <c r="XEZ725"/>
      <c r="XFA725"/>
      <c r="XFB725"/>
      <c r="XFC725"/>
      <c r="XFD725"/>
    </row>
    <row r="726" spans="1:18 16327:16384" s="26" customFormat="1" ht="29.1" customHeight="1" outlineLevel="2" x14ac:dyDescent="0.25">
      <c r="A726" s="34" t="s">
        <v>1223</v>
      </c>
      <c r="B726" s="35"/>
      <c r="C726" s="65" t="s">
        <v>69</v>
      </c>
      <c r="D726" s="65"/>
      <c r="E726" s="35"/>
      <c r="F726" s="36"/>
      <c r="G726" s="35" t="s">
        <v>65</v>
      </c>
      <c r="H726" s="37"/>
      <c r="I726" s="38">
        <f>508</f>
        <v>508</v>
      </c>
      <c r="J726" s="23"/>
      <c r="K726" s="39"/>
      <c r="L726" s="40"/>
      <c r="M726" s="41"/>
      <c r="N726" s="41"/>
      <c r="O726" s="41"/>
      <c r="P726" s="41"/>
      <c r="Q726" s="41"/>
      <c r="R726" s="23"/>
      <c r="XCY726"/>
      <c r="XCZ726"/>
      <c r="XDA726"/>
      <c r="XDB726"/>
      <c r="XDC726"/>
      <c r="XDD726"/>
      <c r="XDE726"/>
      <c r="XDF726"/>
      <c r="XDG726"/>
      <c r="XDH726"/>
      <c r="XDI726"/>
      <c r="XDJ726"/>
      <c r="XDK726"/>
      <c r="XDL726"/>
      <c r="XDM726"/>
      <c r="XDN726"/>
      <c r="XDO726"/>
      <c r="XDP726"/>
      <c r="XDQ726"/>
      <c r="XDR726"/>
      <c r="XDS726"/>
      <c r="XDT726"/>
      <c r="XDU726"/>
      <c r="XDV726"/>
      <c r="XDW726"/>
      <c r="XDX726"/>
      <c r="XDY726"/>
      <c r="XDZ726"/>
      <c r="XEA726"/>
      <c r="XEB726"/>
      <c r="XEC726"/>
      <c r="XED726"/>
      <c r="XEE726"/>
      <c r="XEF726"/>
      <c r="XEG726"/>
      <c r="XEH726"/>
      <c r="XEI726"/>
      <c r="XEJ726"/>
      <c r="XEK726"/>
      <c r="XEL726"/>
      <c r="XEM726"/>
      <c r="XEN726"/>
      <c r="XEO726"/>
      <c r="XEP726"/>
      <c r="XEQ726"/>
      <c r="XER726"/>
      <c r="XES726"/>
      <c r="XET726"/>
      <c r="XEU726"/>
      <c r="XEV726"/>
      <c r="XEW726"/>
      <c r="XEX726"/>
      <c r="XEY726"/>
      <c r="XEZ726"/>
      <c r="XFA726"/>
      <c r="XFB726"/>
      <c r="XFC726"/>
      <c r="XFD726"/>
    </row>
    <row r="727" spans="1:18 16327:16384" s="26" customFormat="1" ht="29.1" customHeight="1" outlineLevel="3" x14ac:dyDescent="0.25">
      <c r="A727" s="42" t="s">
        <v>1224</v>
      </c>
      <c r="B727" s="43"/>
      <c r="C727" s="66" t="s">
        <v>1225</v>
      </c>
      <c r="D727" s="66"/>
      <c r="E727" s="43" t="s">
        <v>34</v>
      </c>
      <c r="F727" s="44"/>
      <c r="G727" s="43" t="s">
        <v>65</v>
      </c>
      <c r="H727" s="45">
        <v>1.02</v>
      </c>
      <c r="I727" s="46">
        <f>518.16</f>
        <v>518.16</v>
      </c>
      <c r="J727" s="23"/>
      <c r="K727" s="47"/>
      <c r="L727" s="48"/>
      <c r="M727" s="49"/>
      <c r="N727" s="49">
        <f t="shared" si="23"/>
        <v>0</v>
      </c>
      <c r="O727" s="49"/>
      <c r="P727" s="49"/>
      <c r="Q727" s="49"/>
      <c r="R727" s="23"/>
      <c r="XCY727"/>
      <c r="XCZ727"/>
      <c r="XDA727"/>
      <c r="XDB727"/>
      <c r="XDC727"/>
      <c r="XDD727"/>
      <c r="XDE727"/>
      <c r="XDF727"/>
      <c r="XDG727"/>
      <c r="XDH727"/>
      <c r="XDI727"/>
      <c r="XDJ727"/>
      <c r="XDK727"/>
      <c r="XDL727"/>
      <c r="XDM727"/>
      <c r="XDN727"/>
      <c r="XDO727"/>
      <c r="XDP727"/>
      <c r="XDQ727"/>
      <c r="XDR727"/>
      <c r="XDS727"/>
      <c r="XDT727"/>
      <c r="XDU727"/>
      <c r="XDV727"/>
      <c r="XDW727"/>
      <c r="XDX727"/>
      <c r="XDY727"/>
      <c r="XDZ727"/>
      <c r="XEA727"/>
      <c r="XEB727"/>
      <c r="XEC727"/>
      <c r="XED727"/>
      <c r="XEE727"/>
      <c r="XEF727"/>
      <c r="XEG727"/>
      <c r="XEH727"/>
      <c r="XEI727"/>
      <c r="XEJ727"/>
      <c r="XEK727"/>
      <c r="XEL727"/>
      <c r="XEM727"/>
      <c r="XEN727"/>
      <c r="XEO727"/>
      <c r="XEP727"/>
      <c r="XEQ727"/>
      <c r="XER727"/>
      <c r="XES727"/>
      <c r="XET727"/>
      <c r="XEU727"/>
      <c r="XEV727"/>
      <c r="XEW727"/>
      <c r="XEX727"/>
      <c r="XEY727"/>
      <c r="XEZ727"/>
      <c r="XFA727"/>
      <c r="XFB727"/>
      <c r="XFC727"/>
      <c r="XFD727"/>
    </row>
    <row r="728" spans="1:18 16327:16384" s="26" customFormat="1" ht="29.1" customHeight="1" outlineLevel="2" x14ac:dyDescent="0.25">
      <c r="A728" s="34" t="s">
        <v>1226</v>
      </c>
      <c r="B728" s="35"/>
      <c r="C728" s="65" t="s">
        <v>590</v>
      </c>
      <c r="D728" s="65"/>
      <c r="E728" s="35"/>
      <c r="F728" s="36"/>
      <c r="G728" s="35" t="s">
        <v>65</v>
      </c>
      <c r="H728" s="37"/>
      <c r="I728" s="38">
        <f>581</f>
        <v>581</v>
      </c>
      <c r="J728" s="23"/>
      <c r="K728" s="39"/>
      <c r="L728" s="40"/>
      <c r="M728" s="41">
        <f>K728+L728</f>
        <v>0</v>
      </c>
      <c r="N728" s="41">
        <f t="shared" si="23"/>
        <v>0</v>
      </c>
      <c r="O728" s="41">
        <f>ROUND((I728*L728),2)</f>
        <v>0</v>
      </c>
      <c r="P728" s="41">
        <f>ROUND((I728*M728),2)</f>
        <v>0</v>
      </c>
      <c r="Q728" s="41"/>
      <c r="R728" s="23"/>
      <c r="XCY728"/>
      <c r="XCZ728"/>
      <c r="XDA728"/>
      <c r="XDB728"/>
      <c r="XDC728"/>
      <c r="XDD728"/>
      <c r="XDE728"/>
      <c r="XDF728"/>
      <c r="XDG728"/>
      <c r="XDH728"/>
      <c r="XDI728"/>
      <c r="XDJ728"/>
      <c r="XDK728"/>
      <c r="XDL728"/>
      <c r="XDM728"/>
      <c r="XDN728"/>
      <c r="XDO728"/>
      <c r="XDP728"/>
      <c r="XDQ728"/>
      <c r="XDR728"/>
      <c r="XDS728"/>
      <c r="XDT728"/>
      <c r="XDU728"/>
      <c r="XDV728"/>
      <c r="XDW728"/>
      <c r="XDX728"/>
      <c r="XDY728"/>
      <c r="XDZ728"/>
      <c r="XEA728"/>
      <c r="XEB728"/>
      <c r="XEC728"/>
      <c r="XED728"/>
      <c r="XEE728"/>
      <c r="XEF728"/>
      <c r="XEG728"/>
      <c r="XEH728"/>
      <c r="XEI728"/>
      <c r="XEJ728"/>
      <c r="XEK728"/>
      <c r="XEL728"/>
      <c r="XEM728"/>
      <c r="XEN728"/>
      <c r="XEO728"/>
      <c r="XEP728"/>
      <c r="XEQ728"/>
      <c r="XER728"/>
      <c r="XES728"/>
      <c r="XET728"/>
      <c r="XEU728"/>
      <c r="XEV728"/>
      <c r="XEW728"/>
      <c r="XEX728"/>
      <c r="XEY728"/>
      <c r="XEZ728"/>
      <c r="XFA728"/>
      <c r="XFB728"/>
      <c r="XFC728"/>
      <c r="XFD728"/>
    </row>
    <row r="729" spans="1:18 16327:16384" s="26" customFormat="1" ht="29.1" customHeight="1" outlineLevel="3" x14ac:dyDescent="0.25">
      <c r="A729" s="42" t="s">
        <v>1227</v>
      </c>
      <c r="B729" s="43"/>
      <c r="C729" s="66" t="s">
        <v>592</v>
      </c>
      <c r="D729" s="66"/>
      <c r="E729" s="43" t="s">
        <v>34</v>
      </c>
      <c r="F729" s="44"/>
      <c r="G729" s="43" t="s">
        <v>65</v>
      </c>
      <c r="H729" s="45">
        <v>1.012</v>
      </c>
      <c r="I729" s="46">
        <f>587.972</f>
        <v>587.97199999999998</v>
      </c>
      <c r="J729" s="23"/>
      <c r="K729" s="47"/>
      <c r="L729" s="48"/>
      <c r="M729" s="49"/>
      <c r="N729" s="49">
        <f t="shared" si="23"/>
        <v>0</v>
      </c>
      <c r="O729" s="49"/>
      <c r="P729" s="49"/>
      <c r="Q729" s="49"/>
      <c r="R729" s="23"/>
      <c r="XCY729"/>
      <c r="XCZ729"/>
      <c r="XDA729"/>
      <c r="XDB729"/>
      <c r="XDC729"/>
      <c r="XDD729"/>
      <c r="XDE729"/>
      <c r="XDF729"/>
      <c r="XDG729"/>
      <c r="XDH729"/>
      <c r="XDI729"/>
      <c r="XDJ729"/>
      <c r="XDK729"/>
      <c r="XDL729"/>
      <c r="XDM729"/>
      <c r="XDN729"/>
      <c r="XDO729"/>
      <c r="XDP729"/>
      <c r="XDQ729"/>
      <c r="XDR729"/>
      <c r="XDS729"/>
      <c r="XDT729"/>
      <c r="XDU729"/>
      <c r="XDV729"/>
      <c r="XDW729"/>
      <c r="XDX729"/>
      <c r="XDY729"/>
      <c r="XDZ729"/>
      <c r="XEA729"/>
      <c r="XEB729"/>
      <c r="XEC729"/>
      <c r="XED729"/>
      <c r="XEE729"/>
      <c r="XEF729"/>
      <c r="XEG729"/>
      <c r="XEH729"/>
      <c r="XEI729"/>
      <c r="XEJ729"/>
      <c r="XEK729"/>
      <c r="XEL729"/>
      <c r="XEM729"/>
      <c r="XEN729"/>
      <c r="XEO729"/>
      <c r="XEP729"/>
      <c r="XEQ729"/>
      <c r="XER729"/>
      <c r="XES729"/>
      <c r="XET729"/>
      <c r="XEU729"/>
      <c r="XEV729"/>
      <c r="XEW729"/>
      <c r="XEX729"/>
      <c r="XEY729"/>
      <c r="XEZ729"/>
      <c r="XFA729"/>
      <c r="XFB729"/>
      <c r="XFC729"/>
      <c r="XFD729"/>
    </row>
    <row r="730" spans="1:18 16327:16384" s="26" customFormat="1" ht="29.1" customHeight="1" outlineLevel="3" x14ac:dyDescent="0.25">
      <c r="A730" s="42" t="s">
        <v>1228</v>
      </c>
      <c r="B730" s="43"/>
      <c r="C730" s="66" t="s">
        <v>1229</v>
      </c>
      <c r="D730" s="66"/>
      <c r="E730" s="43" t="s">
        <v>34</v>
      </c>
      <c r="F730" s="44"/>
      <c r="G730" s="43" t="s">
        <v>31</v>
      </c>
      <c r="H730" s="45">
        <v>1</v>
      </c>
      <c r="I730" s="46">
        <f>1162</f>
        <v>1162</v>
      </c>
      <c r="J730" s="23"/>
      <c r="K730" s="47"/>
      <c r="L730" s="48"/>
      <c r="M730" s="49"/>
      <c r="N730" s="49">
        <f t="shared" si="23"/>
        <v>0</v>
      </c>
      <c r="O730" s="49"/>
      <c r="P730" s="49"/>
      <c r="Q730" s="49"/>
      <c r="R730" s="23"/>
      <c r="XCY730"/>
      <c r="XCZ730"/>
      <c r="XDA730"/>
      <c r="XDB730"/>
      <c r="XDC730"/>
      <c r="XDD730"/>
      <c r="XDE730"/>
      <c r="XDF730"/>
      <c r="XDG730"/>
      <c r="XDH730"/>
      <c r="XDI730"/>
      <c r="XDJ730"/>
      <c r="XDK730"/>
      <c r="XDL730"/>
      <c r="XDM730"/>
      <c r="XDN730"/>
      <c r="XDO730"/>
      <c r="XDP730"/>
      <c r="XDQ730"/>
      <c r="XDR730"/>
      <c r="XDS730"/>
      <c r="XDT730"/>
      <c r="XDU730"/>
      <c r="XDV730"/>
      <c r="XDW730"/>
      <c r="XDX730"/>
      <c r="XDY730"/>
      <c r="XDZ730"/>
      <c r="XEA730"/>
      <c r="XEB730"/>
      <c r="XEC730"/>
      <c r="XED730"/>
      <c r="XEE730"/>
      <c r="XEF730"/>
      <c r="XEG730"/>
      <c r="XEH730"/>
      <c r="XEI730"/>
      <c r="XEJ730"/>
      <c r="XEK730"/>
      <c r="XEL730"/>
      <c r="XEM730"/>
      <c r="XEN730"/>
      <c r="XEO730"/>
      <c r="XEP730"/>
      <c r="XEQ730"/>
      <c r="XER730"/>
      <c r="XES730"/>
      <c r="XET730"/>
      <c r="XEU730"/>
      <c r="XEV730"/>
      <c r="XEW730"/>
      <c r="XEX730"/>
      <c r="XEY730"/>
      <c r="XEZ730"/>
      <c r="XFA730"/>
      <c r="XFB730"/>
      <c r="XFC730"/>
      <c r="XFD730"/>
    </row>
    <row r="731" spans="1:18 16327:16384" s="26" customFormat="1" ht="29.1" customHeight="1" outlineLevel="2" x14ac:dyDescent="0.25">
      <c r="A731" s="34" t="s">
        <v>1230</v>
      </c>
      <c r="B731" s="35"/>
      <c r="C731" s="65" t="s">
        <v>79</v>
      </c>
      <c r="D731" s="65"/>
      <c r="E731" s="35"/>
      <c r="F731" s="36"/>
      <c r="G731" s="35" t="s">
        <v>65</v>
      </c>
      <c r="H731" s="37"/>
      <c r="I731" s="38">
        <f>412</f>
        <v>412</v>
      </c>
      <c r="J731" s="23"/>
      <c r="K731" s="39"/>
      <c r="L731" s="40"/>
      <c r="M731" s="41">
        <f>K731+L731</f>
        <v>0</v>
      </c>
      <c r="N731" s="41">
        <f t="shared" si="23"/>
        <v>0</v>
      </c>
      <c r="O731" s="41">
        <f>ROUND((I731*L731),2)</f>
        <v>0</v>
      </c>
      <c r="P731" s="41">
        <f>ROUND((I731*M731),2)</f>
        <v>0</v>
      </c>
      <c r="Q731" s="41"/>
      <c r="R731" s="23"/>
      <c r="XCY731"/>
      <c r="XCZ731"/>
      <c r="XDA731"/>
      <c r="XDB731"/>
      <c r="XDC731"/>
      <c r="XDD731"/>
      <c r="XDE731"/>
      <c r="XDF731"/>
      <c r="XDG731"/>
      <c r="XDH731"/>
      <c r="XDI731"/>
      <c r="XDJ731"/>
      <c r="XDK731"/>
      <c r="XDL731"/>
      <c r="XDM731"/>
      <c r="XDN731"/>
      <c r="XDO731"/>
      <c r="XDP731"/>
      <c r="XDQ731"/>
      <c r="XDR731"/>
      <c r="XDS731"/>
      <c r="XDT731"/>
      <c r="XDU731"/>
      <c r="XDV731"/>
      <c r="XDW731"/>
      <c r="XDX731"/>
      <c r="XDY731"/>
      <c r="XDZ731"/>
      <c r="XEA731"/>
      <c r="XEB731"/>
      <c r="XEC731"/>
      <c r="XED731"/>
      <c r="XEE731"/>
      <c r="XEF731"/>
      <c r="XEG731"/>
      <c r="XEH731"/>
      <c r="XEI731"/>
      <c r="XEJ731"/>
      <c r="XEK731"/>
      <c r="XEL731"/>
      <c r="XEM731"/>
      <c r="XEN731"/>
      <c r="XEO731"/>
      <c r="XEP731"/>
      <c r="XEQ731"/>
      <c r="XER731"/>
      <c r="XES731"/>
      <c r="XET731"/>
      <c r="XEU731"/>
      <c r="XEV731"/>
      <c r="XEW731"/>
      <c r="XEX731"/>
      <c r="XEY731"/>
      <c r="XEZ731"/>
      <c r="XFA731"/>
      <c r="XFB731"/>
      <c r="XFC731"/>
      <c r="XFD731"/>
    </row>
    <row r="732" spans="1:18 16327:16384" s="26" customFormat="1" ht="29.1" customHeight="1" outlineLevel="3" x14ac:dyDescent="0.25">
      <c r="A732" s="42" t="s">
        <v>1231</v>
      </c>
      <c r="B732" s="43"/>
      <c r="C732" s="66" t="s">
        <v>418</v>
      </c>
      <c r="D732" s="66"/>
      <c r="E732" s="43" t="s">
        <v>34</v>
      </c>
      <c r="F732" s="44"/>
      <c r="G732" s="43" t="s">
        <v>65</v>
      </c>
      <c r="H732" s="45">
        <v>1.012</v>
      </c>
      <c r="I732" s="46">
        <f>416.944</f>
        <v>416.94400000000002</v>
      </c>
      <c r="J732" s="23"/>
      <c r="K732" s="47"/>
      <c r="L732" s="48"/>
      <c r="M732" s="49"/>
      <c r="N732" s="49">
        <f t="shared" si="23"/>
        <v>0</v>
      </c>
      <c r="O732" s="49"/>
      <c r="P732" s="49"/>
      <c r="Q732" s="49"/>
      <c r="R732" s="23"/>
      <c r="XCY732"/>
      <c r="XCZ732"/>
      <c r="XDA732"/>
      <c r="XDB732"/>
      <c r="XDC732"/>
      <c r="XDD732"/>
      <c r="XDE732"/>
      <c r="XDF732"/>
      <c r="XDG732"/>
      <c r="XDH732"/>
      <c r="XDI732"/>
      <c r="XDJ732"/>
      <c r="XDK732"/>
      <c r="XDL732"/>
      <c r="XDM732"/>
      <c r="XDN732"/>
      <c r="XDO732"/>
      <c r="XDP732"/>
      <c r="XDQ732"/>
      <c r="XDR732"/>
      <c r="XDS732"/>
      <c r="XDT732"/>
      <c r="XDU732"/>
      <c r="XDV732"/>
      <c r="XDW732"/>
      <c r="XDX732"/>
      <c r="XDY732"/>
      <c r="XDZ732"/>
      <c r="XEA732"/>
      <c r="XEB732"/>
      <c r="XEC732"/>
      <c r="XED732"/>
      <c r="XEE732"/>
      <c r="XEF732"/>
      <c r="XEG732"/>
      <c r="XEH732"/>
      <c r="XEI732"/>
      <c r="XEJ732"/>
      <c r="XEK732"/>
      <c r="XEL732"/>
      <c r="XEM732"/>
      <c r="XEN732"/>
      <c r="XEO732"/>
      <c r="XEP732"/>
      <c r="XEQ732"/>
      <c r="XER732"/>
      <c r="XES732"/>
      <c r="XET732"/>
      <c r="XEU732"/>
      <c r="XEV732"/>
      <c r="XEW732"/>
      <c r="XEX732"/>
      <c r="XEY732"/>
      <c r="XEZ732"/>
      <c r="XFA732"/>
      <c r="XFB732"/>
      <c r="XFC732"/>
      <c r="XFD732"/>
    </row>
    <row r="733" spans="1:18 16327:16384" s="26" customFormat="1" ht="29.1" customHeight="1" outlineLevel="3" x14ac:dyDescent="0.25">
      <c r="A733" s="42" t="s">
        <v>1232</v>
      </c>
      <c r="B733" s="43"/>
      <c r="C733" s="66" t="s">
        <v>598</v>
      </c>
      <c r="D733" s="66"/>
      <c r="E733" s="43" t="s">
        <v>34</v>
      </c>
      <c r="F733" s="44"/>
      <c r="G733" s="43" t="s">
        <v>31</v>
      </c>
      <c r="H733" s="45">
        <v>1</v>
      </c>
      <c r="I733" s="46">
        <f>824</f>
        <v>824</v>
      </c>
      <c r="J733" s="23"/>
      <c r="K733" s="47"/>
      <c r="L733" s="48"/>
      <c r="M733" s="49"/>
      <c r="N733" s="49">
        <f t="shared" si="23"/>
        <v>0</v>
      </c>
      <c r="O733" s="49"/>
      <c r="P733" s="49"/>
      <c r="Q733" s="49"/>
      <c r="R733" s="23"/>
      <c r="XCY733"/>
      <c r="XCZ733"/>
      <c r="XDA733"/>
      <c r="XDB733"/>
      <c r="XDC733"/>
      <c r="XDD733"/>
      <c r="XDE733"/>
      <c r="XDF733"/>
      <c r="XDG733"/>
      <c r="XDH733"/>
      <c r="XDI733"/>
      <c r="XDJ733"/>
      <c r="XDK733"/>
      <c r="XDL733"/>
      <c r="XDM733"/>
      <c r="XDN733"/>
      <c r="XDO733"/>
      <c r="XDP733"/>
      <c r="XDQ733"/>
      <c r="XDR733"/>
      <c r="XDS733"/>
      <c r="XDT733"/>
      <c r="XDU733"/>
      <c r="XDV733"/>
      <c r="XDW733"/>
      <c r="XDX733"/>
      <c r="XDY733"/>
      <c r="XDZ733"/>
      <c r="XEA733"/>
      <c r="XEB733"/>
      <c r="XEC733"/>
      <c r="XED733"/>
      <c r="XEE733"/>
      <c r="XEF733"/>
      <c r="XEG733"/>
      <c r="XEH733"/>
      <c r="XEI733"/>
      <c r="XEJ733"/>
      <c r="XEK733"/>
      <c r="XEL733"/>
      <c r="XEM733"/>
      <c r="XEN733"/>
      <c r="XEO733"/>
      <c r="XEP733"/>
      <c r="XEQ733"/>
      <c r="XER733"/>
      <c r="XES733"/>
      <c r="XET733"/>
      <c r="XEU733"/>
      <c r="XEV733"/>
      <c r="XEW733"/>
      <c r="XEX733"/>
      <c r="XEY733"/>
      <c r="XEZ733"/>
      <c r="XFA733"/>
      <c r="XFB733"/>
      <c r="XFC733"/>
      <c r="XFD733"/>
    </row>
    <row r="734" spans="1:18 16327:16384" s="26" customFormat="1" ht="29.1" customHeight="1" outlineLevel="2" x14ac:dyDescent="0.25">
      <c r="A734" s="34" t="s">
        <v>1233</v>
      </c>
      <c r="B734" s="35"/>
      <c r="C734" s="65" t="s">
        <v>454</v>
      </c>
      <c r="D734" s="65"/>
      <c r="E734" s="35"/>
      <c r="F734" s="36" t="s">
        <v>1234</v>
      </c>
      <c r="G734" s="35" t="s">
        <v>65</v>
      </c>
      <c r="H734" s="37"/>
      <c r="I734" s="38">
        <f>1046</f>
        <v>1046</v>
      </c>
      <c r="J734" s="23"/>
      <c r="K734" s="39"/>
      <c r="L734" s="40"/>
      <c r="M734" s="41">
        <f>K734+L734</f>
        <v>0</v>
      </c>
      <c r="N734" s="41">
        <f t="shared" si="23"/>
        <v>0</v>
      </c>
      <c r="O734" s="41">
        <f>ROUND((I734*L734),2)</f>
        <v>0</v>
      </c>
      <c r="P734" s="41">
        <f>ROUND((I734*M734),2)</f>
        <v>0</v>
      </c>
      <c r="Q734" s="41"/>
      <c r="R734" s="23"/>
      <c r="XCY734"/>
      <c r="XCZ734"/>
      <c r="XDA734"/>
      <c r="XDB734"/>
      <c r="XDC734"/>
      <c r="XDD734"/>
      <c r="XDE734"/>
      <c r="XDF734"/>
      <c r="XDG734"/>
      <c r="XDH734"/>
      <c r="XDI734"/>
      <c r="XDJ734"/>
      <c r="XDK734"/>
      <c r="XDL734"/>
      <c r="XDM734"/>
      <c r="XDN734"/>
      <c r="XDO734"/>
      <c r="XDP734"/>
      <c r="XDQ734"/>
      <c r="XDR734"/>
      <c r="XDS734"/>
      <c r="XDT734"/>
      <c r="XDU734"/>
      <c r="XDV734"/>
      <c r="XDW734"/>
      <c r="XDX734"/>
      <c r="XDY734"/>
      <c r="XDZ734"/>
      <c r="XEA734"/>
      <c r="XEB734"/>
      <c r="XEC734"/>
      <c r="XED734"/>
      <c r="XEE734"/>
      <c r="XEF734"/>
      <c r="XEG734"/>
      <c r="XEH734"/>
      <c r="XEI734"/>
      <c r="XEJ734"/>
      <c r="XEK734"/>
      <c r="XEL734"/>
      <c r="XEM734"/>
      <c r="XEN734"/>
      <c r="XEO734"/>
      <c r="XEP734"/>
      <c r="XEQ734"/>
      <c r="XER734"/>
      <c r="XES734"/>
      <c r="XET734"/>
      <c r="XEU734"/>
      <c r="XEV734"/>
      <c r="XEW734"/>
      <c r="XEX734"/>
      <c r="XEY734"/>
      <c r="XEZ734"/>
      <c r="XFA734"/>
      <c r="XFB734"/>
      <c r="XFC734"/>
      <c r="XFD734"/>
    </row>
    <row r="735" spans="1:18 16327:16384" s="26" customFormat="1" ht="29.1" customHeight="1" outlineLevel="3" x14ac:dyDescent="0.25">
      <c r="A735" s="42" t="s">
        <v>1235</v>
      </c>
      <c r="B735" s="43"/>
      <c r="C735" s="66" t="s">
        <v>456</v>
      </c>
      <c r="D735" s="66"/>
      <c r="E735" s="43" t="s">
        <v>34</v>
      </c>
      <c r="F735" s="44"/>
      <c r="G735" s="43" t="s">
        <v>65</v>
      </c>
      <c r="H735" s="45">
        <v>1.012</v>
      </c>
      <c r="I735" s="46">
        <f>1058.552</f>
        <v>1058.5519999999999</v>
      </c>
      <c r="J735" s="23"/>
      <c r="K735" s="47"/>
      <c r="L735" s="48"/>
      <c r="M735" s="49"/>
      <c r="N735" s="49">
        <f t="shared" si="23"/>
        <v>0</v>
      </c>
      <c r="O735" s="49"/>
      <c r="P735" s="49"/>
      <c r="Q735" s="49"/>
      <c r="R735" s="23"/>
      <c r="XCY735"/>
      <c r="XCZ735"/>
      <c r="XDA735"/>
      <c r="XDB735"/>
      <c r="XDC735"/>
      <c r="XDD735"/>
      <c r="XDE735"/>
      <c r="XDF735"/>
      <c r="XDG735"/>
      <c r="XDH735"/>
      <c r="XDI735"/>
      <c r="XDJ735"/>
      <c r="XDK735"/>
      <c r="XDL735"/>
      <c r="XDM735"/>
      <c r="XDN735"/>
      <c r="XDO735"/>
      <c r="XDP735"/>
      <c r="XDQ735"/>
      <c r="XDR735"/>
      <c r="XDS735"/>
      <c r="XDT735"/>
      <c r="XDU735"/>
      <c r="XDV735"/>
      <c r="XDW735"/>
      <c r="XDX735"/>
      <c r="XDY735"/>
      <c r="XDZ735"/>
      <c r="XEA735"/>
      <c r="XEB735"/>
      <c r="XEC735"/>
      <c r="XED735"/>
      <c r="XEE735"/>
      <c r="XEF735"/>
      <c r="XEG735"/>
      <c r="XEH735"/>
      <c r="XEI735"/>
      <c r="XEJ735"/>
      <c r="XEK735"/>
      <c r="XEL735"/>
      <c r="XEM735"/>
      <c r="XEN735"/>
      <c r="XEO735"/>
      <c r="XEP735"/>
      <c r="XEQ735"/>
      <c r="XER735"/>
      <c r="XES735"/>
      <c r="XET735"/>
      <c r="XEU735"/>
      <c r="XEV735"/>
      <c r="XEW735"/>
      <c r="XEX735"/>
      <c r="XEY735"/>
      <c r="XEZ735"/>
      <c r="XFA735"/>
      <c r="XFB735"/>
      <c r="XFC735"/>
      <c r="XFD735"/>
    </row>
    <row r="736" spans="1:18 16327:16384" s="26" customFormat="1" ht="29.1" customHeight="1" outlineLevel="3" x14ac:dyDescent="0.25">
      <c r="A736" s="42" t="s">
        <v>1236</v>
      </c>
      <c r="B736" s="43"/>
      <c r="C736" s="66" t="s">
        <v>458</v>
      </c>
      <c r="D736" s="66"/>
      <c r="E736" s="43" t="s">
        <v>34</v>
      </c>
      <c r="F736" s="44"/>
      <c r="G736" s="43" t="s">
        <v>31</v>
      </c>
      <c r="H736" s="45">
        <v>1</v>
      </c>
      <c r="I736" s="46">
        <f>2092</f>
        <v>2092</v>
      </c>
      <c r="J736" s="23"/>
      <c r="K736" s="47"/>
      <c r="L736" s="48"/>
      <c r="M736" s="49"/>
      <c r="N736" s="49">
        <f t="shared" si="23"/>
        <v>0</v>
      </c>
      <c r="O736" s="49"/>
      <c r="P736" s="49"/>
      <c r="Q736" s="49"/>
      <c r="R736" s="23"/>
      <c r="XCY736"/>
      <c r="XCZ736"/>
      <c r="XDA736"/>
      <c r="XDB736"/>
      <c r="XDC736"/>
      <c r="XDD736"/>
      <c r="XDE736"/>
      <c r="XDF736"/>
      <c r="XDG736"/>
      <c r="XDH736"/>
      <c r="XDI736"/>
      <c r="XDJ736"/>
      <c r="XDK736"/>
      <c r="XDL736"/>
      <c r="XDM736"/>
      <c r="XDN736"/>
      <c r="XDO736"/>
      <c r="XDP736"/>
      <c r="XDQ736"/>
      <c r="XDR736"/>
      <c r="XDS736"/>
      <c r="XDT736"/>
      <c r="XDU736"/>
      <c r="XDV736"/>
      <c r="XDW736"/>
      <c r="XDX736"/>
      <c r="XDY736"/>
      <c r="XDZ736"/>
      <c r="XEA736"/>
      <c r="XEB736"/>
      <c r="XEC736"/>
      <c r="XED736"/>
      <c r="XEE736"/>
      <c r="XEF736"/>
      <c r="XEG736"/>
      <c r="XEH736"/>
      <c r="XEI736"/>
      <c r="XEJ736"/>
      <c r="XEK736"/>
      <c r="XEL736"/>
      <c r="XEM736"/>
      <c r="XEN736"/>
      <c r="XEO736"/>
      <c r="XEP736"/>
      <c r="XEQ736"/>
      <c r="XER736"/>
      <c r="XES736"/>
      <c r="XET736"/>
      <c r="XEU736"/>
      <c r="XEV736"/>
      <c r="XEW736"/>
      <c r="XEX736"/>
      <c r="XEY736"/>
      <c r="XEZ736"/>
      <c r="XFA736"/>
      <c r="XFB736"/>
      <c r="XFC736"/>
      <c r="XFD736"/>
    </row>
    <row r="737" spans="1:18 16327:16384" s="26" customFormat="1" ht="29.1" customHeight="1" outlineLevel="2" x14ac:dyDescent="0.25">
      <c r="A737" s="34" t="s">
        <v>1237</v>
      </c>
      <c r="B737" s="35"/>
      <c r="C737" s="65" t="s">
        <v>600</v>
      </c>
      <c r="D737" s="65"/>
      <c r="E737" s="35"/>
      <c r="F737" s="36"/>
      <c r="G737" s="35" t="s">
        <v>31</v>
      </c>
      <c r="H737" s="37"/>
      <c r="I737" s="38">
        <f>200</f>
        <v>200</v>
      </c>
      <c r="J737" s="23"/>
      <c r="K737" s="39"/>
      <c r="L737" s="40"/>
      <c r="M737" s="41">
        <f>K737+L737</f>
        <v>0</v>
      </c>
      <c r="N737" s="41">
        <f t="shared" si="23"/>
        <v>0</v>
      </c>
      <c r="O737" s="41">
        <f>ROUND((I737*L737),2)</f>
        <v>0</v>
      </c>
      <c r="P737" s="41">
        <f>ROUND((I737*M737),2)</f>
        <v>0</v>
      </c>
      <c r="Q737" s="41"/>
      <c r="R737" s="23"/>
      <c r="XCY737"/>
      <c r="XCZ737"/>
      <c r="XDA737"/>
      <c r="XDB737"/>
      <c r="XDC737"/>
      <c r="XDD737"/>
      <c r="XDE737"/>
      <c r="XDF737"/>
      <c r="XDG737"/>
      <c r="XDH737"/>
      <c r="XDI737"/>
      <c r="XDJ737"/>
      <c r="XDK737"/>
      <c r="XDL737"/>
      <c r="XDM737"/>
      <c r="XDN737"/>
      <c r="XDO737"/>
      <c r="XDP737"/>
      <c r="XDQ737"/>
      <c r="XDR737"/>
      <c r="XDS737"/>
      <c r="XDT737"/>
      <c r="XDU737"/>
      <c r="XDV737"/>
      <c r="XDW737"/>
      <c r="XDX737"/>
      <c r="XDY737"/>
      <c r="XDZ737"/>
      <c r="XEA737"/>
      <c r="XEB737"/>
      <c r="XEC737"/>
      <c r="XED737"/>
      <c r="XEE737"/>
      <c r="XEF737"/>
      <c r="XEG737"/>
      <c r="XEH737"/>
      <c r="XEI737"/>
      <c r="XEJ737"/>
      <c r="XEK737"/>
      <c r="XEL737"/>
      <c r="XEM737"/>
      <c r="XEN737"/>
      <c r="XEO737"/>
      <c r="XEP737"/>
      <c r="XEQ737"/>
      <c r="XER737"/>
      <c r="XES737"/>
      <c r="XET737"/>
      <c r="XEU737"/>
      <c r="XEV737"/>
      <c r="XEW737"/>
      <c r="XEX737"/>
      <c r="XEY737"/>
      <c r="XEZ737"/>
      <c r="XFA737"/>
      <c r="XFB737"/>
      <c r="XFC737"/>
      <c r="XFD737"/>
    </row>
    <row r="738" spans="1:18 16327:16384" s="26" customFormat="1" ht="29.1" customHeight="1" outlineLevel="3" x14ac:dyDescent="0.25">
      <c r="A738" s="42" t="s">
        <v>1238</v>
      </c>
      <c r="B738" s="43"/>
      <c r="C738" s="66" t="s">
        <v>1239</v>
      </c>
      <c r="D738" s="66"/>
      <c r="E738" s="43" t="s">
        <v>34</v>
      </c>
      <c r="F738" s="44"/>
      <c r="G738" s="43" t="s">
        <v>65</v>
      </c>
      <c r="H738" s="45">
        <v>1</v>
      </c>
      <c r="I738" s="46">
        <f>50</f>
        <v>50</v>
      </c>
      <c r="J738" s="23"/>
      <c r="K738" s="47"/>
      <c r="L738" s="48"/>
      <c r="M738" s="49"/>
      <c r="N738" s="49">
        <f t="shared" si="23"/>
        <v>0</v>
      </c>
      <c r="O738" s="49"/>
      <c r="P738" s="49"/>
      <c r="Q738" s="49"/>
      <c r="R738" s="23"/>
      <c r="XCY738"/>
      <c r="XCZ738"/>
      <c r="XDA738"/>
      <c r="XDB738"/>
      <c r="XDC738"/>
      <c r="XDD738"/>
      <c r="XDE738"/>
      <c r="XDF738"/>
      <c r="XDG738"/>
      <c r="XDH738"/>
      <c r="XDI738"/>
      <c r="XDJ738"/>
      <c r="XDK738"/>
      <c r="XDL738"/>
      <c r="XDM738"/>
      <c r="XDN738"/>
      <c r="XDO738"/>
      <c r="XDP738"/>
      <c r="XDQ738"/>
      <c r="XDR738"/>
      <c r="XDS738"/>
      <c r="XDT738"/>
      <c r="XDU738"/>
      <c r="XDV738"/>
      <c r="XDW738"/>
      <c r="XDX738"/>
      <c r="XDY738"/>
      <c r="XDZ738"/>
      <c r="XEA738"/>
      <c r="XEB738"/>
      <c r="XEC738"/>
      <c r="XED738"/>
      <c r="XEE738"/>
      <c r="XEF738"/>
      <c r="XEG738"/>
      <c r="XEH738"/>
      <c r="XEI738"/>
      <c r="XEJ738"/>
      <c r="XEK738"/>
      <c r="XEL738"/>
      <c r="XEM738"/>
      <c r="XEN738"/>
      <c r="XEO738"/>
      <c r="XEP738"/>
      <c r="XEQ738"/>
      <c r="XER738"/>
      <c r="XES738"/>
      <c r="XET738"/>
      <c r="XEU738"/>
      <c r="XEV738"/>
      <c r="XEW738"/>
      <c r="XEX738"/>
      <c r="XEY738"/>
      <c r="XEZ738"/>
      <c r="XFA738"/>
      <c r="XFB738"/>
      <c r="XFC738"/>
      <c r="XFD738"/>
    </row>
    <row r="739" spans="1:18 16327:16384" s="26" customFormat="1" ht="29.1" customHeight="1" outlineLevel="3" x14ac:dyDescent="0.25">
      <c r="A739" s="42" t="s">
        <v>1240</v>
      </c>
      <c r="B739" s="43"/>
      <c r="C739" s="66" t="s">
        <v>1241</v>
      </c>
      <c r="D739" s="66"/>
      <c r="E739" s="43" t="s">
        <v>34</v>
      </c>
      <c r="F739" s="44"/>
      <c r="G739" s="43" t="s">
        <v>31</v>
      </c>
      <c r="H739" s="45">
        <v>1</v>
      </c>
      <c r="I739" s="46">
        <f>10</f>
        <v>10</v>
      </c>
      <c r="J739" s="23"/>
      <c r="K739" s="47"/>
      <c r="L739" s="48"/>
      <c r="M739" s="49"/>
      <c r="N739" s="49">
        <f t="shared" si="23"/>
        <v>0</v>
      </c>
      <c r="O739" s="49"/>
      <c r="P739" s="49"/>
      <c r="Q739" s="49"/>
      <c r="R739" s="23"/>
      <c r="XCY739"/>
      <c r="XCZ739"/>
      <c r="XDA739"/>
      <c r="XDB739"/>
      <c r="XDC739"/>
      <c r="XDD739"/>
      <c r="XDE739"/>
      <c r="XDF739"/>
      <c r="XDG739"/>
      <c r="XDH739"/>
      <c r="XDI739"/>
      <c r="XDJ739"/>
      <c r="XDK739"/>
      <c r="XDL739"/>
      <c r="XDM739"/>
      <c r="XDN739"/>
      <c r="XDO739"/>
      <c r="XDP739"/>
      <c r="XDQ739"/>
      <c r="XDR739"/>
      <c r="XDS739"/>
      <c r="XDT739"/>
      <c r="XDU739"/>
      <c r="XDV739"/>
      <c r="XDW739"/>
      <c r="XDX739"/>
      <c r="XDY739"/>
      <c r="XDZ739"/>
      <c r="XEA739"/>
      <c r="XEB739"/>
      <c r="XEC739"/>
      <c r="XED739"/>
      <c r="XEE739"/>
      <c r="XEF739"/>
      <c r="XEG739"/>
      <c r="XEH739"/>
      <c r="XEI739"/>
      <c r="XEJ739"/>
      <c r="XEK739"/>
      <c r="XEL739"/>
      <c r="XEM739"/>
      <c r="XEN739"/>
      <c r="XEO739"/>
      <c r="XEP739"/>
      <c r="XEQ739"/>
      <c r="XER739"/>
      <c r="XES739"/>
      <c r="XET739"/>
      <c r="XEU739"/>
      <c r="XEV739"/>
      <c r="XEW739"/>
      <c r="XEX739"/>
      <c r="XEY739"/>
      <c r="XEZ739"/>
      <c r="XFA739"/>
      <c r="XFB739"/>
      <c r="XFC739"/>
      <c r="XFD739"/>
    </row>
    <row r="740" spans="1:18 16327:16384" s="26" customFormat="1" ht="29.1" customHeight="1" outlineLevel="3" x14ac:dyDescent="0.25">
      <c r="A740" s="42" t="s">
        <v>1242</v>
      </c>
      <c r="B740" s="43"/>
      <c r="C740" s="66" t="s">
        <v>1243</v>
      </c>
      <c r="D740" s="66"/>
      <c r="E740" s="43" t="s">
        <v>34</v>
      </c>
      <c r="F740" s="44"/>
      <c r="G740" s="43" t="s">
        <v>31</v>
      </c>
      <c r="H740" s="45">
        <v>1</v>
      </c>
      <c r="I740" s="46">
        <f>10</f>
        <v>10</v>
      </c>
      <c r="J740" s="23"/>
      <c r="K740" s="47"/>
      <c r="L740" s="48"/>
      <c r="M740" s="49"/>
      <c r="N740" s="49">
        <f t="shared" si="23"/>
        <v>0</v>
      </c>
      <c r="O740" s="49"/>
      <c r="P740" s="49"/>
      <c r="Q740" s="49"/>
      <c r="R740" s="23"/>
      <c r="XCY740"/>
      <c r="XCZ740"/>
      <c r="XDA740"/>
      <c r="XDB740"/>
      <c r="XDC740"/>
      <c r="XDD740"/>
      <c r="XDE740"/>
      <c r="XDF740"/>
      <c r="XDG740"/>
      <c r="XDH740"/>
      <c r="XDI740"/>
      <c r="XDJ740"/>
      <c r="XDK740"/>
      <c r="XDL740"/>
      <c r="XDM740"/>
      <c r="XDN740"/>
      <c r="XDO740"/>
      <c r="XDP740"/>
      <c r="XDQ740"/>
      <c r="XDR740"/>
      <c r="XDS740"/>
      <c r="XDT740"/>
      <c r="XDU740"/>
      <c r="XDV740"/>
      <c r="XDW740"/>
      <c r="XDX740"/>
      <c r="XDY740"/>
      <c r="XDZ740"/>
      <c r="XEA740"/>
      <c r="XEB740"/>
      <c r="XEC740"/>
      <c r="XED740"/>
      <c r="XEE740"/>
      <c r="XEF740"/>
      <c r="XEG740"/>
      <c r="XEH740"/>
      <c r="XEI740"/>
      <c r="XEJ740"/>
      <c r="XEK740"/>
      <c r="XEL740"/>
      <c r="XEM740"/>
      <c r="XEN740"/>
      <c r="XEO740"/>
      <c r="XEP740"/>
      <c r="XEQ740"/>
      <c r="XER740"/>
      <c r="XES740"/>
      <c r="XET740"/>
      <c r="XEU740"/>
      <c r="XEV740"/>
      <c r="XEW740"/>
      <c r="XEX740"/>
      <c r="XEY740"/>
      <c r="XEZ740"/>
      <c r="XFA740"/>
      <c r="XFB740"/>
      <c r="XFC740"/>
      <c r="XFD740"/>
    </row>
    <row r="741" spans="1:18 16327:16384" s="26" customFormat="1" ht="29.1" customHeight="1" outlineLevel="2" x14ac:dyDescent="0.25">
      <c r="A741" s="34" t="s">
        <v>1244</v>
      </c>
      <c r="B741" s="35"/>
      <c r="C741" s="65" t="s">
        <v>1245</v>
      </c>
      <c r="D741" s="65"/>
      <c r="E741" s="35"/>
      <c r="F741" s="36"/>
      <c r="G741" s="35" t="s">
        <v>90</v>
      </c>
      <c r="H741" s="37">
        <v>1</v>
      </c>
      <c r="I741" s="38">
        <f>1</f>
        <v>1</v>
      </c>
      <c r="J741" s="23"/>
      <c r="K741" s="39"/>
      <c r="L741" s="40"/>
      <c r="M741" s="41">
        <f>K741+L741</f>
        <v>0</v>
      </c>
      <c r="N741" s="41">
        <f t="shared" si="23"/>
        <v>0</v>
      </c>
      <c r="O741" s="41">
        <f>ROUND((I741*L741),2)</f>
        <v>0</v>
      </c>
      <c r="P741" s="41">
        <f>ROUND((I741*M741),2)</f>
        <v>0</v>
      </c>
      <c r="Q741" s="41"/>
      <c r="R741" s="23"/>
      <c r="XCY741"/>
      <c r="XCZ741"/>
      <c r="XDA741"/>
      <c r="XDB741"/>
      <c r="XDC741"/>
      <c r="XDD741"/>
      <c r="XDE741"/>
      <c r="XDF741"/>
      <c r="XDG741"/>
      <c r="XDH741"/>
      <c r="XDI741"/>
      <c r="XDJ741"/>
      <c r="XDK741"/>
      <c r="XDL741"/>
      <c r="XDM741"/>
      <c r="XDN741"/>
      <c r="XDO741"/>
      <c r="XDP741"/>
      <c r="XDQ741"/>
      <c r="XDR741"/>
      <c r="XDS741"/>
      <c r="XDT741"/>
      <c r="XDU741"/>
      <c r="XDV741"/>
      <c r="XDW741"/>
      <c r="XDX741"/>
      <c r="XDY741"/>
      <c r="XDZ741"/>
      <c r="XEA741"/>
      <c r="XEB741"/>
      <c r="XEC741"/>
      <c r="XED741"/>
      <c r="XEE741"/>
      <c r="XEF741"/>
      <c r="XEG741"/>
      <c r="XEH741"/>
      <c r="XEI741"/>
      <c r="XEJ741"/>
      <c r="XEK741"/>
      <c r="XEL741"/>
      <c r="XEM741"/>
      <c r="XEN741"/>
      <c r="XEO741"/>
      <c r="XEP741"/>
      <c r="XEQ741"/>
      <c r="XER741"/>
      <c r="XES741"/>
      <c r="XET741"/>
      <c r="XEU741"/>
      <c r="XEV741"/>
      <c r="XEW741"/>
      <c r="XEX741"/>
      <c r="XEY741"/>
      <c r="XEZ741"/>
      <c r="XFA741"/>
      <c r="XFB741"/>
      <c r="XFC741"/>
      <c r="XFD741"/>
    </row>
    <row r="742" spans="1:18 16327:16384" s="26" customFormat="1" ht="29.1" customHeight="1" outlineLevel="1" x14ac:dyDescent="0.25">
      <c r="A742" s="27" t="s">
        <v>1246</v>
      </c>
      <c r="B742" s="28" t="s">
        <v>59</v>
      </c>
      <c r="C742" s="69" t="s">
        <v>1247</v>
      </c>
      <c r="D742" s="69"/>
      <c r="E742" s="28"/>
      <c r="F742" s="29"/>
      <c r="G742" s="28"/>
      <c r="H742" s="30"/>
      <c r="I742" s="31"/>
      <c r="J742" s="23"/>
      <c r="K742" s="32"/>
      <c r="L742" s="32"/>
      <c r="M742" s="32"/>
      <c r="N742" s="32">
        <f>N743+N749+N751+N753+N755+N757+N759+N762+N764+N766+N768+N771+N774+N776+N779+N781+N783+N786+N788+N790+N793+N795+N798+N800+N802+N804+N806+N808+N810+N812+N816+N819+N822</f>
        <v>0</v>
      </c>
      <c r="O742" s="32">
        <f>O743+O749+O751+O753+O755+O757+O759+O762+O764+O766+O768+O771+O774+O776+O779+O781+O783+O786+O788+O790+O793+O795+O798+O800+O802+O804+O806+O808+O810+O812+O816+O819+O822</f>
        <v>0</v>
      </c>
      <c r="P742" s="32">
        <f>P743+P749+P751+P753+P755+P757+P759+P762+P764+P766+P768+P771+P774+P776+P779+P781+P783+P786+P788+P790+P793+P795+P798+P800+P802+P804+P806+P808+P810+P812+P816+P819+P822</f>
        <v>0</v>
      </c>
      <c r="Q742" s="33"/>
      <c r="R742" s="23"/>
      <c r="XCY742"/>
      <c r="XCZ742"/>
      <c r="XDA742"/>
      <c r="XDB742"/>
      <c r="XDC742"/>
      <c r="XDD742"/>
      <c r="XDE742"/>
      <c r="XDF742"/>
      <c r="XDG742"/>
      <c r="XDH742"/>
      <c r="XDI742"/>
      <c r="XDJ742"/>
      <c r="XDK742"/>
      <c r="XDL742"/>
      <c r="XDM742"/>
      <c r="XDN742"/>
      <c r="XDO742"/>
      <c r="XDP742"/>
      <c r="XDQ742"/>
      <c r="XDR742"/>
      <c r="XDS742"/>
      <c r="XDT742"/>
      <c r="XDU742"/>
      <c r="XDV742"/>
      <c r="XDW742"/>
      <c r="XDX742"/>
      <c r="XDY742"/>
      <c r="XDZ742"/>
      <c r="XEA742"/>
      <c r="XEB742"/>
      <c r="XEC742"/>
      <c r="XED742"/>
      <c r="XEE742"/>
      <c r="XEF742"/>
      <c r="XEG742"/>
      <c r="XEH742"/>
      <c r="XEI742"/>
      <c r="XEJ742"/>
      <c r="XEK742"/>
      <c r="XEL742"/>
      <c r="XEM742"/>
      <c r="XEN742"/>
      <c r="XEO742"/>
      <c r="XEP742"/>
      <c r="XEQ742"/>
      <c r="XER742"/>
      <c r="XES742"/>
      <c r="XET742"/>
      <c r="XEU742"/>
      <c r="XEV742"/>
      <c r="XEW742"/>
      <c r="XEX742"/>
      <c r="XEY742"/>
      <c r="XEZ742"/>
      <c r="XFA742"/>
      <c r="XFB742"/>
      <c r="XFC742"/>
      <c r="XFD742"/>
    </row>
    <row r="743" spans="1:18 16327:16384" s="26" customFormat="1" ht="29.1" customHeight="1" outlineLevel="2" x14ac:dyDescent="0.25">
      <c r="A743" s="34" t="s">
        <v>1248</v>
      </c>
      <c r="B743" s="35"/>
      <c r="C743" s="65" t="s">
        <v>94</v>
      </c>
      <c r="D743" s="65"/>
      <c r="E743" s="35"/>
      <c r="F743" s="36" t="s">
        <v>1249</v>
      </c>
      <c r="G743" s="35" t="s">
        <v>31</v>
      </c>
      <c r="H743" s="37"/>
      <c r="I743" s="38">
        <f>1</f>
        <v>1</v>
      </c>
      <c r="J743" s="23"/>
      <c r="K743" s="39"/>
      <c r="L743" s="40"/>
      <c r="M743" s="41">
        <f>K743+L743</f>
        <v>0</v>
      </c>
      <c r="N743" s="41">
        <f t="shared" ref="N743:N774" si="24">ROUND((I743*K743),2)</f>
        <v>0</v>
      </c>
      <c r="O743" s="41">
        <f>ROUND((I743*L743),2)</f>
        <v>0</v>
      </c>
      <c r="P743" s="41">
        <f>ROUND((I743*M743),2)</f>
        <v>0</v>
      </c>
      <c r="Q743" s="41"/>
      <c r="R743" s="23"/>
      <c r="XCY743"/>
      <c r="XCZ743"/>
      <c r="XDA743"/>
      <c r="XDB743"/>
      <c r="XDC743"/>
      <c r="XDD743"/>
      <c r="XDE743"/>
      <c r="XDF743"/>
      <c r="XDG743"/>
      <c r="XDH743"/>
      <c r="XDI743"/>
      <c r="XDJ743"/>
      <c r="XDK743"/>
      <c r="XDL743"/>
      <c r="XDM743"/>
      <c r="XDN743"/>
      <c r="XDO743"/>
      <c r="XDP743"/>
      <c r="XDQ743"/>
      <c r="XDR743"/>
      <c r="XDS743"/>
      <c r="XDT743"/>
      <c r="XDU743"/>
      <c r="XDV743"/>
      <c r="XDW743"/>
      <c r="XDX743"/>
      <c r="XDY743"/>
      <c r="XDZ743"/>
      <c r="XEA743"/>
      <c r="XEB743"/>
      <c r="XEC743"/>
      <c r="XED743"/>
      <c r="XEE743"/>
      <c r="XEF743"/>
      <c r="XEG743"/>
      <c r="XEH743"/>
      <c r="XEI743"/>
      <c r="XEJ743"/>
      <c r="XEK743"/>
      <c r="XEL743"/>
      <c r="XEM743"/>
      <c r="XEN743"/>
      <c r="XEO743"/>
      <c r="XEP743"/>
      <c r="XEQ743"/>
      <c r="XER743"/>
      <c r="XES743"/>
      <c r="XET743"/>
      <c r="XEU743"/>
      <c r="XEV743"/>
      <c r="XEW743"/>
      <c r="XEX743"/>
      <c r="XEY743"/>
      <c r="XEZ743"/>
      <c r="XFA743"/>
      <c r="XFB743"/>
      <c r="XFC743"/>
      <c r="XFD743"/>
    </row>
    <row r="744" spans="1:18 16327:16384" s="26" customFormat="1" ht="29.1" customHeight="1" outlineLevel="3" x14ac:dyDescent="0.25">
      <c r="A744" s="42" t="s">
        <v>1250</v>
      </c>
      <c r="B744" s="43"/>
      <c r="C744" s="66" t="s">
        <v>1251</v>
      </c>
      <c r="D744" s="66"/>
      <c r="E744" s="43" t="s">
        <v>34</v>
      </c>
      <c r="F744" s="44"/>
      <c r="G744" s="43" t="s">
        <v>31</v>
      </c>
      <c r="H744" s="45">
        <v>1</v>
      </c>
      <c r="I744" s="46">
        <f>1</f>
        <v>1</v>
      </c>
      <c r="J744" s="23"/>
      <c r="K744" s="47"/>
      <c r="L744" s="48"/>
      <c r="M744" s="49"/>
      <c r="N744" s="49">
        <f t="shared" si="24"/>
        <v>0</v>
      </c>
      <c r="O744" s="49"/>
      <c r="P744" s="49"/>
      <c r="Q744" s="49"/>
      <c r="R744" s="23"/>
      <c r="XCY744"/>
      <c r="XCZ744"/>
      <c r="XDA744"/>
      <c r="XDB744"/>
      <c r="XDC744"/>
      <c r="XDD744"/>
      <c r="XDE744"/>
      <c r="XDF744"/>
      <c r="XDG744"/>
      <c r="XDH744"/>
      <c r="XDI744"/>
      <c r="XDJ744"/>
      <c r="XDK744"/>
      <c r="XDL744"/>
      <c r="XDM744"/>
      <c r="XDN744"/>
      <c r="XDO744"/>
      <c r="XDP744"/>
      <c r="XDQ744"/>
      <c r="XDR744"/>
      <c r="XDS744"/>
      <c r="XDT744"/>
      <c r="XDU744"/>
      <c r="XDV744"/>
      <c r="XDW744"/>
      <c r="XDX744"/>
      <c r="XDY744"/>
      <c r="XDZ744"/>
      <c r="XEA744"/>
      <c r="XEB744"/>
      <c r="XEC744"/>
      <c r="XED744"/>
      <c r="XEE744"/>
      <c r="XEF744"/>
      <c r="XEG744"/>
      <c r="XEH744"/>
      <c r="XEI744"/>
      <c r="XEJ744"/>
      <c r="XEK744"/>
      <c r="XEL744"/>
      <c r="XEM744"/>
      <c r="XEN744"/>
      <c r="XEO744"/>
      <c r="XEP744"/>
      <c r="XEQ744"/>
      <c r="XER744"/>
      <c r="XES744"/>
      <c r="XET744"/>
      <c r="XEU744"/>
      <c r="XEV744"/>
      <c r="XEW744"/>
      <c r="XEX744"/>
      <c r="XEY744"/>
      <c r="XEZ744"/>
      <c r="XFA744"/>
      <c r="XFB744"/>
      <c r="XFC744"/>
      <c r="XFD744"/>
    </row>
    <row r="745" spans="1:18 16327:16384" s="26" customFormat="1" ht="29.1" customHeight="1" outlineLevel="3" x14ac:dyDescent="0.25">
      <c r="A745" s="42" t="s">
        <v>1252</v>
      </c>
      <c r="B745" s="43"/>
      <c r="C745" s="66" t="s">
        <v>1253</v>
      </c>
      <c r="D745" s="66"/>
      <c r="E745" s="43" t="s">
        <v>34</v>
      </c>
      <c r="F745" s="44"/>
      <c r="G745" s="43" t="s">
        <v>31</v>
      </c>
      <c r="H745" s="45">
        <v>1</v>
      </c>
      <c r="I745" s="46">
        <f>1</f>
        <v>1</v>
      </c>
      <c r="J745" s="23"/>
      <c r="K745" s="47"/>
      <c r="L745" s="48"/>
      <c r="M745" s="49"/>
      <c r="N745" s="49">
        <f t="shared" si="24"/>
        <v>0</v>
      </c>
      <c r="O745" s="49"/>
      <c r="P745" s="49"/>
      <c r="Q745" s="49"/>
      <c r="R745" s="23"/>
      <c r="XCY745"/>
      <c r="XCZ745"/>
      <c r="XDA745"/>
      <c r="XDB745"/>
      <c r="XDC745"/>
      <c r="XDD745"/>
      <c r="XDE745"/>
      <c r="XDF745"/>
      <c r="XDG745"/>
      <c r="XDH745"/>
      <c r="XDI745"/>
      <c r="XDJ745"/>
      <c r="XDK745"/>
      <c r="XDL745"/>
      <c r="XDM745"/>
      <c r="XDN745"/>
      <c r="XDO745"/>
      <c r="XDP745"/>
      <c r="XDQ745"/>
      <c r="XDR745"/>
      <c r="XDS745"/>
      <c r="XDT745"/>
      <c r="XDU745"/>
      <c r="XDV745"/>
      <c r="XDW745"/>
      <c r="XDX745"/>
      <c r="XDY745"/>
      <c r="XDZ745"/>
      <c r="XEA745"/>
      <c r="XEB745"/>
      <c r="XEC745"/>
      <c r="XED745"/>
      <c r="XEE745"/>
      <c r="XEF745"/>
      <c r="XEG745"/>
      <c r="XEH745"/>
      <c r="XEI745"/>
      <c r="XEJ745"/>
      <c r="XEK745"/>
      <c r="XEL745"/>
      <c r="XEM745"/>
      <c r="XEN745"/>
      <c r="XEO745"/>
      <c r="XEP745"/>
      <c r="XEQ745"/>
      <c r="XER745"/>
      <c r="XES745"/>
      <c r="XET745"/>
      <c r="XEU745"/>
      <c r="XEV745"/>
      <c r="XEW745"/>
      <c r="XEX745"/>
      <c r="XEY745"/>
      <c r="XEZ745"/>
      <c r="XFA745"/>
      <c r="XFB745"/>
      <c r="XFC745"/>
      <c r="XFD745"/>
    </row>
    <row r="746" spans="1:18 16327:16384" s="26" customFormat="1" ht="29.1" customHeight="1" outlineLevel="3" x14ac:dyDescent="0.25">
      <c r="A746" s="42" t="s">
        <v>1254</v>
      </c>
      <c r="B746" s="43"/>
      <c r="C746" s="66" t="s">
        <v>1255</v>
      </c>
      <c r="D746" s="66"/>
      <c r="E746" s="43" t="s">
        <v>34</v>
      </c>
      <c r="F746" s="44"/>
      <c r="G746" s="43" t="s">
        <v>31</v>
      </c>
      <c r="H746" s="45">
        <v>1</v>
      </c>
      <c r="I746" s="46">
        <f>2</f>
        <v>2</v>
      </c>
      <c r="J746" s="23"/>
      <c r="K746" s="47"/>
      <c r="L746" s="48"/>
      <c r="M746" s="49"/>
      <c r="N746" s="49">
        <f t="shared" si="24"/>
        <v>0</v>
      </c>
      <c r="O746" s="49"/>
      <c r="P746" s="49"/>
      <c r="Q746" s="49"/>
      <c r="R746" s="23"/>
      <c r="XCY746"/>
      <c r="XCZ746"/>
      <c r="XDA746"/>
      <c r="XDB746"/>
      <c r="XDC746"/>
      <c r="XDD746"/>
      <c r="XDE746"/>
      <c r="XDF746"/>
      <c r="XDG746"/>
      <c r="XDH746"/>
      <c r="XDI746"/>
      <c r="XDJ746"/>
      <c r="XDK746"/>
      <c r="XDL746"/>
      <c r="XDM746"/>
      <c r="XDN746"/>
      <c r="XDO746"/>
      <c r="XDP746"/>
      <c r="XDQ746"/>
      <c r="XDR746"/>
      <c r="XDS746"/>
      <c r="XDT746"/>
      <c r="XDU746"/>
      <c r="XDV746"/>
      <c r="XDW746"/>
      <c r="XDX746"/>
      <c r="XDY746"/>
      <c r="XDZ746"/>
      <c r="XEA746"/>
      <c r="XEB746"/>
      <c r="XEC746"/>
      <c r="XED746"/>
      <c r="XEE746"/>
      <c r="XEF746"/>
      <c r="XEG746"/>
      <c r="XEH746"/>
      <c r="XEI746"/>
      <c r="XEJ746"/>
      <c r="XEK746"/>
      <c r="XEL746"/>
      <c r="XEM746"/>
      <c r="XEN746"/>
      <c r="XEO746"/>
      <c r="XEP746"/>
      <c r="XEQ746"/>
      <c r="XER746"/>
      <c r="XES746"/>
      <c r="XET746"/>
      <c r="XEU746"/>
      <c r="XEV746"/>
      <c r="XEW746"/>
      <c r="XEX746"/>
      <c r="XEY746"/>
      <c r="XEZ746"/>
      <c r="XFA746"/>
      <c r="XFB746"/>
      <c r="XFC746"/>
      <c r="XFD746"/>
    </row>
    <row r="747" spans="1:18 16327:16384" s="26" customFormat="1" ht="29.1" customHeight="1" outlineLevel="3" x14ac:dyDescent="0.25">
      <c r="A747" s="42" t="s">
        <v>1256</v>
      </c>
      <c r="B747" s="43"/>
      <c r="C747" s="66" t="s">
        <v>1257</v>
      </c>
      <c r="D747" s="66"/>
      <c r="E747" s="43" t="s">
        <v>34</v>
      </c>
      <c r="F747" s="44"/>
      <c r="G747" s="43" t="s">
        <v>31</v>
      </c>
      <c r="H747" s="45">
        <v>1</v>
      </c>
      <c r="I747" s="46">
        <f>4</f>
        <v>4</v>
      </c>
      <c r="J747" s="23"/>
      <c r="K747" s="47"/>
      <c r="L747" s="48"/>
      <c r="M747" s="49"/>
      <c r="N747" s="49">
        <f t="shared" si="24"/>
        <v>0</v>
      </c>
      <c r="O747" s="49"/>
      <c r="P747" s="49"/>
      <c r="Q747" s="49"/>
      <c r="R747" s="23"/>
      <c r="XCY747"/>
      <c r="XCZ747"/>
      <c r="XDA747"/>
      <c r="XDB747"/>
      <c r="XDC747"/>
      <c r="XDD747"/>
      <c r="XDE747"/>
      <c r="XDF747"/>
      <c r="XDG747"/>
      <c r="XDH747"/>
      <c r="XDI747"/>
      <c r="XDJ747"/>
      <c r="XDK747"/>
      <c r="XDL747"/>
      <c r="XDM747"/>
      <c r="XDN747"/>
      <c r="XDO747"/>
      <c r="XDP747"/>
      <c r="XDQ747"/>
      <c r="XDR747"/>
      <c r="XDS747"/>
      <c r="XDT747"/>
      <c r="XDU747"/>
      <c r="XDV747"/>
      <c r="XDW747"/>
      <c r="XDX747"/>
      <c r="XDY747"/>
      <c r="XDZ747"/>
      <c r="XEA747"/>
      <c r="XEB747"/>
      <c r="XEC747"/>
      <c r="XED747"/>
      <c r="XEE747"/>
      <c r="XEF747"/>
      <c r="XEG747"/>
      <c r="XEH747"/>
      <c r="XEI747"/>
      <c r="XEJ747"/>
      <c r="XEK747"/>
      <c r="XEL747"/>
      <c r="XEM747"/>
      <c r="XEN747"/>
      <c r="XEO747"/>
      <c r="XEP747"/>
      <c r="XEQ747"/>
      <c r="XER747"/>
      <c r="XES747"/>
      <c r="XET747"/>
      <c r="XEU747"/>
      <c r="XEV747"/>
      <c r="XEW747"/>
      <c r="XEX747"/>
      <c r="XEY747"/>
      <c r="XEZ747"/>
      <c r="XFA747"/>
      <c r="XFB747"/>
      <c r="XFC747"/>
      <c r="XFD747"/>
    </row>
    <row r="748" spans="1:18 16327:16384" s="26" customFormat="1" ht="29.1" customHeight="1" outlineLevel="3" x14ac:dyDescent="0.25">
      <c r="A748" s="42" t="s">
        <v>1258</v>
      </c>
      <c r="B748" s="43"/>
      <c r="C748" s="66" t="s">
        <v>1259</v>
      </c>
      <c r="D748" s="66"/>
      <c r="E748" s="43" t="s">
        <v>34</v>
      </c>
      <c r="F748" s="44"/>
      <c r="G748" s="43" t="s">
        <v>31</v>
      </c>
      <c r="H748" s="45">
        <v>1</v>
      </c>
      <c r="I748" s="46">
        <f>2</f>
        <v>2</v>
      </c>
      <c r="J748" s="23"/>
      <c r="K748" s="47"/>
      <c r="L748" s="48"/>
      <c r="M748" s="49"/>
      <c r="N748" s="49">
        <f t="shared" si="24"/>
        <v>0</v>
      </c>
      <c r="O748" s="49"/>
      <c r="P748" s="49"/>
      <c r="Q748" s="49"/>
      <c r="R748" s="23"/>
      <c r="XCY748"/>
      <c r="XCZ748"/>
      <c r="XDA748"/>
      <c r="XDB748"/>
      <c r="XDC748"/>
      <c r="XDD748"/>
      <c r="XDE748"/>
      <c r="XDF748"/>
      <c r="XDG748"/>
      <c r="XDH748"/>
      <c r="XDI748"/>
      <c r="XDJ748"/>
      <c r="XDK748"/>
      <c r="XDL748"/>
      <c r="XDM748"/>
      <c r="XDN748"/>
      <c r="XDO748"/>
      <c r="XDP748"/>
      <c r="XDQ748"/>
      <c r="XDR748"/>
      <c r="XDS748"/>
      <c r="XDT748"/>
      <c r="XDU748"/>
      <c r="XDV748"/>
      <c r="XDW748"/>
      <c r="XDX748"/>
      <c r="XDY748"/>
      <c r="XDZ748"/>
      <c r="XEA748"/>
      <c r="XEB748"/>
      <c r="XEC748"/>
      <c r="XED748"/>
      <c r="XEE748"/>
      <c r="XEF748"/>
      <c r="XEG748"/>
      <c r="XEH748"/>
      <c r="XEI748"/>
      <c r="XEJ748"/>
      <c r="XEK748"/>
      <c r="XEL748"/>
      <c r="XEM748"/>
      <c r="XEN748"/>
      <c r="XEO748"/>
      <c r="XEP748"/>
      <c r="XEQ748"/>
      <c r="XER748"/>
      <c r="XES748"/>
      <c r="XET748"/>
      <c r="XEU748"/>
      <c r="XEV748"/>
      <c r="XEW748"/>
      <c r="XEX748"/>
      <c r="XEY748"/>
      <c r="XEZ748"/>
      <c r="XFA748"/>
      <c r="XFB748"/>
      <c r="XFC748"/>
      <c r="XFD748"/>
    </row>
    <row r="749" spans="1:18 16327:16384" s="26" customFormat="1" ht="29.1" customHeight="1" outlineLevel="2" x14ac:dyDescent="0.25">
      <c r="A749" s="34" t="s">
        <v>1260</v>
      </c>
      <c r="B749" s="35"/>
      <c r="C749" s="65" t="s">
        <v>36</v>
      </c>
      <c r="D749" s="65"/>
      <c r="E749" s="35"/>
      <c r="F749" s="36" t="s">
        <v>1261</v>
      </c>
      <c r="G749" s="35" t="s">
        <v>31</v>
      </c>
      <c r="H749" s="37"/>
      <c r="I749" s="38">
        <f>1</f>
        <v>1</v>
      </c>
      <c r="J749" s="23"/>
      <c r="K749" s="39"/>
      <c r="L749" s="40"/>
      <c r="M749" s="41">
        <f>K749+L749</f>
        <v>0</v>
      </c>
      <c r="N749" s="41">
        <f t="shared" si="24"/>
        <v>0</v>
      </c>
      <c r="O749" s="41">
        <f>ROUND((I749*L749),2)</f>
        <v>0</v>
      </c>
      <c r="P749" s="41">
        <f>ROUND((I749*M749),2)</f>
        <v>0</v>
      </c>
      <c r="Q749" s="41"/>
      <c r="R749" s="23"/>
      <c r="XCY749"/>
      <c r="XCZ749"/>
      <c r="XDA749"/>
      <c r="XDB749"/>
      <c r="XDC749"/>
      <c r="XDD749"/>
      <c r="XDE749"/>
      <c r="XDF749"/>
      <c r="XDG749"/>
      <c r="XDH749"/>
      <c r="XDI749"/>
      <c r="XDJ749"/>
      <c r="XDK749"/>
      <c r="XDL749"/>
      <c r="XDM749"/>
      <c r="XDN749"/>
      <c r="XDO749"/>
      <c r="XDP749"/>
      <c r="XDQ749"/>
      <c r="XDR749"/>
      <c r="XDS749"/>
      <c r="XDT749"/>
      <c r="XDU749"/>
      <c r="XDV749"/>
      <c r="XDW749"/>
      <c r="XDX749"/>
      <c r="XDY749"/>
      <c r="XDZ749"/>
      <c r="XEA749"/>
      <c r="XEB749"/>
      <c r="XEC749"/>
      <c r="XED749"/>
      <c r="XEE749"/>
      <c r="XEF749"/>
      <c r="XEG749"/>
      <c r="XEH749"/>
      <c r="XEI749"/>
      <c r="XEJ749"/>
      <c r="XEK749"/>
      <c r="XEL749"/>
      <c r="XEM749"/>
      <c r="XEN749"/>
      <c r="XEO749"/>
      <c r="XEP749"/>
      <c r="XEQ749"/>
      <c r="XER749"/>
      <c r="XES749"/>
      <c r="XET749"/>
      <c r="XEU749"/>
      <c r="XEV749"/>
      <c r="XEW749"/>
      <c r="XEX749"/>
      <c r="XEY749"/>
      <c r="XEZ749"/>
      <c r="XFA749"/>
      <c r="XFB749"/>
      <c r="XFC749"/>
      <c r="XFD749"/>
    </row>
    <row r="750" spans="1:18 16327:16384" s="26" customFormat="1" ht="29.1" customHeight="1" outlineLevel="3" x14ac:dyDescent="0.25">
      <c r="A750" s="42" t="s">
        <v>1262</v>
      </c>
      <c r="B750" s="43"/>
      <c r="C750" s="66" t="s">
        <v>1263</v>
      </c>
      <c r="D750" s="66"/>
      <c r="E750" s="43" t="s">
        <v>34</v>
      </c>
      <c r="F750" s="44"/>
      <c r="G750" s="43" t="s">
        <v>31</v>
      </c>
      <c r="H750" s="45">
        <v>1</v>
      </c>
      <c r="I750" s="46">
        <f>1</f>
        <v>1</v>
      </c>
      <c r="J750" s="23"/>
      <c r="K750" s="47"/>
      <c r="L750" s="48"/>
      <c r="M750" s="49"/>
      <c r="N750" s="49">
        <f t="shared" si="24"/>
        <v>0</v>
      </c>
      <c r="O750" s="49"/>
      <c r="P750" s="49"/>
      <c r="Q750" s="49"/>
      <c r="R750" s="23"/>
      <c r="XCY750"/>
      <c r="XCZ750"/>
      <c r="XDA750"/>
      <c r="XDB750"/>
      <c r="XDC750"/>
      <c r="XDD750"/>
      <c r="XDE750"/>
      <c r="XDF750"/>
      <c r="XDG750"/>
      <c r="XDH750"/>
      <c r="XDI750"/>
      <c r="XDJ750"/>
      <c r="XDK750"/>
      <c r="XDL750"/>
      <c r="XDM750"/>
      <c r="XDN750"/>
      <c r="XDO750"/>
      <c r="XDP750"/>
      <c r="XDQ750"/>
      <c r="XDR750"/>
      <c r="XDS750"/>
      <c r="XDT750"/>
      <c r="XDU750"/>
      <c r="XDV750"/>
      <c r="XDW750"/>
      <c r="XDX750"/>
      <c r="XDY750"/>
      <c r="XDZ750"/>
      <c r="XEA750"/>
      <c r="XEB750"/>
      <c r="XEC750"/>
      <c r="XED750"/>
      <c r="XEE750"/>
      <c r="XEF750"/>
      <c r="XEG750"/>
      <c r="XEH750"/>
      <c r="XEI750"/>
      <c r="XEJ750"/>
      <c r="XEK750"/>
      <c r="XEL750"/>
      <c r="XEM750"/>
      <c r="XEN750"/>
      <c r="XEO750"/>
      <c r="XEP750"/>
      <c r="XEQ750"/>
      <c r="XER750"/>
      <c r="XES750"/>
      <c r="XET750"/>
      <c r="XEU750"/>
      <c r="XEV750"/>
      <c r="XEW750"/>
      <c r="XEX750"/>
      <c r="XEY750"/>
      <c r="XEZ750"/>
      <c r="XFA750"/>
      <c r="XFB750"/>
      <c r="XFC750"/>
      <c r="XFD750"/>
    </row>
    <row r="751" spans="1:18 16327:16384" s="26" customFormat="1" ht="29.1" customHeight="1" outlineLevel="2" x14ac:dyDescent="0.25">
      <c r="A751" s="34" t="s">
        <v>1264</v>
      </c>
      <c r="B751" s="35"/>
      <c r="C751" s="65" t="s">
        <v>36</v>
      </c>
      <c r="D751" s="65"/>
      <c r="E751" s="35"/>
      <c r="F751" s="36" t="s">
        <v>1265</v>
      </c>
      <c r="G751" s="35" t="s">
        <v>31</v>
      </c>
      <c r="H751" s="37"/>
      <c r="I751" s="38">
        <f>2</f>
        <v>2</v>
      </c>
      <c r="J751" s="23"/>
      <c r="K751" s="39"/>
      <c r="L751" s="40"/>
      <c r="M751" s="41">
        <f>K751+L751</f>
        <v>0</v>
      </c>
      <c r="N751" s="41">
        <f t="shared" si="24"/>
        <v>0</v>
      </c>
      <c r="O751" s="41">
        <f>ROUND((I751*L751),2)</f>
        <v>0</v>
      </c>
      <c r="P751" s="41">
        <f>ROUND((I751*M751),2)</f>
        <v>0</v>
      </c>
      <c r="Q751" s="41"/>
      <c r="R751" s="23"/>
      <c r="XCY751"/>
      <c r="XCZ751"/>
      <c r="XDA751"/>
      <c r="XDB751"/>
      <c r="XDC751"/>
      <c r="XDD751"/>
      <c r="XDE751"/>
      <c r="XDF751"/>
      <c r="XDG751"/>
      <c r="XDH751"/>
      <c r="XDI751"/>
      <c r="XDJ751"/>
      <c r="XDK751"/>
      <c r="XDL751"/>
      <c r="XDM751"/>
      <c r="XDN751"/>
      <c r="XDO751"/>
      <c r="XDP751"/>
      <c r="XDQ751"/>
      <c r="XDR751"/>
      <c r="XDS751"/>
      <c r="XDT751"/>
      <c r="XDU751"/>
      <c r="XDV751"/>
      <c r="XDW751"/>
      <c r="XDX751"/>
      <c r="XDY751"/>
      <c r="XDZ751"/>
      <c r="XEA751"/>
      <c r="XEB751"/>
      <c r="XEC751"/>
      <c r="XED751"/>
      <c r="XEE751"/>
      <c r="XEF751"/>
      <c r="XEG751"/>
      <c r="XEH751"/>
      <c r="XEI751"/>
      <c r="XEJ751"/>
      <c r="XEK751"/>
      <c r="XEL751"/>
      <c r="XEM751"/>
      <c r="XEN751"/>
      <c r="XEO751"/>
      <c r="XEP751"/>
      <c r="XEQ751"/>
      <c r="XER751"/>
      <c r="XES751"/>
      <c r="XET751"/>
      <c r="XEU751"/>
      <c r="XEV751"/>
      <c r="XEW751"/>
      <c r="XEX751"/>
      <c r="XEY751"/>
      <c r="XEZ751"/>
      <c r="XFA751"/>
      <c r="XFB751"/>
      <c r="XFC751"/>
      <c r="XFD751"/>
    </row>
    <row r="752" spans="1:18 16327:16384" s="26" customFormat="1" ht="29.1" customHeight="1" outlineLevel="3" x14ac:dyDescent="0.25">
      <c r="A752" s="42" t="s">
        <v>1266</v>
      </c>
      <c r="B752" s="43"/>
      <c r="C752" s="66" t="s">
        <v>1267</v>
      </c>
      <c r="D752" s="66"/>
      <c r="E752" s="43" t="s">
        <v>34</v>
      </c>
      <c r="F752" s="44"/>
      <c r="G752" s="43" t="s">
        <v>31</v>
      </c>
      <c r="H752" s="45">
        <v>1</v>
      </c>
      <c r="I752" s="46">
        <f>2</f>
        <v>2</v>
      </c>
      <c r="J752" s="23"/>
      <c r="K752" s="47"/>
      <c r="L752" s="48"/>
      <c r="M752" s="49"/>
      <c r="N752" s="49">
        <f t="shared" si="24"/>
        <v>0</v>
      </c>
      <c r="O752" s="49"/>
      <c r="P752" s="49"/>
      <c r="Q752" s="49"/>
      <c r="R752" s="23"/>
      <c r="XCY752"/>
      <c r="XCZ752"/>
      <c r="XDA752"/>
      <c r="XDB752"/>
      <c r="XDC752"/>
      <c r="XDD752"/>
      <c r="XDE752"/>
      <c r="XDF752"/>
      <c r="XDG752"/>
      <c r="XDH752"/>
      <c r="XDI752"/>
      <c r="XDJ752"/>
      <c r="XDK752"/>
      <c r="XDL752"/>
      <c r="XDM752"/>
      <c r="XDN752"/>
      <c r="XDO752"/>
      <c r="XDP752"/>
      <c r="XDQ752"/>
      <c r="XDR752"/>
      <c r="XDS752"/>
      <c r="XDT752"/>
      <c r="XDU752"/>
      <c r="XDV752"/>
      <c r="XDW752"/>
      <c r="XDX752"/>
      <c r="XDY752"/>
      <c r="XDZ752"/>
      <c r="XEA752"/>
      <c r="XEB752"/>
      <c r="XEC752"/>
      <c r="XED752"/>
      <c r="XEE752"/>
      <c r="XEF752"/>
      <c r="XEG752"/>
      <c r="XEH752"/>
      <c r="XEI752"/>
      <c r="XEJ752"/>
      <c r="XEK752"/>
      <c r="XEL752"/>
      <c r="XEM752"/>
      <c r="XEN752"/>
      <c r="XEO752"/>
      <c r="XEP752"/>
      <c r="XEQ752"/>
      <c r="XER752"/>
      <c r="XES752"/>
      <c r="XET752"/>
      <c r="XEU752"/>
      <c r="XEV752"/>
      <c r="XEW752"/>
      <c r="XEX752"/>
      <c r="XEY752"/>
      <c r="XEZ752"/>
      <c r="XFA752"/>
      <c r="XFB752"/>
      <c r="XFC752"/>
      <c r="XFD752"/>
    </row>
    <row r="753" spans="1:18 16327:16384" s="26" customFormat="1" ht="29.1" customHeight="1" outlineLevel="2" x14ac:dyDescent="0.25">
      <c r="A753" s="34" t="s">
        <v>1268</v>
      </c>
      <c r="B753" s="35"/>
      <c r="C753" s="65" t="s">
        <v>36</v>
      </c>
      <c r="D753" s="65"/>
      <c r="E753" s="35"/>
      <c r="F753" s="36" t="s">
        <v>1269</v>
      </c>
      <c r="G753" s="35" t="s">
        <v>31</v>
      </c>
      <c r="H753" s="37"/>
      <c r="I753" s="38">
        <f>1</f>
        <v>1</v>
      </c>
      <c r="J753" s="23"/>
      <c r="K753" s="39"/>
      <c r="L753" s="40"/>
      <c r="M753" s="41">
        <f>K753+L753</f>
        <v>0</v>
      </c>
      <c r="N753" s="41">
        <f t="shared" si="24"/>
        <v>0</v>
      </c>
      <c r="O753" s="41">
        <f>ROUND((I753*L753),2)</f>
        <v>0</v>
      </c>
      <c r="P753" s="41">
        <f>ROUND((I753*M753),2)</f>
        <v>0</v>
      </c>
      <c r="Q753" s="41"/>
      <c r="R753" s="23"/>
      <c r="XCY753"/>
      <c r="XCZ753"/>
      <c r="XDA753"/>
      <c r="XDB753"/>
      <c r="XDC753"/>
      <c r="XDD753"/>
      <c r="XDE753"/>
      <c r="XDF753"/>
      <c r="XDG753"/>
      <c r="XDH753"/>
      <c r="XDI753"/>
      <c r="XDJ753"/>
      <c r="XDK753"/>
      <c r="XDL753"/>
      <c r="XDM753"/>
      <c r="XDN753"/>
      <c r="XDO753"/>
      <c r="XDP753"/>
      <c r="XDQ753"/>
      <c r="XDR753"/>
      <c r="XDS753"/>
      <c r="XDT753"/>
      <c r="XDU753"/>
      <c r="XDV753"/>
      <c r="XDW753"/>
      <c r="XDX753"/>
      <c r="XDY753"/>
      <c r="XDZ753"/>
      <c r="XEA753"/>
      <c r="XEB753"/>
      <c r="XEC753"/>
      <c r="XED753"/>
      <c r="XEE753"/>
      <c r="XEF753"/>
      <c r="XEG753"/>
      <c r="XEH753"/>
      <c r="XEI753"/>
      <c r="XEJ753"/>
      <c r="XEK753"/>
      <c r="XEL753"/>
      <c r="XEM753"/>
      <c r="XEN753"/>
      <c r="XEO753"/>
      <c r="XEP753"/>
      <c r="XEQ753"/>
      <c r="XER753"/>
      <c r="XES753"/>
      <c r="XET753"/>
      <c r="XEU753"/>
      <c r="XEV753"/>
      <c r="XEW753"/>
      <c r="XEX753"/>
      <c r="XEY753"/>
      <c r="XEZ753"/>
      <c r="XFA753"/>
      <c r="XFB753"/>
      <c r="XFC753"/>
      <c r="XFD753"/>
    </row>
    <row r="754" spans="1:18 16327:16384" s="26" customFormat="1" ht="29.1" customHeight="1" outlineLevel="3" x14ac:dyDescent="0.25">
      <c r="A754" s="42" t="s">
        <v>1270</v>
      </c>
      <c r="B754" s="43"/>
      <c r="C754" s="66" t="s">
        <v>1271</v>
      </c>
      <c r="D754" s="66"/>
      <c r="E754" s="43" t="s">
        <v>34</v>
      </c>
      <c r="F754" s="44"/>
      <c r="G754" s="43" t="s">
        <v>31</v>
      </c>
      <c r="H754" s="45">
        <v>1</v>
      </c>
      <c r="I754" s="46">
        <f>1</f>
        <v>1</v>
      </c>
      <c r="J754" s="23"/>
      <c r="K754" s="47"/>
      <c r="L754" s="48"/>
      <c r="M754" s="49"/>
      <c r="N754" s="49">
        <f t="shared" si="24"/>
        <v>0</v>
      </c>
      <c r="O754" s="49"/>
      <c r="P754" s="49"/>
      <c r="Q754" s="49"/>
      <c r="R754" s="23"/>
      <c r="XCY754"/>
      <c r="XCZ754"/>
      <c r="XDA754"/>
      <c r="XDB754"/>
      <c r="XDC754"/>
      <c r="XDD754"/>
      <c r="XDE754"/>
      <c r="XDF754"/>
      <c r="XDG754"/>
      <c r="XDH754"/>
      <c r="XDI754"/>
      <c r="XDJ754"/>
      <c r="XDK754"/>
      <c r="XDL754"/>
      <c r="XDM754"/>
      <c r="XDN754"/>
      <c r="XDO754"/>
      <c r="XDP754"/>
      <c r="XDQ754"/>
      <c r="XDR754"/>
      <c r="XDS754"/>
      <c r="XDT754"/>
      <c r="XDU754"/>
      <c r="XDV754"/>
      <c r="XDW754"/>
      <c r="XDX754"/>
      <c r="XDY754"/>
      <c r="XDZ754"/>
      <c r="XEA754"/>
      <c r="XEB754"/>
      <c r="XEC754"/>
      <c r="XED754"/>
      <c r="XEE754"/>
      <c r="XEF754"/>
      <c r="XEG754"/>
      <c r="XEH754"/>
      <c r="XEI754"/>
      <c r="XEJ754"/>
      <c r="XEK754"/>
      <c r="XEL754"/>
      <c r="XEM754"/>
      <c r="XEN754"/>
      <c r="XEO754"/>
      <c r="XEP754"/>
      <c r="XEQ754"/>
      <c r="XER754"/>
      <c r="XES754"/>
      <c r="XET754"/>
      <c r="XEU754"/>
      <c r="XEV754"/>
      <c r="XEW754"/>
      <c r="XEX754"/>
      <c r="XEY754"/>
      <c r="XEZ754"/>
      <c r="XFA754"/>
      <c r="XFB754"/>
      <c r="XFC754"/>
      <c r="XFD754"/>
    </row>
    <row r="755" spans="1:18 16327:16384" s="26" customFormat="1" ht="29.1" customHeight="1" outlineLevel="2" x14ac:dyDescent="0.25">
      <c r="A755" s="34" t="s">
        <v>1272</v>
      </c>
      <c r="B755" s="35"/>
      <c r="C755" s="65" t="s">
        <v>36</v>
      </c>
      <c r="D755" s="65"/>
      <c r="E755" s="35"/>
      <c r="F755" s="36" t="s">
        <v>1273</v>
      </c>
      <c r="G755" s="35" t="s">
        <v>31</v>
      </c>
      <c r="H755" s="37"/>
      <c r="I755" s="38">
        <f>1</f>
        <v>1</v>
      </c>
      <c r="J755" s="23"/>
      <c r="K755" s="39"/>
      <c r="L755" s="40"/>
      <c r="M755" s="41">
        <f>K755+L755</f>
        <v>0</v>
      </c>
      <c r="N755" s="41">
        <f t="shared" si="24"/>
        <v>0</v>
      </c>
      <c r="O755" s="41">
        <f>ROUND((I755*L755),2)</f>
        <v>0</v>
      </c>
      <c r="P755" s="41">
        <f>ROUND((I755*M755),2)</f>
        <v>0</v>
      </c>
      <c r="Q755" s="41"/>
      <c r="R755" s="23"/>
      <c r="XCY755"/>
      <c r="XCZ755"/>
      <c r="XDA755"/>
      <c r="XDB755"/>
      <c r="XDC755"/>
      <c r="XDD755"/>
      <c r="XDE755"/>
      <c r="XDF755"/>
      <c r="XDG755"/>
      <c r="XDH755"/>
      <c r="XDI755"/>
      <c r="XDJ755"/>
      <c r="XDK755"/>
      <c r="XDL755"/>
      <c r="XDM755"/>
      <c r="XDN755"/>
      <c r="XDO755"/>
      <c r="XDP755"/>
      <c r="XDQ755"/>
      <c r="XDR755"/>
      <c r="XDS755"/>
      <c r="XDT755"/>
      <c r="XDU755"/>
      <c r="XDV755"/>
      <c r="XDW755"/>
      <c r="XDX755"/>
      <c r="XDY755"/>
      <c r="XDZ755"/>
      <c r="XEA755"/>
      <c r="XEB755"/>
      <c r="XEC755"/>
      <c r="XED755"/>
      <c r="XEE755"/>
      <c r="XEF755"/>
      <c r="XEG755"/>
      <c r="XEH755"/>
      <c r="XEI755"/>
      <c r="XEJ755"/>
      <c r="XEK755"/>
      <c r="XEL755"/>
      <c r="XEM755"/>
      <c r="XEN755"/>
      <c r="XEO755"/>
      <c r="XEP755"/>
      <c r="XEQ755"/>
      <c r="XER755"/>
      <c r="XES755"/>
      <c r="XET755"/>
      <c r="XEU755"/>
      <c r="XEV755"/>
      <c r="XEW755"/>
      <c r="XEX755"/>
      <c r="XEY755"/>
      <c r="XEZ755"/>
      <c r="XFA755"/>
      <c r="XFB755"/>
      <c r="XFC755"/>
      <c r="XFD755"/>
    </row>
    <row r="756" spans="1:18 16327:16384" s="26" customFormat="1" ht="29.1" customHeight="1" outlineLevel="3" x14ac:dyDescent="0.25">
      <c r="A756" s="42" t="s">
        <v>1274</v>
      </c>
      <c r="B756" s="43"/>
      <c r="C756" s="66" t="s">
        <v>1275</v>
      </c>
      <c r="D756" s="66"/>
      <c r="E756" s="43" t="s">
        <v>34</v>
      </c>
      <c r="F756" s="44"/>
      <c r="G756" s="43" t="s">
        <v>31</v>
      </c>
      <c r="H756" s="45">
        <v>1</v>
      </c>
      <c r="I756" s="46">
        <f>1</f>
        <v>1</v>
      </c>
      <c r="J756" s="23"/>
      <c r="K756" s="47"/>
      <c r="L756" s="48"/>
      <c r="M756" s="49"/>
      <c r="N756" s="49">
        <f t="shared" si="24"/>
        <v>0</v>
      </c>
      <c r="O756" s="49"/>
      <c r="P756" s="49"/>
      <c r="Q756" s="49"/>
      <c r="R756" s="23"/>
      <c r="XCY756"/>
      <c r="XCZ756"/>
      <c r="XDA756"/>
      <c r="XDB756"/>
      <c r="XDC756"/>
      <c r="XDD756"/>
      <c r="XDE756"/>
      <c r="XDF756"/>
      <c r="XDG756"/>
      <c r="XDH756"/>
      <c r="XDI756"/>
      <c r="XDJ756"/>
      <c r="XDK756"/>
      <c r="XDL756"/>
      <c r="XDM756"/>
      <c r="XDN756"/>
      <c r="XDO756"/>
      <c r="XDP756"/>
      <c r="XDQ756"/>
      <c r="XDR756"/>
      <c r="XDS756"/>
      <c r="XDT756"/>
      <c r="XDU756"/>
      <c r="XDV756"/>
      <c r="XDW756"/>
      <c r="XDX756"/>
      <c r="XDY756"/>
      <c r="XDZ756"/>
      <c r="XEA756"/>
      <c r="XEB756"/>
      <c r="XEC756"/>
      <c r="XED756"/>
      <c r="XEE756"/>
      <c r="XEF756"/>
      <c r="XEG756"/>
      <c r="XEH756"/>
      <c r="XEI756"/>
      <c r="XEJ756"/>
      <c r="XEK756"/>
      <c r="XEL756"/>
      <c r="XEM756"/>
      <c r="XEN756"/>
      <c r="XEO756"/>
      <c r="XEP756"/>
      <c r="XEQ756"/>
      <c r="XER756"/>
      <c r="XES756"/>
      <c r="XET756"/>
      <c r="XEU756"/>
      <c r="XEV756"/>
      <c r="XEW756"/>
      <c r="XEX756"/>
      <c r="XEY756"/>
      <c r="XEZ756"/>
      <c r="XFA756"/>
      <c r="XFB756"/>
      <c r="XFC756"/>
      <c r="XFD756"/>
    </row>
    <row r="757" spans="1:18 16327:16384" s="26" customFormat="1" ht="29.1" customHeight="1" outlineLevel="2" x14ac:dyDescent="0.25">
      <c r="A757" s="34" t="s">
        <v>1276</v>
      </c>
      <c r="B757" s="35"/>
      <c r="C757" s="65" t="s">
        <v>36</v>
      </c>
      <c r="D757" s="65"/>
      <c r="E757" s="35"/>
      <c r="F757" s="36" t="s">
        <v>1273</v>
      </c>
      <c r="G757" s="35" t="s">
        <v>31</v>
      </c>
      <c r="H757" s="37"/>
      <c r="I757" s="38">
        <f>1</f>
        <v>1</v>
      </c>
      <c r="J757" s="23"/>
      <c r="K757" s="39"/>
      <c r="L757" s="40"/>
      <c r="M757" s="41">
        <f>K757+L757</f>
        <v>0</v>
      </c>
      <c r="N757" s="41">
        <f t="shared" si="24"/>
        <v>0</v>
      </c>
      <c r="O757" s="41">
        <f>ROUND((I757*L757),2)</f>
        <v>0</v>
      </c>
      <c r="P757" s="41">
        <f>ROUND((I757*M757),2)</f>
        <v>0</v>
      </c>
      <c r="Q757" s="41"/>
      <c r="R757" s="23"/>
      <c r="XCY757"/>
      <c r="XCZ757"/>
      <c r="XDA757"/>
      <c r="XDB757"/>
      <c r="XDC757"/>
      <c r="XDD757"/>
      <c r="XDE757"/>
      <c r="XDF757"/>
      <c r="XDG757"/>
      <c r="XDH757"/>
      <c r="XDI757"/>
      <c r="XDJ757"/>
      <c r="XDK757"/>
      <c r="XDL757"/>
      <c r="XDM757"/>
      <c r="XDN757"/>
      <c r="XDO757"/>
      <c r="XDP757"/>
      <c r="XDQ757"/>
      <c r="XDR757"/>
      <c r="XDS757"/>
      <c r="XDT757"/>
      <c r="XDU757"/>
      <c r="XDV757"/>
      <c r="XDW757"/>
      <c r="XDX757"/>
      <c r="XDY757"/>
      <c r="XDZ757"/>
      <c r="XEA757"/>
      <c r="XEB757"/>
      <c r="XEC757"/>
      <c r="XED757"/>
      <c r="XEE757"/>
      <c r="XEF757"/>
      <c r="XEG757"/>
      <c r="XEH757"/>
      <c r="XEI757"/>
      <c r="XEJ757"/>
      <c r="XEK757"/>
      <c r="XEL757"/>
      <c r="XEM757"/>
      <c r="XEN757"/>
      <c r="XEO757"/>
      <c r="XEP757"/>
      <c r="XEQ757"/>
      <c r="XER757"/>
      <c r="XES757"/>
      <c r="XET757"/>
      <c r="XEU757"/>
      <c r="XEV757"/>
      <c r="XEW757"/>
      <c r="XEX757"/>
      <c r="XEY757"/>
      <c r="XEZ757"/>
      <c r="XFA757"/>
      <c r="XFB757"/>
      <c r="XFC757"/>
      <c r="XFD757"/>
    </row>
    <row r="758" spans="1:18 16327:16384" s="26" customFormat="1" ht="29.1" customHeight="1" outlineLevel="3" x14ac:dyDescent="0.25">
      <c r="A758" s="42" t="s">
        <v>1277</v>
      </c>
      <c r="B758" s="43"/>
      <c r="C758" s="66" t="s">
        <v>1278</v>
      </c>
      <c r="D758" s="66"/>
      <c r="E758" s="43" t="s">
        <v>34</v>
      </c>
      <c r="F758" s="44"/>
      <c r="G758" s="43" t="s">
        <v>31</v>
      </c>
      <c r="H758" s="45">
        <v>1</v>
      </c>
      <c r="I758" s="46">
        <f>1</f>
        <v>1</v>
      </c>
      <c r="J758" s="23"/>
      <c r="K758" s="47"/>
      <c r="L758" s="48"/>
      <c r="M758" s="49"/>
      <c r="N758" s="49">
        <f t="shared" si="24"/>
        <v>0</v>
      </c>
      <c r="O758" s="49"/>
      <c r="P758" s="49"/>
      <c r="Q758" s="49"/>
      <c r="R758" s="23"/>
      <c r="XCY758"/>
      <c r="XCZ758"/>
      <c r="XDA758"/>
      <c r="XDB758"/>
      <c r="XDC758"/>
      <c r="XDD758"/>
      <c r="XDE758"/>
      <c r="XDF758"/>
      <c r="XDG758"/>
      <c r="XDH758"/>
      <c r="XDI758"/>
      <c r="XDJ758"/>
      <c r="XDK758"/>
      <c r="XDL758"/>
      <c r="XDM758"/>
      <c r="XDN758"/>
      <c r="XDO758"/>
      <c r="XDP758"/>
      <c r="XDQ758"/>
      <c r="XDR758"/>
      <c r="XDS758"/>
      <c r="XDT758"/>
      <c r="XDU758"/>
      <c r="XDV758"/>
      <c r="XDW758"/>
      <c r="XDX758"/>
      <c r="XDY758"/>
      <c r="XDZ758"/>
      <c r="XEA758"/>
      <c r="XEB758"/>
      <c r="XEC758"/>
      <c r="XED758"/>
      <c r="XEE758"/>
      <c r="XEF758"/>
      <c r="XEG758"/>
      <c r="XEH758"/>
      <c r="XEI758"/>
      <c r="XEJ758"/>
      <c r="XEK758"/>
      <c r="XEL758"/>
      <c r="XEM758"/>
      <c r="XEN758"/>
      <c r="XEO758"/>
      <c r="XEP758"/>
      <c r="XEQ758"/>
      <c r="XER758"/>
      <c r="XES758"/>
      <c r="XET758"/>
      <c r="XEU758"/>
      <c r="XEV758"/>
      <c r="XEW758"/>
      <c r="XEX758"/>
      <c r="XEY758"/>
      <c r="XEZ758"/>
      <c r="XFA758"/>
      <c r="XFB758"/>
      <c r="XFC758"/>
      <c r="XFD758"/>
    </row>
    <row r="759" spans="1:18 16327:16384" s="26" customFormat="1" ht="29.1" customHeight="1" outlineLevel="2" x14ac:dyDescent="0.25">
      <c r="A759" s="34" t="s">
        <v>1279</v>
      </c>
      <c r="B759" s="35"/>
      <c r="C759" s="65" t="s">
        <v>36</v>
      </c>
      <c r="D759" s="65"/>
      <c r="E759" s="35"/>
      <c r="F759" s="36" t="s">
        <v>1273</v>
      </c>
      <c r="G759" s="35" t="s">
        <v>31</v>
      </c>
      <c r="H759" s="37"/>
      <c r="I759" s="38">
        <f>5</f>
        <v>5</v>
      </c>
      <c r="J759" s="23"/>
      <c r="K759" s="39"/>
      <c r="L759" s="40"/>
      <c r="M759" s="41">
        <f>K759+L759</f>
        <v>0</v>
      </c>
      <c r="N759" s="41">
        <f t="shared" si="24"/>
        <v>0</v>
      </c>
      <c r="O759" s="41">
        <f>ROUND((I759*L759),2)</f>
        <v>0</v>
      </c>
      <c r="P759" s="41">
        <f>ROUND((I759*M759),2)</f>
        <v>0</v>
      </c>
      <c r="Q759" s="41"/>
      <c r="R759" s="23"/>
      <c r="XCY759"/>
      <c r="XCZ759"/>
      <c r="XDA759"/>
      <c r="XDB759"/>
      <c r="XDC759"/>
      <c r="XDD759"/>
      <c r="XDE759"/>
      <c r="XDF759"/>
      <c r="XDG759"/>
      <c r="XDH759"/>
      <c r="XDI759"/>
      <c r="XDJ759"/>
      <c r="XDK759"/>
      <c r="XDL759"/>
      <c r="XDM759"/>
      <c r="XDN759"/>
      <c r="XDO759"/>
      <c r="XDP759"/>
      <c r="XDQ759"/>
      <c r="XDR759"/>
      <c r="XDS759"/>
      <c r="XDT759"/>
      <c r="XDU759"/>
      <c r="XDV759"/>
      <c r="XDW759"/>
      <c r="XDX759"/>
      <c r="XDY759"/>
      <c r="XDZ759"/>
      <c r="XEA759"/>
      <c r="XEB759"/>
      <c r="XEC759"/>
      <c r="XED759"/>
      <c r="XEE759"/>
      <c r="XEF759"/>
      <c r="XEG759"/>
      <c r="XEH759"/>
      <c r="XEI759"/>
      <c r="XEJ759"/>
      <c r="XEK759"/>
      <c r="XEL759"/>
      <c r="XEM759"/>
      <c r="XEN759"/>
      <c r="XEO759"/>
      <c r="XEP759"/>
      <c r="XEQ759"/>
      <c r="XER759"/>
      <c r="XES759"/>
      <c r="XET759"/>
      <c r="XEU759"/>
      <c r="XEV759"/>
      <c r="XEW759"/>
      <c r="XEX759"/>
      <c r="XEY759"/>
      <c r="XEZ759"/>
      <c r="XFA759"/>
      <c r="XFB759"/>
      <c r="XFC759"/>
      <c r="XFD759"/>
    </row>
    <row r="760" spans="1:18 16327:16384" s="26" customFormat="1" ht="29.1" customHeight="1" outlineLevel="3" x14ac:dyDescent="0.25">
      <c r="A760" s="42" t="s">
        <v>1280</v>
      </c>
      <c r="B760" s="43"/>
      <c r="C760" s="66" t="s">
        <v>1281</v>
      </c>
      <c r="D760" s="66"/>
      <c r="E760" s="43" t="s">
        <v>34</v>
      </c>
      <c r="F760" s="44"/>
      <c r="G760" s="43" t="s">
        <v>31</v>
      </c>
      <c r="H760" s="45">
        <v>1</v>
      </c>
      <c r="I760" s="46">
        <f>3</f>
        <v>3</v>
      </c>
      <c r="J760" s="23"/>
      <c r="K760" s="47"/>
      <c r="L760" s="48"/>
      <c r="M760" s="49"/>
      <c r="N760" s="49">
        <f t="shared" si="24"/>
        <v>0</v>
      </c>
      <c r="O760" s="49"/>
      <c r="P760" s="49"/>
      <c r="Q760" s="49"/>
      <c r="R760" s="23"/>
      <c r="XCY760"/>
      <c r="XCZ760"/>
      <c r="XDA760"/>
      <c r="XDB760"/>
      <c r="XDC760"/>
      <c r="XDD760"/>
      <c r="XDE760"/>
      <c r="XDF760"/>
      <c r="XDG760"/>
      <c r="XDH760"/>
      <c r="XDI760"/>
      <c r="XDJ760"/>
      <c r="XDK760"/>
      <c r="XDL760"/>
      <c r="XDM760"/>
      <c r="XDN760"/>
      <c r="XDO760"/>
      <c r="XDP760"/>
      <c r="XDQ760"/>
      <c r="XDR760"/>
      <c r="XDS760"/>
      <c r="XDT760"/>
      <c r="XDU760"/>
      <c r="XDV760"/>
      <c r="XDW760"/>
      <c r="XDX760"/>
      <c r="XDY760"/>
      <c r="XDZ760"/>
      <c r="XEA760"/>
      <c r="XEB760"/>
      <c r="XEC760"/>
      <c r="XED760"/>
      <c r="XEE760"/>
      <c r="XEF760"/>
      <c r="XEG760"/>
      <c r="XEH760"/>
      <c r="XEI760"/>
      <c r="XEJ760"/>
      <c r="XEK760"/>
      <c r="XEL760"/>
      <c r="XEM760"/>
      <c r="XEN760"/>
      <c r="XEO760"/>
      <c r="XEP760"/>
      <c r="XEQ760"/>
      <c r="XER760"/>
      <c r="XES760"/>
      <c r="XET760"/>
      <c r="XEU760"/>
      <c r="XEV760"/>
      <c r="XEW760"/>
      <c r="XEX760"/>
      <c r="XEY760"/>
      <c r="XEZ760"/>
      <c r="XFA760"/>
      <c r="XFB760"/>
      <c r="XFC760"/>
      <c r="XFD760"/>
    </row>
    <row r="761" spans="1:18 16327:16384" s="26" customFormat="1" ht="29.1" customHeight="1" outlineLevel="3" x14ac:dyDescent="0.25">
      <c r="A761" s="42" t="s">
        <v>1282</v>
      </c>
      <c r="B761" s="43"/>
      <c r="C761" s="66" t="s">
        <v>1283</v>
      </c>
      <c r="D761" s="66"/>
      <c r="E761" s="43" t="s">
        <v>34</v>
      </c>
      <c r="F761" s="44"/>
      <c r="G761" s="43" t="s">
        <v>31</v>
      </c>
      <c r="H761" s="45">
        <v>1</v>
      </c>
      <c r="I761" s="46">
        <f>2</f>
        <v>2</v>
      </c>
      <c r="J761" s="23"/>
      <c r="K761" s="47"/>
      <c r="L761" s="48"/>
      <c r="M761" s="49"/>
      <c r="N761" s="49">
        <f t="shared" si="24"/>
        <v>0</v>
      </c>
      <c r="O761" s="49"/>
      <c r="P761" s="49"/>
      <c r="Q761" s="49"/>
      <c r="R761" s="23"/>
      <c r="XCY761"/>
      <c r="XCZ761"/>
      <c r="XDA761"/>
      <c r="XDB761"/>
      <c r="XDC761"/>
      <c r="XDD761"/>
      <c r="XDE761"/>
      <c r="XDF761"/>
      <c r="XDG761"/>
      <c r="XDH761"/>
      <c r="XDI761"/>
      <c r="XDJ761"/>
      <c r="XDK761"/>
      <c r="XDL761"/>
      <c r="XDM761"/>
      <c r="XDN761"/>
      <c r="XDO761"/>
      <c r="XDP761"/>
      <c r="XDQ761"/>
      <c r="XDR761"/>
      <c r="XDS761"/>
      <c r="XDT761"/>
      <c r="XDU761"/>
      <c r="XDV761"/>
      <c r="XDW761"/>
      <c r="XDX761"/>
      <c r="XDY761"/>
      <c r="XDZ761"/>
      <c r="XEA761"/>
      <c r="XEB761"/>
      <c r="XEC761"/>
      <c r="XED761"/>
      <c r="XEE761"/>
      <c r="XEF761"/>
      <c r="XEG761"/>
      <c r="XEH761"/>
      <c r="XEI761"/>
      <c r="XEJ761"/>
      <c r="XEK761"/>
      <c r="XEL761"/>
      <c r="XEM761"/>
      <c r="XEN761"/>
      <c r="XEO761"/>
      <c r="XEP761"/>
      <c r="XEQ761"/>
      <c r="XER761"/>
      <c r="XES761"/>
      <c r="XET761"/>
      <c r="XEU761"/>
      <c r="XEV761"/>
      <c r="XEW761"/>
      <c r="XEX761"/>
      <c r="XEY761"/>
      <c r="XEZ761"/>
      <c r="XFA761"/>
      <c r="XFB761"/>
      <c r="XFC761"/>
      <c r="XFD761"/>
    </row>
    <row r="762" spans="1:18 16327:16384" s="26" customFormat="1" ht="29.1" customHeight="1" outlineLevel="2" x14ac:dyDescent="0.25">
      <c r="A762" s="34" t="s">
        <v>1284</v>
      </c>
      <c r="B762" s="35"/>
      <c r="C762" s="65" t="s">
        <v>1285</v>
      </c>
      <c r="D762" s="65"/>
      <c r="E762" s="35"/>
      <c r="F762" s="36" t="s">
        <v>1273</v>
      </c>
      <c r="G762" s="35" t="s">
        <v>31</v>
      </c>
      <c r="H762" s="37"/>
      <c r="I762" s="38">
        <f>4</f>
        <v>4</v>
      </c>
      <c r="J762" s="23"/>
      <c r="K762" s="39"/>
      <c r="L762" s="40"/>
      <c r="M762" s="41">
        <f>K762+L762</f>
        <v>0</v>
      </c>
      <c r="N762" s="41">
        <f t="shared" si="24"/>
        <v>0</v>
      </c>
      <c r="O762" s="41">
        <f>ROUND((I762*L762),2)</f>
        <v>0</v>
      </c>
      <c r="P762" s="41">
        <f>ROUND((I762*M762),2)</f>
        <v>0</v>
      </c>
      <c r="Q762" s="41"/>
      <c r="R762" s="23"/>
      <c r="XCY762"/>
      <c r="XCZ762"/>
      <c r="XDA762"/>
      <c r="XDB762"/>
      <c r="XDC762"/>
      <c r="XDD762"/>
      <c r="XDE762"/>
      <c r="XDF762"/>
      <c r="XDG762"/>
      <c r="XDH762"/>
      <c r="XDI762"/>
      <c r="XDJ762"/>
      <c r="XDK762"/>
      <c r="XDL762"/>
      <c r="XDM762"/>
      <c r="XDN762"/>
      <c r="XDO762"/>
      <c r="XDP762"/>
      <c r="XDQ762"/>
      <c r="XDR762"/>
      <c r="XDS762"/>
      <c r="XDT762"/>
      <c r="XDU762"/>
      <c r="XDV762"/>
      <c r="XDW762"/>
      <c r="XDX762"/>
      <c r="XDY762"/>
      <c r="XDZ762"/>
      <c r="XEA762"/>
      <c r="XEB762"/>
      <c r="XEC762"/>
      <c r="XED762"/>
      <c r="XEE762"/>
      <c r="XEF762"/>
      <c r="XEG762"/>
      <c r="XEH762"/>
      <c r="XEI762"/>
      <c r="XEJ762"/>
      <c r="XEK762"/>
      <c r="XEL762"/>
      <c r="XEM762"/>
      <c r="XEN762"/>
      <c r="XEO762"/>
      <c r="XEP762"/>
      <c r="XEQ762"/>
      <c r="XER762"/>
      <c r="XES762"/>
      <c r="XET762"/>
      <c r="XEU762"/>
      <c r="XEV762"/>
      <c r="XEW762"/>
      <c r="XEX762"/>
      <c r="XEY762"/>
      <c r="XEZ762"/>
      <c r="XFA762"/>
      <c r="XFB762"/>
      <c r="XFC762"/>
      <c r="XFD762"/>
    </row>
    <row r="763" spans="1:18 16327:16384" s="26" customFormat="1" ht="29.1" customHeight="1" outlineLevel="3" x14ac:dyDescent="0.25">
      <c r="A763" s="42" t="s">
        <v>1286</v>
      </c>
      <c r="B763" s="43"/>
      <c r="C763" s="66" t="s">
        <v>1287</v>
      </c>
      <c r="D763" s="66"/>
      <c r="E763" s="43" t="s">
        <v>34</v>
      </c>
      <c r="F763" s="44"/>
      <c r="G763" s="43" t="s">
        <v>31</v>
      </c>
      <c r="H763" s="45">
        <v>1</v>
      </c>
      <c r="I763" s="46">
        <f>4</f>
        <v>4</v>
      </c>
      <c r="J763" s="23"/>
      <c r="K763" s="47"/>
      <c r="L763" s="48"/>
      <c r="M763" s="49"/>
      <c r="N763" s="49">
        <f t="shared" si="24"/>
        <v>0</v>
      </c>
      <c r="O763" s="49"/>
      <c r="P763" s="49"/>
      <c r="Q763" s="49"/>
      <c r="R763" s="23"/>
      <c r="XCY763"/>
      <c r="XCZ763"/>
      <c r="XDA763"/>
      <c r="XDB763"/>
      <c r="XDC763"/>
      <c r="XDD763"/>
      <c r="XDE763"/>
      <c r="XDF763"/>
      <c r="XDG763"/>
      <c r="XDH763"/>
      <c r="XDI763"/>
      <c r="XDJ763"/>
      <c r="XDK763"/>
      <c r="XDL763"/>
      <c r="XDM763"/>
      <c r="XDN763"/>
      <c r="XDO763"/>
      <c r="XDP763"/>
      <c r="XDQ763"/>
      <c r="XDR763"/>
      <c r="XDS763"/>
      <c r="XDT763"/>
      <c r="XDU763"/>
      <c r="XDV763"/>
      <c r="XDW763"/>
      <c r="XDX763"/>
      <c r="XDY763"/>
      <c r="XDZ763"/>
      <c r="XEA763"/>
      <c r="XEB763"/>
      <c r="XEC763"/>
      <c r="XED763"/>
      <c r="XEE763"/>
      <c r="XEF763"/>
      <c r="XEG763"/>
      <c r="XEH763"/>
      <c r="XEI763"/>
      <c r="XEJ763"/>
      <c r="XEK763"/>
      <c r="XEL763"/>
      <c r="XEM763"/>
      <c r="XEN763"/>
      <c r="XEO763"/>
      <c r="XEP763"/>
      <c r="XEQ763"/>
      <c r="XER763"/>
      <c r="XES763"/>
      <c r="XET763"/>
      <c r="XEU763"/>
      <c r="XEV763"/>
      <c r="XEW763"/>
      <c r="XEX763"/>
      <c r="XEY763"/>
      <c r="XEZ763"/>
      <c r="XFA763"/>
      <c r="XFB763"/>
      <c r="XFC763"/>
      <c r="XFD763"/>
    </row>
    <row r="764" spans="1:18 16327:16384" s="26" customFormat="1" ht="29.1" customHeight="1" outlineLevel="2" x14ac:dyDescent="0.25">
      <c r="A764" s="34" t="s">
        <v>1288</v>
      </c>
      <c r="B764" s="35"/>
      <c r="C764" s="65" t="s">
        <v>1289</v>
      </c>
      <c r="D764" s="65"/>
      <c r="E764" s="35"/>
      <c r="F764" s="36" t="s">
        <v>1273</v>
      </c>
      <c r="G764" s="35" t="s">
        <v>31</v>
      </c>
      <c r="H764" s="37"/>
      <c r="I764" s="38">
        <f>2</f>
        <v>2</v>
      </c>
      <c r="J764" s="23"/>
      <c r="K764" s="39"/>
      <c r="L764" s="40"/>
      <c r="M764" s="41">
        <f>K764+L764</f>
        <v>0</v>
      </c>
      <c r="N764" s="41">
        <f t="shared" si="24"/>
        <v>0</v>
      </c>
      <c r="O764" s="41">
        <f>ROUND((I764*L764),2)</f>
        <v>0</v>
      </c>
      <c r="P764" s="41">
        <f>ROUND((I764*M764),2)</f>
        <v>0</v>
      </c>
      <c r="Q764" s="41"/>
      <c r="R764" s="23"/>
      <c r="XCY764"/>
      <c r="XCZ764"/>
      <c r="XDA764"/>
      <c r="XDB764"/>
      <c r="XDC764"/>
      <c r="XDD764"/>
      <c r="XDE764"/>
      <c r="XDF764"/>
      <c r="XDG764"/>
      <c r="XDH764"/>
      <c r="XDI764"/>
      <c r="XDJ764"/>
      <c r="XDK764"/>
      <c r="XDL764"/>
      <c r="XDM764"/>
      <c r="XDN764"/>
      <c r="XDO764"/>
      <c r="XDP764"/>
      <c r="XDQ764"/>
      <c r="XDR764"/>
      <c r="XDS764"/>
      <c r="XDT764"/>
      <c r="XDU764"/>
      <c r="XDV764"/>
      <c r="XDW764"/>
      <c r="XDX764"/>
      <c r="XDY764"/>
      <c r="XDZ764"/>
      <c r="XEA764"/>
      <c r="XEB764"/>
      <c r="XEC764"/>
      <c r="XED764"/>
      <c r="XEE764"/>
      <c r="XEF764"/>
      <c r="XEG764"/>
      <c r="XEH764"/>
      <c r="XEI764"/>
      <c r="XEJ764"/>
      <c r="XEK764"/>
      <c r="XEL764"/>
      <c r="XEM764"/>
      <c r="XEN764"/>
      <c r="XEO764"/>
      <c r="XEP764"/>
      <c r="XEQ764"/>
      <c r="XER764"/>
      <c r="XES764"/>
      <c r="XET764"/>
      <c r="XEU764"/>
      <c r="XEV764"/>
      <c r="XEW764"/>
      <c r="XEX764"/>
      <c r="XEY764"/>
      <c r="XEZ764"/>
      <c r="XFA764"/>
      <c r="XFB764"/>
      <c r="XFC764"/>
      <c r="XFD764"/>
    </row>
    <row r="765" spans="1:18 16327:16384" s="26" customFormat="1" ht="29.1" customHeight="1" outlineLevel="3" x14ac:dyDescent="0.25">
      <c r="A765" s="42" t="s">
        <v>1290</v>
      </c>
      <c r="B765" s="43"/>
      <c r="C765" s="66" t="s">
        <v>1291</v>
      </c>
      <c r="D765" s="66"/>
      <c r="E765" s="43" t="s">
        <v>34</v>
      </c>
      <c r="F765" s="44"/>
      <c r="G765" s="43" t="s">
        <v>31</v>
      </c>
      <c r="H765" s="45">
        <v>1</v>
      </c>
      <c r="I765" s="46">
        <f>2</f>
        <v>2</v>
      </c>
      <c r="J765" s="23"/>
      <c r="K765" s="47"/>
      <c r="L765" s="48"/>
      <c r="M765" s="49"/>
      <c r="N765" s="49">
        <f t="shared" si="24"/>
        <v>0</v>
      </c>
      <c r="O765" s="49"/>
      <c r="P765" s="49"/>
      <c r="Q765" s="49"/>
      <c r="R765" s="23"/>
      <c r="XCY765"/>
      <c r="XCZ765"/>
      <c r="XDA765"/>
      <c r="XDB765"/>
      <c r="XDC765"/>
      <c r="XDD765"/>
      <c r="XDE765"/>
      <c r="XDF765"/>
      <c r="XDG765"/>
      <c r="XDH765"/>
      <c r="XDI765"/>
      <c r="XDJ765"/>
      <c r="XDK765"/>
      <c r="XDL765"/>
      <c r="XDM765"/>
      <c r="XDN765"/>
      <c r="XDO765"/>
      <c r="XDP765"/>
      <c r="XDQ765"/>
      <c r="XDR765"/>
      <c r="XDS765"/>
      <c r="XDT765"/>
      <c r="XDU765"/>
      <c r="XDV765"/>
      <c r="XDW765"/>
      <c r="XDX765"/>
      <c r="XDY765"/>
      <c r="XDZ765"/>
      <c r="XEA765"/>
      <c r="XEB765"/>
      <c r="XEC765"/>
      <c r="XED765"/>
      <c r="XEE765"/>
      <c r="XEF765"/>
      <c r="XEG765"/>
      <c r="XEH765"/>
      <c r="XEI765"/>
      <c r="XEJ765"/>
      <c r="XEK765"/>
      <c r="XEL765"/>
      <c r="XEM765"/>
      <c r="XEN765"/>
      <c r="XEO765"/>
      <c r="XEP765"/>
      <c r="XEQ765"/>
      <c r="XER765"/>
      <c r="XES765"/>
      <c r="XET765"/>
      <c r="XEU765"/>
      <c r="XEV765"/>
      <c r="XEW765"/>
      <c r="XEX765"/>
      <c r="XEY765"/>
      <c r="XEZ765"/>
      <c r="XFA765"/>
      <c r="XFB765"/>
      <c r="XFC765"/>
      <c r="XFD765"/>
    </row>
    <row r="766" spans="1:18 16327:16384" s="26" customFormat="1" ht="29.1" customHeight="1" outlineLevel="2" x14ac:dyDescent="0.25">
      <c r="A766" s="34" t="s">
        <v>1292</v>
      </c>
      <c r="B766" s="35"/>
      <c r="C766" s="65" t="s">
        <v>1293</v>
      </c>
      <c r="D766" s="65"/>
      <c r="E766" s="35"/>
      <c r="F766" s="36"/>
      <c r="G766" s="35" t="s">
        <v>31</v>
      </c>
      <c r="H766" s="37"/>
      <c r="I766" s="38">
        <f>1</f>
        <v>1</v>
      </c>
      <c r="J766" s="23"/>
      <c r="K766" s="39"/>
      <c r="L766" s="40"/>
      <c r="M766" s="41">
        <f>K766+L766</f>
        <v>0</v>
      </c>
      <c r="N766" s="41">
        <f t="shared" si="24"/>
        <v>0</v>
      </c>
      <c r="O766" s="41">
        <f>ROUND((I766*L766),2)</f>
        <v>0</v>
      </c>
      <c r="P766" s="41">
        <f>ROUND((I766*M766),2)</f>
        <v>0</v>
      </c>
      <c r="Q766" s="41"/>
      <c r="R766" s="23"/>
      <c r="XCY766"/>
      <c r="XCZ766"/>
      <c r="XDA766"/>
      <c r="XDB766"/>
      <c r="XDC766"/>
      <c r="XDD766"/>
      <c r="XDE766"/>
      <c r="XDF766"/>
      <c r="XDG766"/>
      <c r="XDH766"/>
      <c r="XDI766"/>
      <c r="XDJ766"/>
      <c r="XDK766"/>
      <c r="XDL766"/>
      <c r="XDM766"/>
      <c r="XDN766"/>
      <c r="XDO766"/>
      <c r="XDP766"/>
      <c r="XDQ766"/>
      <c r="XDR766"/>
      <c r="XDS766"/>
      <c r="XDT766"/>
      <c r="XDU766"/>
      <c r="XDV766"/>
      <c r="XDW766"/>
      <c r="XDX766"/>
      <c r="XDY766"/>
      <c r="XDZ766"/>
      <c r="XEA766"/>
      <c r="XEB766"/>
      <c r="XEC766"/>
      <c r="XED766"/>
      <c r="XEE766"/>
      <c r="XEF766"/>
      <c r="XEG766"/>
      <c r="XEH766"/>
      <c r="XEI766"/>
      <c r="XEJ766"/>
      <c r="XEK766"/>
      <c r="XEL766"/>
      <c r="XEM766"/>
      <c r="XEN766"/>
      <c r="XEO766"/>
      <c r="XEP766"/>
      <c r="XEQ766"/>
      <c r="XER766"/>
      <c r="XES766"/>
      <c r="XET766"/>
      <c r="XEU766"/>
      <c r="XEV766"/>
      <c r="XEW766"/>
      <c r="XEX766"/>
      <c r="XEY766"/>
      <c r="XEZ766"/>
      <c r="XFA766"/>
      <c r="XFB766"/>
      <c r="XFC766"/>
      <c r="XFD766"/>
    </row>
    <row r="767" spans="1:18 16327:16384" s="26" customFormat="1" ht="29.1" customHeight="1" outlineLevel="3" x14ac:dyDescent="0.25">
      <c r="A767" s="42" t="s">
        <v>1294</v>
      </c>
      <c r="B767" s="43"/>
      <c r="C767" s="66" t="s">
        <v>1295</v>
      </c>
      <c r="D767" s="66"/>
      <c r="E767" s="43" t="s">
        <v>34</v>
      </c>
      <c r="F767" s="44"/>
      <c r="G767" s="43" t="s">
        <v>31</v>
      </c>
      <c r="H767" s="45">
        <v>1</v>
      </c>
      <c r="I767" s="46">
        <f>1</f>
        <v>1</v>
      </c>
      <c r="J767" s="23"/>
      <c r="K767" s="47"/>
      <c r="L767" s="48"/>
      <c r="M767" s="49"/>
      <c r="N767" s="49">
        <f t="shared" si="24"/>
        <v>0</v>
      </c>
      <c r="O767" s="49"/>
      <c r="P767" s="49"/>
      <c r="Q767" s="49"/>
      <c r="R767" s="23"/>
      <c r="XCY767"/>
      <c r="XCZ767"/>
      <c r="XDA767"/>
      <c r="XDB767"/>
      <c r="XDC767"/>
      <c r="XDD767"/>
      <c r="XDE767"/>
      <c r="XDF767"/>
      <c r="XDG767"/>
      <c r="XDH767"/>
      <c r="XDI767"/>
      <c r="XDJ767"/>
      <c r="XDK767"/>
      <c r="XDL767"/>
      <c r="XDM767"/>
      <c r="XDN767"/>
      <c r="XDO767"/>
      <c r="XDP767"/>
      <c r="XDQ767"/>
      <c r="XDR767"/>
      <c r="XDS767"/>
      <c r="XDT767"/>
      <c r="XDU767"/>
      <c r="XDV767"/>
      <c r="XDW767"/>
      <c r="XDX767"/>
      <c r="XDY767"/>
      <c r="XDZ767"/>
      <c r="XEA767"/>
      <c r="XEB767"/>
      <c r="XEC767"/>
      <c r="XED767"/>
      <c r="XEE767"/>
      <c r="XEF767"/>
      <c r="XEG767"/>
      <c r="XEH767"/>
      <c r="XEI767"/>
      <c r="XEJ767"/>
      <c r="XEK767"/>
      <c r="XEL767"/>
      <c r="XEM767"/>
      <c r="XEN767"/>
      <c r="XEO767"/>
      <c r="XEP767"/>
      <c r="XEQ767"/>
      <c r="XER767"/>
      <c r="XES767"/>
      <c r="XET767"/>
      <c r="XEU767"/>
      <c r="XEV767"/>
      <c r="XEW767"/>
      <c r="XEX767"/>
      <c r="XEY767"/>
      <c r="XEZ767"/>
      <c r="XFA767"/>
      <c r="XFB767"/>
      <c r="XFC767"/>
      <c r="XFD767"/>
    </row>
    <row r="768" spans="1:18 16327:16384" s="26" customFormat="1" ht="29.1" customHeight="1" outlineLevel="2" x14ac:dyDescent="0.25">
      <c r="A768" s="34" t="s">
        <v>1296</v>
      </c>
      <c r="B768" s="35"/>
      <c r="C768" s="65" t="s">
        <v>1289</v>
      </c>
      <c r="D768" s="65"/>
      <c r="E768" s="35"/>
      <c r="F768" s="36"/>
      <c r="G768" s="35" t="s">
        <v>31</v>
      </c>
      <c r="H768" s="37"/>
      <c r="I768" s="38">
        <f>4</f>
        <v>4</v>
      </c>
      <c r="J768" s="23"/>
      <c r="K768" s="39"/>
      <c r="L768" s="40"/>
      <c r="M768" s="41">
        <f>K768+L768</f>
        <v>0</v>
      </c>
      <c r="N768" s="41">
        <f t="shared" si="24"/>
        <v>0</v>
      </c>
      <c r="O768" s="41">
        <f>ROUND((I768*L768),2)</f>
        <v>0</v>
      </c>
      <c r="P768" s="41">
        <f>ROUND((I768*M768),2)</f>
        <v>0</v>
      </c>
      <c r="Q768" s="41"/>
      <c r="R768" s="23"/>
      <c r="XCY768"/>
      <c r="XCZ768"/>
      <c r="XDA768"/>
      <c r="XDB768"/>
      <c r="XDC768"/>
      <c r="XDD768"/>
      <c r="XDE768"/>
      <c r="XDF768"/>
      <c r="XDG768"/>
      <c r="XDH768"/>
      <c r="XDI768"/>
      <c r="XDJ768"/>
      <c r="XDK768"/>
      <c r="XDL768"/>
      <c r="XDM768"/>
      <c r="XDN768"/>
      <c r="XDO768"/>
      <c r="XDP768"/>
      <c r="XDQ768"/>
      <c r="XDR768"/>
      <c r="XDS768"/>
      <c r="XDT768"/>
      <c r="XDU768"/>
      <c r="XDV768"/>
      <c r="XDW768"/>
      <c r="XDX768"/>
      <c r="XDY768"/>
      <c r="XDZ768"/>
      <c r="XEA768"/>
      <c r="XEB768"/>
      <c r="XEC768"/>
      <c r="XED768"/>
      <c r="XEE768"/>
      <c r="XEF768"/>
      <c r="XEG768"/>
      <c r="XEH768"/>
      <c r="XEI768"/>
      <c r="XEJ768"/>
      <c r="XEK768"/>
      <c r="XEL768"/>
      <c r="XEM768"/>
      <c r="XEN768"/>
      <c r="XEO768"/>
      <c r="XEP768"/>
      <c r="XEQ768"/>
      <c r="XER768"/>
      <c r="XES768"/>
      <c r="XET768"/>
      <c r="XEU768"/>
      <c r="XEV768"/>
      <c r="XEW768"/>
      <c r="XEX768"/>
      <c r="XEY768"/>
      <c r="XEZ768"/>
      <c r="XFA768"/>
      <c r="XFB768"/>
      <c r="XFC768"/>
      <c r="XFD768"/>
    </row>
    <row r="769" spans="1:18 16327:16384" s="26" customFormat="1" ht="29.1" customHeight="1" outlineLevel="3" x14ac:dyDescent="0.25">
      <c r="A769" s="42" t="s">
        <v>1297</v>
      </c>
      <c r="B769" s="43"/>
      <c r="C769" s="66" t="s">
        <v>1298</v>
      </c>
      <c r="D769" s="66"/>
      <c r="E769" s="43" t="s">
        <v>34</v>
      </c>
      <c r="F769" s="44"/>
      <c r="G769" s="43" t="s">
        <v>31</v>
      </c>
      <c r="H769" s="45">
        <v>1</v>
      </c>
      <c r="I769" s="46">
        <f>4</f>
        <v>4</v>
      </c>
      <c r="J769" s="23"/>
      <c r="K769" s="47"/>
      <c r="L769" s="48"/>
      <c r="M769" s="49"/>
      <c r="N769" s="49">
        <f t="shared" si="24"/>
        <v>0</v>
      </c>
      <c r="O769" s="49"/>
      <c r="P769" s="49"/>
      <c r="Q769" s="49"/>
      <c r="R769" s="23"/>
      <c r="XCY769"/>
      <c r="XCZ769"/>
      <c r="XDA769"/>
      <c r="XDB769"/>
      <c r="XDC769"/>
      <c r="XDD769"/>
      <c r="XDE769"/>
      <c r="XDF769"/>
      <c r="XDG769"/>
      <c r="XDH769"/>
      <c r="XDI769"/>
      <c r="XDJ769"/>
      <c r="XDK769"/>
      <c r="XDL769"/>
      <c r="XDM769"/>
      <c r="XDN769"/>
      <c r="XDO769"/>
      <c r="XDP769"/>
      <c r="XDQ769"/>
      <c r="XDR769"/>
      <c r="XDS769"/>
      <c r="XDT769"/>
      <c r="XDU769"/>
      <c r="XDV769"/>
      <c r="XDW769"/>
      <c r="XDX769"/>
      <c r="XDY769"/>
      <c r="XDZ769"/>
      <c r="XEA769"/>
      <c r="XEB769"/>
      <c r="XEC769"/>
      <c r="XED769"/>
      <c r="XEE769"/>
      <c r="XEF769"/>
      <c r="XEG769"/>
      <c r="XEH769"/>
      <c r="XEI769"/>
      <c r="XEJ769"/>
      <c r="XEK769"/>
      <c r="XEL769"/>
      <c r="XEM769"/>
      <c r="XEN769"/>
      <c r="XEO769"/>
      <c r="XEP769"/>
      <c r="XEQ769"/>
      <c r="XER769"/>
      <c r="XES769"/>
      <c r="XET769"/>
      <c r="XEU769"/>
      <c r="XEV769"/>
      <c r="XEW769"/>
      <c r="XEX769"/>
      <c r="XEY769"/>
      <c r="XEZ769"/>
      <c r="XFA769"/>
      <c r="XFB769"/>
      <c r="XFC769"/>
      <c r="XFD769"/>
    </row>
    <row r="770" spans="1:18 16327:16384" s="26" customFormat="1" ht="29.1" customHeight="1" outlineLevel="3" x14ac:dyDescent="0.25">
      <c r="A770" s="42" t="s">
        <v>1299</v>
      </c>
      <c r="B770" s="43"/>
      <c r="C770" s="66" t="s">
        <v>1300</v>
      </c>
      <c r="D770" s="66"/>
      <c r="E770" s="43" t="s">
        <v>34</v>
      </c>
      <c r="F770" s="44"/>
      <c r="G770" s="43" t="s">
        <v>31</v>
      </c>
      <c r="H770" s="45">
        <v>1</v>
      </c>
      <c r="I770" s="46">
        <f>4</f>
        <v>4</v>
      </c>
      <c r="J770" s="23"/>
      <c r="K770" s="47"/>
      <c r="L770" s="48"/>
      <c r="M770" s="49"/>
      <c r="N770" s="49">
        <f t="shared" si="24"/>
        <v>0</v>
      </c>
      <c r="O770" s="49"/>
      <c r="P770" s="49"/>
      <c r="Q770" s="49"/>
      <c r="R770" s="23"/>
      <c r="XCY770"/>
      <c r="XCZ770"/>
      <c r="XDA770"/>
      <c r="XDB770"/>
      <c r="XDC770"/>
      <c r="XDD770"/>
      <c r="XDE770"/>
      <c r="XDF770"/>
      <c r="XDG770"/>
      <c r="XDH770"/>
      <c r="XDI770"/>
      <c r="XDJ770"/>
      <c r="XDK770"/>
      <c r="XDL770"/>
      <c r="XDM770"/>
      <c r="XDN770"/>
      <c r="XDO770"/>
      <c r="XDP770"/>
      <c r="XDQ770"/>
      <c r="XDR770"/>
      <c r="XDS770"/>
      <c r="XDT770"/>
      <c r="XDU770"/>
      <c r="XDV770"/>
      <c r="XDW770"/>
      <c r="XDX770"/>
      <c r="XDY770"/>
      <c r="XDZ770"/>
      <c r="XEA770"/>
      <c r="XEB770"/>
      <c r="XEC770"/>
      <c r="XED770"/>
      <c r="XEE770"/>
      <c r="XEF770"/>
      <c r="XEG770"/>
      <c r="XEH770"/>
      <c r="XEI770"/>
      <c r="XEJ770"/>
      <c r="XEK770"/>
      <c r="XEL770"/>
      <c r="XEM770"/>
      <c r="XEN770"/>
      <c r="XEO770"/>
      <c r="XEP770"/>
      <c r="XEQ770"/>
      <c r="XER770"/>
      <c r="XES770"/>
      <c r="XET770"/>
      <c r="XEU770"/>
      <c r="XEV770"/>
      <c r="XEW770"/>
      <c r="XEX770"/>
      <c r="XEY770"/>
      <c r="XEZ770"/>
      <c r="XFA770"/>
      <c r="XFB770"/>
      <c r="XFC770"/>
      <c r="XFD770"/>
    </row>
    <row r="771" spans="1:18 16327:16384" s="26" customFormat="1" ht="29.1" customHeight="1" outlineLevel="2" x14ac:dyDescent="0.25">
      <c r="A771" s="34" t="s">
        <v>1301</v>
      </c>
      <c r="B771" s="35"/>
      <c r="C771" s="65" t="s">
        <v>1289</v>
      </c>
      <c r="D771" s="65"/>
      <c r="E771" s="35"/>
      <c r="F771" s="36"/>
      <c r="G771" s="35" t="s">
        <v>31</v>
      </c>
      <c r="H771" s="37"/>
      <c r="I771" s="38">
        <f>2</f>
        <v>2</v>
      </c>
      <c r="J771" s="23"/>
      <c r="K771" s="39"/>
      <c r="L771" s="40"/>
      <c r="M771" s="41">
        <f>K771+L771</f>
        <v>0</v>
      </c>
      <c r="N771" s="41">
        <f t="shared" si="24"/>
        <v>0</v>
      </c>
      <c r="O771" s="41">
        <f>ROUND((I771*L771),2)</f>
        <v>0</v>
      </c>
      <c r="P771" s="41">
        <f>ROUND((I771*M771),2)</f>
        <v>0</v>
      </c>
      <c r="Q771" s="41"/>
      <c r="R771" s="23"/>
      <c r="XCY771"/>
      <c r="XCZ771"/>
      <c r="XDA771"/>
      <c r="XDB771"/>
      <c r="XDC771"/>
      <c r="XDD771"/>
      <c r="XDE771"/>
      <c r="XDF771"/>
      <c r="XDG771"/>
      <c r="XDH771"/>
      <c r="XDI771"/>
      <c r="XDJ771"/>
      <c r="XDK771"/>
      <c r="XDL771"/>
      <c r="XDM771"/>
      <c r="XDN771"/>
      <c r="XDO771"/>
      <c r="XDP771"/>
      <c r="XDQ771"/>
      <c r="XDR771"/>
      <c r="XDS771"/>
      <c r="XDT771"/>
      <c r="XDU771"/>
      <c r="XDV771"/>
      <c r="XDW771"/>
      <c r="XDX771"/>
      <c r="XDY771"/>
      <c r="XDZ771"/>
      <c r="XEA771"/>
      <c r="XEB771"/>
      <c r="XEC771"/>
      <c r="XED771"/>
      <c r="XEE771"/>
      <c r="XEF771"/>
      <c r="XEG771"/>
      <c r="XEH771"/>
      <c r="XEI771"/>
      <c r="XEJ771"/>
      <c r="XEK771"/>
      <c r="XEL771"/>
      <c r="XEM771"/>
      <c r="XEN771"/>
      <c r="XEO771"/>
      <c r="XEP771"/>
      <c r="XEQ771"/>
      <c r="XER771"/>
      <c r="XES771"/>
      <c r="XET771"/>
      <c r="XEU771"/>
      <c r="XEV771"/>
      <c r="XEW771"/>
      <c r="XEX771"/>
      <c r="XEY771"/>
      <c r="XEZ771"/>
      <c r="XFA771"/>
      <c r="XFB771"/>
      <c r="XFC771"/>
      <c r="XFD771"/>
    </row>
    <row r="772" spans="1:18 16327:16384" s="26" customFormat="1" ht="29.1" customHeight="1" outlineLevel="3" x14ac:dyDescent="0.25">
      <c r="A772" s="42" t="s">
        <v>1302</v>
      </c>
      <c r="B772" s="43"/>
      <c r="C772" s="66" t="s">
        <v>1303</v>
      </c>
      <c r="D772" s="66"/>
      <c r="E772" s="43" t="s">
        <v>34</v>
      </c>
      <c r="F772" s="44"/>
      <c r="G772" s="43" t="s">
        <v>31</v>
      </c>
      <c r="H772" s="45">
        <v>1</v>
      </c>
      <c r="I772" s="46">
        <f>2</f>
        <v>2</v>
      </c>
      <c r="J772" s="23"/>
      <c r="K772" s="47"/>
      <c r="L772" s="48"/>
      <c r="M772" s="49"/>
      <c r="N772" s="49">
        <f t="shared" si="24"/>
        <v>0</v>
      </c>
      <c r="O772" s="49"/>
      <c r="P772" s="49"/>
      <c r="Q772" s="49"/>
      <c r="R772" s="23"/>
      <c r="XCY772"/>
      <c r="XCZ772"/>
      <c r="XDA772"/>
      <c r="XDB772"/>
      <c r="XDC772"/>
      <c r="XDD772"/>
      <c r="XDE772"/>
      <c r="XDF772"/>
      <c r="XDG772"/>
      <c r="XDH772"/>
      <c r="XDI772"/>
      <c r="XDJ772"/>
      <c r="XDK772"/>
      <c r="XDL772"/>
      <c r="XDM772"/>
      <c r="XDN772"/>
      <c r="XDO772"/>
      <c r="XDP772"/>
      <c r="XDQ772"/>
      <c r="XDR772"/>
      <c r="XDS772"/>
      <c r="XDT772"/>
      <c r="XDU772"/>
      <c r="XDV772"/>
      <c r="XDW772"/>
      <c r="XDX772"/>
      <c r="XDY772"/>
      <c r="XDZ772"/>
      <c r="XEA772"/>
      <c r="XEB772"/>
      <c r="XEC772"/>
      <c r="XED772"/>
      <c r="XEE772"/>
      <c r="XEF772"/>
      <c r="XEG772"/>
      <c r="XEH772"/>
      <c r="XEI772"/>
      <c r="XEJ772"/>
      <c r="XEK772"/>
      <c r="XEL772"/>
      <c r="XEM772"/>
      <c r="XEN772"/>
      <c r="XEO772"/>
      <c r="XEP772"/>
      <c r="XEQ772"/>
      <c r="XER772"/>
      <c r="XES772"/>
      <c r="XET772"/>
      <c r="XEU772"/>
      <c r="XEV772"/>
      <c r="XEW772"/>
      <c r="XEX772"/>
      <c r="XEY772"/>
      <c r="XEZ772"/>
      <c r="XFA772"/>
      <c r="XFB772"/>
      <c r="XFC772"/>
      <c r="XFD772"/>
    </row>
    <row r="773" spans="1:18 16327:16384" s="26" customFormat="1" ht="29.1" customHeight="1" outlineLevel="3" x14ac:dyDescent="0.25">
      <c r="A773" s="42" t="s">
        <v>1304</v>
      </c>
      <c r="B773" s="43"/>
      <c r="C773" s="66" t="s">
        <v>1305</v>
      </c>
      <c r="D773" s="66"/>
      <c r="E773" s="43" t="s">
        <v>34</v>
      </c>
      <c r="F773" s="44"/>
      <c r="G773" s="43" t="s">
        <v>31</v>
      </c>
      <c r="H773" s="45">
        <v>1</v>
      </c>
      <c r="I773" s="46">
        <f>2</f>
        <v>2</v>
      </c>
      <c r="J773" s="23"/>
      <c r="K773" s="47"/>
      <c r="L773" s="48"/>
      <c r="M773" s="49"/>
      <c r="N773" s="49">
        <f t="shared" si="24"/>
        <v>0</v>
      </c>
      <c r="O773" s="49"/>
      <c r="P773" s="49"/>
      <c r="Q773" s="49"/>
      <c r="R773" s="23"/>
      <c r="XCY773"/>
      <c r="XCZ773"/>
      <c r="XDA773"/>
      <c r="XDB773"/>
      <c r="XDC773"/>
      <c r="XDD773"/>
      <c r="XDE773"/>
      <c r="XDF773"/>
      <c r="XDG773"/>
      <c r="XDH773"/>
      <c r="XDI773"/>
      <c r="XDJ773"/>
      <c r="XDK773"/>
      <c r="XDL773"/>
      <c r="XDM773"/>
      <c r="XDN773"/>
      <c r="XDO773"/>
      <c r="XDP773"/>
      <c r="XDQ773"/>
      <c r="XDR773"/>
      <c r="XDS773"/>
      <c r="XDT773"/>
      <c r="XDU773"/>
      <c r="XDV773"/>
      <c r="XDW773"/>
      <c r="XDX773"/>
      <c r="XDY773"/>
      <c r="XDZ773"/>
      <c r="XEA773"/>
      <c r="XEB773"/>
      <c r="XEC773"/>
      <c r="XED773"/>
      <c r="XEE773"/>
      <c r="XEF773"/>
      <c r="XEG773"/>
      <c r="XEH773"/>
      <c r="XEI773"/>
      <c r="XEJ773"/>
      <c r="XEK773"/>
      <c r="XEL773"/>
      <c r="XEM773"/>
      <c r="XEN773"/>
      <c r="XEO773"/>
      <c r="XEP773"/>
      <c r="XEQ773"/>
      <c r="XER773"/>
      <c r="XES773"/>
      <c r="XET773"/>
      <c r="XEU773"/>
      <c r="XEV773"/>
      <c r="XEW773"/>
      <c r="XEX773"/>
      <c r="XEY773"/>
      <c r="XEZ773"/>
      <c r="XFA773"/>
      <c r="XFB773"/>
      <c r="XFC773"/>
      <c r="XFD773"/>
    </row>
    <row r="774" spans="1:18 16327:16384" s="26" customFormat="1" ht="29.1" customHeight="1" outlineLevel="2" x14ac:dyDescent="0.25">
      <c r="A774" s="34" t="s">
        <v>1306</v>
      </c>
      <c r="B774" s="35"/>
      <c r="C774" s="65" t="s">
        <v>1307</v>
      </c>
      <c r="D774" s="65"/>
      <c r="E774" s="35"/>
      <c r="F774" s="36"/>
      <c r="G774" s="35" t="s">
        <v>31</v>
      </c>
      <c r="H774" s="37"/>
      <c r="I774" s="38">
        <f>4</f>
        <v>4</v>
      </c>
      <c r="J774" s="23"/>
      <c r="K774" s="39"/>
      <c r="L774" s="40"/>
      <c r="M774" s="41">
        <f>K774+L774</f>
        <v>0</v>
      </c>
      <c r="N774" s="41">
        <f t="shared" si="24"/>
        <v>0</v>
      </c>
      <c r="O774" s="41">
        <f>ROUND((I774*L774),2)</f>
        <v>0</v>
      </c>
      <c r="P774" s="41">
        <f>ROUND((I774*M774),2)</f>
        <v>0</v>
      </c>
      <c r="Q774" s="41"/>
      <c r="R774" s="23"/>
      <c r="XCY774"/>
      <c r="XCZ774"/>
      <c r="XDA774"/>
      <c r="XDB774"/>
      <c r="XDC774"/>
      <c r="XDD774"/>
      <c r="XDE774"/>
      <c r="XDF774"/>
      <c r="XDG774"/>
      <c r="XDH774"/>
      <c r="XDI774"/>
      <c r="XDJ774"/>
      <c r="XDK774"/>
      <c r="XDL774"/>
      <c r="XDM774"/>
      <c r="XDN774"/>
      <c r="XDO774"/>
      <c r="XDP774"/>
      <c r="XDQ774"/>
      <c r="XDR774"/>
      <c r="XDS774"/>
      <c r="XDT774"/>
      <c r="XDU774"/>
      <c r="XDV774"/>
      <c r="XDW774"/>
      <c r="XDX774"/>
      <c r="XDY774"/>
      <c r="XDZ774"/>
      <c r="XEA774"/>
      <c r="XEB774"/>
      <c r="XEC774"/>
      <c r="XED774"/>
      <c r="XEE774"/>
      <c r="XEF774"/>
      <c r="XEG774"/>
      <c r="XEH774"/>
      <c r="XEI774"/>
      <c r="XEJ774"/>
      <c r="XEK774"/>
      <c r="XEL774"/>
      <c r="XEM774"/>
      <c r="XEN774"/>
      <c r="XEO774"/>
      <c r="XEP774"/>
      <c r="XEQ774"/>
      <c r="XER774"/>
      <c r="XES774"/>
      <c r="XET774"/>
      <c r="XEU774"/>
      <c r="XEV774"/>
      <c r="XEW774"/>
      <c r="XEX774"/>
      <c r="XEY774"/>
      <c r="XEZ774"/>
      <c r="XFA774"/>
      <c r="XFB774"/>
      <c r="XFC774"/>
      <c r="XFD774"/>
    </row>
    <row r="775" spans="1:18 16327:16384" s="26" customFormat="1" ht="29.1" customHeight="1" outlineLevel="3" x14ac:dyDescent="0.25">
      <c r="A775" s="42" t="s">
        <v>1308</v>
      </c>
      <c r="B775" s="43"/>
      <c r="C775" s="66" t="s">
        <v>1309</v>
      </c>
      <c r="D775" s="66"/>
      <c r="E775" s="43" t="s">
        <v>34</v>
      </c>
      <c r="F775" s="44"/>
      <c r="G775" s="43" t="s">
        <v>31</v>
      </c>
      <c r="H775" s="45">
        <v>1</v>
      </c>
      <c r="I775" s="46">
        <f>4</f>
        <v>4</v>
      </c>
      <c r="J775" s="23"/>
      <c r="K775" s="47"/>
      <c r="L775" s="48"/>
      <c r="M775" s="49"/>
      <c r="N775" s="49">
        <f t="shared" ref="N775:N805" si="25">ROUND((I775*K775),2)</f>
        <v>0</v>
      </c>
      <c r="O775" s="49"/>
      <c r="P775" s="49"/>
      <c r="Q775" s="49"/>
      <c r="R775" s="23"/>
      <c r="XCY775"/>
      <c r="XCZ775"/>
      <c r="XDA775"/>
      <c r="XDB775"/>
      <c r="XDC775"/>
      <c r="XDD775"/>
      <c r="XDE775"/>
      <c r="XDF775"/>
      <c r="XDG775"/>
      <c r="XDH775"/>
      <c r="XDI775"/>
      <c r="XDJ775"/>
      <c r="XDK775"/>
      <c r="XDL775"/>
      <c r="XDM775"/>
      <c r="XDN775"/>
      <c r="XDO775"/>
      <c r="XDP775"/>
      <c r="XDQ775"/>
      <c r="XDR775"/>
      <c r="XDS775"/>
      <c r="XDT775"/>
      <c r="XDU775"/>
      <c r="XDV775"/>
      <c r="XDW775"/>
      <c r="XDX775"/>
      <c r="XDY775"/>
      <c r="XDZ775"/>
      <c r="XEA775"/>
      <c r="XEB775"/>
      <c r="XEC775"/>
      <c r="XED775"/>
      <c r="XEE775"/>
      <c r="XEF775"/>
      <c r="XEG775"/>
      <c r="XEH775"/>
      <c r="XEI775"/>
      <c r="XEJ775"/>
      <c r="XEK775"/>
      <c r="XEL775"/>
      <c r="XEM775"/>
      <c r="XEN775"/>
      <c r="XEO775"/>
      <c r="XEP775"/>
      <c r="XEQ775"/>
      <c r="XER775"/>
      <c r="XES775"/>
      <c r="XET775"/>
      <c r="XEU775"/>
      <c r="XEV775"/>
      <c r="XEW775"/>
      <c r="XEX775"/>
      <c r="XEY775"/>
      <c r="XEZ775"/>
      <c r="XFA775"/>
      <c r="XFB775"/>
      <c r="XFC775"/>
      <c r="XFD775"/>
    </row>
    <row r="776" spans="1:18 16327:16384" s="26" customFormat="1" ht="29.1" customHeight="1" outlineLevel="2" x14ac:dyDescent="0.25">
      <c r="A776" s="34" t="s">
        <v>1310</v>
      </c>
      <c r="B776" s="35"/>
      <c r="C776" s="65" t="s">
        <v>379</v>
      </c>
      <c r="D776" s="65"/>
      <c r="E776" s="35"/>
      <c r="F776" s="36"/>
      <c r="G776" s="35" t="s">
        <v>31</v>
      </c>
      <c r="H776" s="37"/>
      <c r="I776" s="38">
        <f>8</f>
        <v>8</v>
      </c>
      <c r="J776" s="23"/>
      <c r="K776" s="39"/>
      <c r="L776" s="40"/>
      <c r="M776" s="41">
        <f>K776+L776</f>
        <v>0</v>
      </c>
      <c r="N776" s="41">
        <f t="shared" si="25"/>
        <v>0</v>
      </c>
      <c r="O776" s="41">
        <f>ROUND((I776*L776),2)</f>
        <v>0</v>
      </c>
      <c r="P776" s="41">
        <f>ROUND((I776*M776),2)</f>
        <v>0</v>
      </c>
      <c r="Q776" s="41"/>
      <c r="R776" s="23"/>
      <c r="XCY776"/>
      <c r="XCZ776"/>
      <c r="XDA776"/>
      <c r="XDB776"/>
      <c r="XDC776"/>
      <c r="XDD776"/>
      <c r="XDE776"/>
      <c r="XDF776"/>
      <c r="XDG776"/>
      <c r="XDH776"/>
      <c r="XDI776"/>
      <c r="XDJ776"/>
      <c r="XDK776"/>
      <c r="XDL776"/>
      <c r="XDM776"/>
      <c r="XDN776"/>
      <c r="XDO776"/>
      <c r="XDP776"/>
      <c r="XDQ776"/>
      <c r="XDR776"/>
      <c r="XDS776"/>
      <c r="XDT776"/>
      <c r="XDU776"/>
      <c r="XDV776"/>
      <c r="XDW776"/>
      <c r="XDX776"/>
      <c r="XDY776"/>
      <c r="XDZ776"/>
      <c r="XEA776"/>
      <c r="XEB776"/>
      <c r="XEC776"/>
      <c r="XED776"/>
      <c r="XEE776"/>
      <c r="XEF776"/>
      <c r="XEG776"/>
      <c r="XEH776"/>
      <c r="XEI776"/>
      <c r="XEJ776"/>
      <c r="XEK776"/>
      <c r="XEL776"/>
      <c r="XEM776"/>
      <c r="XEN776"/>
      <c r="XEO776"/>
      <c r="XEP776"/>
      <c r="XEQ776"/>
      <c r="XER776"/>
      <c r="XES776"/>
      <c r="XET776"/>
      <c r="XEU776"/>
      <c r="XEV776"/>
      <c r="XEW776"/>
      <c r="XEX776"/>
      <c r="XEY776"/>
      <c r="XEZ776"/>
      <c r="XFA776"/>
      <c r="XFB776"/>
      <c r="XFC776"/>
      <c r="XFD776"/>
    </row>
    <row r="777" spans="1:18 16327:16384" s="26" customFormat="1" ht="29.1" customHeight="1" outlineLevel="3" x14ac:dyDescent="0.25">
      <c r="A777" s="42" t="s">
        <v>1311</v>
      </c>
      <c r="B777" s="43"/>
      <c r="C777" s="66" t="s">
        <v>1312</v>
      </c>
      <c r="D777" s="66"/>
      <c r="E777" s="43" t="s">
        <v>34</v>
      </c>
      <c r="F777" s="44"/>
      <c r="G777" s="43" t="s">
        <v>31</v>
      </c>
      <c r="H777" s="45">
        <v>1</v>
      </c>
      <c r="I777" s="46">
        <f>8</f>
        <v>8</v>
      </c>
      <c r="J777" s="23"/>
      <c r="K777" s="47"/>
      <c r="L777" s="48"/>
      <c r="M777" s="49"/>
      <c r="N777" s="49">
        <f t="shared" si="25"/>
        <v>0</v>
      </c>
      <c r="O777" s="49"/>
      <c r="P777" s="49"/>
      <c r="Q777" s="49"/>
      <c r="R777" s="23"/>
      <c r="XCY777"/>
      <c r="XCZ777"/>
      <c r="XDA777"/>
      <c r="XDB777"/>
      <c r="XDC777"/>
      <c r="XDD777"/>
      <c r="XDE777"/>
      <c r="XDF777"/>
      <c r="XDG777"/>
      <c r="XDH777"/>
      <c r="XDI777"/>
      <c r="XDJ777"/>
      <c r="XDK777"/>
      <c r="XDL777"/>
      <c r="XDM777"/>
      <c r="XDN777"/>
      <c r="XDO777"/>
      <c r="XDP777"/>
      <c r="XDQ777"/>
      <c r="XDR777"/>
      <c r="XDS777"/>
      <c r="XDT777"/>
      <c r="XDU777"/>
      <c r="XDV777"/>
      <c r="XDW777"/>
      <c r="XDX777"/>
      <c r="XDY777"/>
      <c r="XDZ777"/>
      <c r="XEA777"/>
      <c r="XEB777"/>
      <c r="XEC777"/>
      <c r="XED777"/>
      <c r="XEE777"/>
      <c r="XEF777"/>
      <c r="XEG777"/>
      <c r="XEH777"/>
      <c r="XEI777"/>
      <c r="XEJ777"/>
      <c r="XEK777"/>
      <c r="XEL777"/>
      <c r="XEM777"/>
      <c r="XEN777"/>
      <c r="XEO777"/>
      <c r="XEP777"/>
      <c r="XEQ777"/>
      <c r="XER777"/>
      <c r="XES777"/>
      <c r="XET777"/>
      <c r="XEU777"/>
      <c r="XEV777"/>
      <c r="XEW777"/>
      <c r="XEX777"/>
      <c r="XEY777"/>
      <c r="XEZ777"/>
      <c r="XFA777"/>
      <c r="XFB777"/>
      <c r="XFC777"/>
      <c r="XFD777"/>
    </row>
    <row r="778" spans="1:18 16327:16384" s="26" customFormat="1" ht="29.1" customHeight="1" outlineLevel="3" x14ac:dyDescent="0.25">
      <c r="A778" s="42" t="s">
        <v>1313</v>
      </c>
      <c r="B778" s="43"/>
      <c r="C778" s="66" t="s">
        <v>1314</v>
      </c>
      <c r="D778" s="66"/>
      <c r="E778" s="43" t="s">
        <v>34</v>
      </c>
      <c r="F778" s="44"/>
      <c r="G778" s="43" t="s">
        <v>31</v>
      </c>
      <c r="H778" s="45">
        <v>1</v>
      </c>
      <c r="I778" s="46">
        <f>16</f>
        <v>16</v>
      </c>
      <c r="J778" s="23"/>
      <c r="K778" s="47"/>
      <c r="L778" s="48"/>
      <c r="M778" s="49"/>
      <c r="N778" s="49">
        <f t="shared" si="25"/>
        <v>0</v>
      </c>
      <c r="O778" s="49"/>
      <c r="P778" s="49"/>
      <c r="Q778" s="49"/>
      <c r="R778" s="23"/>
      <c r="XCY778"/>
      <c r="XCZ778"/>
      <c r="XDA778"/>
      <c r="XDB778"/>
      <c r="XDC778"/>
      <c r="XDD778"/>
      <c r="XDE778"/>
      <c r="XDF778"/>
      <c r="XDG778"/>
      <c r="XDH778"/>
      <c r="XDI778"/>
      <c r="XDJ778"/>
      <c r="XDK778"/>
      <c r="XDL778"/>
      <c r="XDM778"/>
      <c r="XDN778"/>
      <c r="XDO778"/>
      <c r="XDP778"/>
      <c r="XDQ778"/>
      <c r="XDR778"/>
      <c r="XDS778"/>
      <c r="XDT778"/>
      <c r="XDU778"/>
      <c r="XDV778"/>
      <c r="XDW778"/>
      <c r="XDX778"/>
      <c r="XDY778"/>
      <c r="XDZ778"/>
      <c r="XEA778"/>
      <c r="XEB778"/>
      <c r="XEC778"/>
      <c r="XED778"/>
      <c r="XEE778"/>
      <c r="XEF778"/>
      <c r="XEG778"/>
      <c r="XEH778"/>
      <c r="XEI778"/>
      <c r="XEJ778"/>
      <c r="XEK778"/>
      <c r="XEL778"/>
      <c r="XEM778"/>
      <c r="XEN778"/>
      <c r="XEO778"/>
      <c r="XEP778"/>
      <c r="XEQ778"/>
      <c r="XER778"/>
      <c r="XES778"/>
      <c r="XET778"/>
      <c r="XEU778"/>
      <c r="XEV778"/>
      <c r="XEW778"/>
      <c r="XEX778"/>
      <c r="XEY778"/>
      <c r="XEZ778"/>
      <c r="XFA778"/>
      <c r="XFB778"/>
      <c r="XFC778"/>
      <c r="XFD778"/>
    </row>
    <row r="779" spans="1:18 16327:16384" s="26" customFormat="1" ht="29.1" customHeight="1" outlineLevel="2" x14ac:dyDescent="0.25">
      <c r="A779" s="34" t="s">
        <v>1315</v>
      </c>
      <c r="B779" s="35"/>
      <c r="C779" s="65" t="s">
        <v>379</v>
      </c>
      <c r="D779" s="65"/>
      <c r="E779" s="35"/>
      <c r="F779" s="36"/>
      <c r="G779" s="35" t="s">
        <v>31</v>
      </c>
      <c r="H779" s="37"/>
      <c r="I779" s="38">
        <f>4</f>
        <v>4</v>
      </c>
      <c r="J779" s="23"/>
      <c r="K779" s="39"/>
      <c r="L779" s="40"/>
      <c r="M779" s="41">
        <f>K779+L779</f>
        <v>0</v>
      </c>
      <c r="N779" s="41">
        <f t="shared" si="25"/>
        <v>0</v>
      </c>
      <c r="O779" s="41">
        <f>ROUND((I779*L779),2)</f>
        <v>0</v>
      </c>
      <c r="P779" s="41">
        <f>ROUND((I779*M779),2)</f>
        <v>0</v>
      </c>
      <c r="Q779" s="41"/>
      <c r="R779" s="23"/>
      <c r="XCY779"/>
      <c r="XCZ779"/>
      <c r="XDA779"/>
      <c r="XDB779"/>
      <c r="XDC779"/>
      <c r="XDD779"/>
      <c r="XDE779"/>
      <c r="XDF779"/>
      <c r="XDG779"/>
      <c r="XDH779"/>
      <c r="XDI779"/>
      <c r="XDJ779"/>
      <c r="XDK779"/>
      <c r="XDL779"/>
      <c r="XDM779"/>
      <c r="XDN779"/>
      <c r="XDO779"/>
      <c r="XDP779"/>
      <c r="XDQ779"/>
      <c r="XDR779"/>
      <c r="XDS779"/>
      <c r="XDT779"/>
      <c r="XDU779"/>
      <c r="XDV779"/>
      <c r="XDW779"/>
      <c r="XDX779"/>
      <c r="XDY779"/>
      <c r="XDZ779"/>
      <c r="XEA779"/>
      <c r="XEB779"/>
      <c r="XEC779"/>
      <c r="XED779"/>
      <c r="XEE779"/>
      <c r="XEF779"/>
      <c r="XEG779"/>
      <c r="XEH779"/>
      <c r="XEI779"/>
      <c r="XEJ779"/>
      <c r="XEK779"/>
      <c r="XEL779"/>
      <c r="XEM779"/>
      <c r="XEN779"/>
      <c r="XEO779"/>
      <c r="XEP779"/>
      <c r="XEQ779"/>
      <c r="XER779"/>
      <c r="XES779"/>
      <c r="XET779"/>
      <c r="XEU779"/>
      <c r="XEV779"/>
      <c r="XEW779"/>
      <c r="XEX779"/>
      <c r="XEY779"/>
      <c r="XEZ779"/>
      <c r="XFA779"/>
      <c r="XFB779"/>
      <c r="XFC779"/>
      <c r="XFD779"/>
    </row>
    <row r="780" spans="1:18 16327:16384" s="26" customFormat="1" ht="29.1" customHeight="1" outlineLevel="3" x14ac:dyDescent="0.25">
      <c r="A780" s="42" t="s">
        <v>1316</v>
      </c>
      <c r="B780" s="43"/>
      <c r="C780" s="66" t="s">
        <v>1317</v>
      </c>
      <c r="D780" s="66"/>
      <c r="E780" s="43" t="s">
        <v>34</v>
      </c>
      <c r="F780" s="44"/>
      <c r="G780" s="43" t="s">
        <v>31</v>
      </c>
      <c r="H780" s="45">
        <v>1</v>
      </c>
      <c r="I780" s="46">
        <f>4</f>
        <v>4</v>
      </c>
      <c r="J780" s="23"/>
      <c r="K780" s="47"/>
      <c r="L780" s="48"/>
      <c r="M780" s="49"/>
      <c r="N780" s="49">
        <f t="shared" si="25"/>
        <v>0</v>
      </c>
      <c r="O780" s="49"/>
      <c r="P780" s="49"/>
      <c r="Q780" s="49"/>
      <c r="R780" s="23"/>
      <c r="XCY780"/>
      <c r="XCZ780"/>
      <c r="XDA780"/>
      <c r="XDB780"/>
      <c r="XDC780"/>
      <c r="XDD780"/>
      <c r="XDE780"/>
      <c r="XDF780"/>
      <c r="XDG780"/>
      <c r="XDH780"/>
      <c r="XDI780"/>
      <c r="XDJ780"/>
      <c r="XDK780"/>
      <c r="XDL780"/>
      <c r="XDM780"/>
      <c r="XDN780"/>
      <c r="XDO780"/>
      <c r="XDP780"/>
      <c r="XDQ780"/>
      <c r="XDR780"/>
      <c r="XDS780"/>
      <c r="XDT780"/>
      <c r="XDU780"/>
      <c r="XDV780"/>
      <c r="XDW780"/>
      <c r="XDX780"/>
      <c r="XDY780"/>
      <c r="XDZ780"/>
      <c r="XEA780"/>
      <c r="XEB780"/>
      <c r="XEC780"/>
      <c r="XED780"/>
      <c r="XEE780"/>
      <c r="XEF780"/>
      <c r="XEG780"/>
      <c r="XEH780"/>
      <c r="XEI780"/>
      <c r="XEJ780"/>
      <c r="XEK780"/>
      <c r="XEL780"/>
      <c r="XEM780"/>
      <c r="XEN780"/>
      <c r="XEO780"/>
      <c r="XEP780"/>
      <c r="XEQ780"/>
      <c r="XER780"/>
      <c r="XES780"/>
      <c r="XET780"/>
      <c r="XEU780"/>
      <c r="XEV780"/>
      <c r="XEW780"/>
      <c r="XEX780"/>
      <c r="XEY780"/>
      <c r="XEZ780"/>
      <c r="XFA780"/>
      <c r="XFB780"/>
      <c r="XFC780"/>
      <c r="XFD780"/>
    </row>
    <row r="781" spans="1:18 16327:16384" s="26" customFormat="1" ht="29.1" customHeight="1" outlineLevel="2" x14ac:dyDescent="0.25">
      <c r="A781" s="34" t="s">
        <v>1318</v>
      </c>
      <c r="B781" s="35"/>
      <c r="C781" s="65" t="s">
        <v>1319</v>
      </c>
      <c r="D781" s="65"/>
      <c r="E781" s="35"/>
      <c r="F781" s="36"/>
      <c r="G781" s="35" t="s">
        <v>31</v>
      </c>
      <c r="H781" s="37"/>
      <c r="I781" s="38">
        <f>272</f>
        <v>272</v>
      </c>
      <c r="J781" s="23"/>
      <c r="K781" s="39"/>
      <c r="L781" s="40"/>
      <c r="M781" s="41">
        <f>K781+L781</f>
        <v>0</v>
      </c>
      <c r="N781" s="41">
        <f t="shared" si="25"/>
        <v>0</v>
      </c>
      <c r="O781" s="41">
        <f>ROUND((I781*L781),2)</f>
        <v>0</v>
      </c>
      <c r="P781" s="41">
        <f>ROUND((I781*M781),2)</f>
        <v>0</v>
      </c>
      <c r="Q781" s="41"/>
      <c r="R781" s="23"/>
      <c r="XCY781"/>
      <c r="XCZ781"/>
      <c r="XDA781"/>
      <c r="XDB781"/>
      <c r="XDC781"/>
      <c r="XDD781"/>
      <c r="XDE781"/>
      <c r="XDF781"/>
      <c r="XDG781"/>
      <c r="XDH781"/>
      <c r="XDI781"/>
      <c r="XDJ781"/>
      <c r="XDK781"/>
      <c r="XDL781"/>
      <c r="XDM781"/>
      <c r="XDN781"/>
      <c r="XDO781"/>
      <c r="XDP781"/>
      <c r="XDQ781"/>
      <c r="XDR781"/>
      <c r="XDS781"/>
      <c r="XDT781"/>
      <c r="XDU781"/>
      <c r="XDV781"/>
      <c r="XDW781"/>
      <c r="XDX781"/>
      <c r="XDY781"/>
      <c r="XDZ781"/>
      <c r="XEA781"/>
      <c r="XEB781"/>
      <c r="XEC781"/>
      <c r="XED781"/>
      <c r="XEE781"/>
      <c r="XEF781"/>
      <c r="XEG781"/>
      <c r="XEH781"/>
      <c r="XEI781"/>
      <c r="XEJ781"/>
      <c r="XEK781"/>
      <c r="XEL781"/>
      <c r="XEM781"/>
      <c r="XEN781"/>
      <c r="XEO781"/>
      <c r="XEP781"/>
      <c r="XEQ781"/>
      <c r="XER781"/>
      <c r="XES781"/>
      <c r="XET781"/>
      <c r="XEU781"/>
      <c r="XEV781"/>
      <c r="XEW781"/>
      <c r="XEX781"/>
      <c r="XEY781"/>
      <c r="XEZ781"/>
      <c r="XFA781"/>
      <c r="XFB781"/>
      <c r="XFC781"/>
      <c r="XFD781"/>
    </row>
    <row r="782" spans="1:18 16327:16384" s="26" customFormat="1" ht="29.1" customHeight="1" outlineLevel="3" x14ac:dyDescent="0.25">
      <c r="A782" s="42" t="s">
        <v>1320</v>
      </c>
      <c r="B782" s="43"/>
      <c r="C782" s="66" t="s">
        <v>1321</v>
      </c>
      <c r="D782" s="66"/>
      <c r="E782" s="43" t="s">
        <v>34</v>
      </c>
      <c r="F782" s="44"/>
      <c r="G782" s="43" t="s">
        <v>31</v>
      </c>
      <c r="H782" s="45">
        <v>1</v>
      </c>
      <c r="I782" s="46">
        <f>272</f>
        <v>272</v>
      </c>
      <c r="J782" s="23"/>
      <c r="K782" s="47"/>
      <c r="L782" s="48"/>
      <c r="M782" s="49"/>
      <c r="N782" s="49">
        <f t="shared" si="25"/>
        <v>0</v>
      </c>
      <c r="O782" s="49"/>
      <c r="P782" s="49"/>
      <c r="Q782" s="49"/>
      <c r="R782" s="23"/>
      <c r="XCY782"/>
      <c r="XCZ782"/>
      <c r="XDA782"/>
      <c r="XDB782"/>
      <c r="XDC782"/>
      <c r="XDD782"/>
      <c r="XDE782"/>
      <c r="XDF782"/>
      <c r="XDG782"/>
      <c r="XDH782"/>
      <c r="XDI782"/>
      <c r="XDJ782"/>
      <c r="XDK782"/>
      <c r="XDL782"/>
      <c r="XDM782"/>
      <c r="XDN782"/>
      <c r="XDO782"/>
      <c r="XDP782"/>
      <c r="XDQ782"/>
      <c r="XDR782"/>
      <c r="XDS782"/>
      <c r="XDT782"/>
      <c r="XDU782"/>
      <c r="XDV782"/>
      <c r="XDW782"/>
      <c r="XDX782"/>
      <c r="XDY782"/>
      <c r="XDZ782"/>
      <c r="XEA782"/>
      <c r="XEB782"/>
      <c r="XEC782"/>
      <c r="XED782"/>
      <c r="XEE782"/>
      <c r="XEF782"/>
      <c r="XEG782"/>
      <c r="XEH782"/>
      <c r="XEI782"/>
      <c r="XEJ782"/>
      <c r="XEK782"/>
      <c r="XEL782"/>
      <c r="XEM782"/>
      <c r="XEN782"/>
      <c r="XEO782"/>
      <c r="XEP782"/>
      <c r="XEQ782"/>
      <c r="XER782"/>
      <c r="XES782"/>
      <c r="XET782"/>
      <c r="XEU782"/>
      <c r="XEV782"/>
      <c r="XEW782"/>
      <c r="XEX782"/>
      <c r="XEY782"/>
      <c r="XEZ782"/>
      <c r="XFA782"/>
      <c r="XFB782"/>
      <c r="XFC782"/>
      <c r="XFD782"/>
    </row>
    <row r="783" spans="1:18 16327:16384" s="26" customFormat="1" ht="29.1" customHeight="1" outlineLevel="2" x14ac:dyDescent="0.25">
      <c r="A783" s="34" t="s">
        <v>1322</v>
      </c>
      <c r="B783" s="35"/>
      <c r="C783" s="65" t="s">
        <v>1319</v>
      </c>
      <c r="D783" s="65"/>
      <c r="E783" s="35"/>
      <c r="F783" s="36"/>
      <c r="G783" s="35" t="s">
        <v>31</v>
      </c>
      <c r="H783" s="37"/>
      <c r="I783" s="38">
        <f>497</f>
        <v>497</v>
      </c>
      <c r="J783" s="23"/>
      <c r="K783" s="39"/>
      <c r="L783" s="40"/>
      <c r="M783" s="41">
        <f>K783+L783</f>
        <v>0</v>
      </c>
      <c r="N783" s="41">
        <f t="shared" si="25"/>
        <v>0</v>
      </c>
      <c r="O783" s="41">
        <f>ROUND((I783*L783),2)</f>
        <v>0</v>
      </c>
      <c r="P783" s="41">
        <f>ROUND((I783*M783),2)</f>
        <v>0</v>
      </c>
      <c r="Q783" s="41"/>
      <c r="R783" s="23"/>
      <c r="XCY783"/>
      <c r="XCZ783"/>
      <c r="XDA783"/>
      <c r="XDB783"/>
      <c r="XDC783"/>
      <c r="XDD783"/>
      <c r="XDE783"/>
      <c r="XDF783"/>
      <c r="XDG783"/>
      <c r="XDH783"/>
      <c r="XDI783"/>
      <c r="XDJ783"/>
      <c r="XDK783"/>
      <c r="XDL783"/>
      <c r="XDM783"/>
      <c r="XDN783"/>
      <c r="XDO783"/>
      <c r="XDP783"/>
      <c r="XDQ783"/>
      <c r="XDR783"/>
      <c r="XDS783"/>
      <c r="XDT783"/>
      <c r="XDU783"/>
      <c r="XDV783"/>
      <c r="XDW783"/>
      <c r="XDX783"/>
      <c r="XDY783"/>
      <c r="XDZ783"/>
      <c r="XEA783"/>
      <c r="XEB783"/>
      <c r="XEC783"/>
      <c r="XED783"/>
      <c r="XEE783"/>
      <c r="XEF783"/>
      <c r="XEG783"/>
      <c r="XEH783"/>
      <c r="XEI783"/>
      <c r="XEJ783"/>
      <c r="XEK783"/>
      <c r="XEL783"/>
      <c r="XEM783"/>
      <c r="XEN783"/>
      <c r="XEO783"/>
      <c r="XEP783"/>
      <c r="XEQ783"/>
      <c r="XER783"/>
      <c r="XES783"/>
      <c r="XET783"/>
      <c r="XEU783"/>
      <c r="XEV783"/>
      <c r="XEW783"/>
      <c r="XEX783"/>
      <c r="XEY783"/>
      <c r="XEZ783"/>
      <c r="XFA783"/>
      <c r="XFB783"/>
      <c r="XFC783"/>
      <c r="XFD783"/>
    </row>
    <row r="784" spans="1:18 16327:16384" s="26" customFormat="1" ht="29.1" customHeight="1" outlineLevel="3" x14ac:dyDescent="0.25">
      <c r="A784" s="42" t="s">
        <v>1323</v>
      </c>
      <c r="B784" s="43"/>
      <c r="C784" s="66" t="s">
        <v>1324</v>
      </c>
      <c r="D784" s="66"/>
      <c r="E784" s="43" t="s">
        <v>34</v>
      </c>
      <c r="F784" s="44"/>
      <c r="G784" s="43" t="s">
        <v>31</v>
      </c>
      <c r="H784" s="45">
        <v>1</v>
      </c>
      <c r="I784" s="46">
        <f>497</f>
        <v>497</v>
      </c>
      <c r="J784" s="23"/>
      <c r="K784" s="47"/>
      <c r="L784" s="48"/>
      <c r="M784" s="49"/>
      <c r="N784" s="49">
        <f t="shared" si="25"/>
        <v>0</v>
      </c>
      <c r="O784" s="49"/>
      <c r="P784" s="49"/>
      <c r="Q784" s="49"/>
      <c r="R784" s="23"/>
      <c r="XCY784"/>
      <c r="XCZ784"/>
      <c r="XDA784"/>
      <c r="XDB784"/>
      <c r="XDC784"/>
      <c r="XDD784"/>
      <c r="XDE784"/>
      <c r="XDF784"/>
      <c r="XDG784"/>
      <c r="XDH784"/>
      <c r="XDI784"/>
      <c r="XDJ784"/>
      <c r="XDK784"/>
      <c r="XDL784"/>
      <c r="XDM784"/>
      <c r="XDN784"/>
      <c r="XDO784"/>
      <c r="XDP784"/>
      <c r="XDQ784"/>
      <c r="XDR784"/>
      <c r="XDS784"/>
      <c r="XDT784"/>
      <c r="XDU784"/>
      <c r="XDV784"/>
      <c r="XDW784"/>
      <c r="XDX784"/>
      <c r="XDY784"/>
      <c r="XDZ784"/>
      <c r="XEA784"/>
      <c r="XEB784"/>
      <c r="XEC784"/>
      <c r="XED784"/>
      <c r="XEE784"/>
      <c r="XEF784"/>
      <c r="XEG784"/>
      <c r="XEH784"/>
      <c r="XEI784"/>
      <c r="XEJ784"/>
      <c r="XEK784"/>
      <c r="XEL784"/>
      <c r="XEM784"/>
      <c r="XEN784"/>
      <c r="XEO784"/>
      <c r="XEP784"/>
      <c r="XEQ784"/>
      <c r="XER784"/>
      <c r="XES784"/>
      <c r="XET784"/>
      <c r="XEU784"/>
      <c r="XEV784"/>
      <c r="XEW784"/>
      <c r="XEX784"/>
      <c r="XEY784"/>
      <c r="XEZ784"/>
      <c r="XFA784"/>
      <c r="XFB784"/>
      <c r="XFC784"/>
      <c r="XFD784"/>
    </row>
    <row r="785" spans="1:18 16327:16384" s="26" customFormat="1" ht="29.1" customHeight="1" outlineLevel="3" x14ac:dyDescent="0.25">
      <c r="A785" s="42" t="s">
        <v>1325</v>
      </c>
      <c r="B785" s="43"/>
      <c r="C785" s="66" t="s">
        <v>1326</v>
      </c>
      <c r="D785" s="66"/>
      <c r="E785" s="43" t="s">
        <v>34</v>
      </c>
      <c r="F785" s="44"/>
      <c r="G785" s="43" t="s">
        <v>31</v>
      </c>
      <c r="H785" s="45">
        <v>1</v>
      </c>
      <c r="I785" s="46">
        <f>42</f>
        <v>42</v>
      </c>
      <c r="J785" s="23"/>
      <c r="K785" s="47"/>
      <c r="L785" s="48"/>
      <c r="M785" s="49"/>
      <c r="N785" s="49">
        <f t="shared" si="25"/>
        <v>0</v>
      </c>
      <c r="O785" s="49"/>
      <c r="P785" s="49"/>
      <c r="Q785" s="49"/>
      <c r="R785" s="23"/>
      <c r="XCY785"/>
      <c r="XCZ785"/>
      <c r="XDA785"/>
      <c r="XDB785"/>
      <c r="XDC785"/>
      <c r="XDD785"/>
      <c r="XDE785"/>
      <c r="XDF785"/>
      <c r="XDG785"/>
      <c r="XDH785"/>
      <c r="XDI785"/>
      <c r="XDJ785"/>
      <c r="XDK785"/>
      <c r="XDL785"/>
      <c r="XDM785"/>
      <c r="XDN785"/>
      <c r="XDO785"/>
      <c r="XDP785"/>
      <c r="XDQ785"/>
      <c r="XDR785"/>
      <c r="XDS785"/>
      <c r="XDT785"/>
      <c r="XDU785"/>
      <c r="XDV785"/>
      <c r="XDW785"/>
      <c r="XDX785"/>
      <c r="XDY785"/>
      <c r="XDZ785"/>
      <c r="XEA785"/>
      <c r="XEB785"/>
      <c r="XEC785"/>
      <c r="XED785"/>
      <c r="XEE785"/>
      <c r="XEF785"/>
      <c r="XEG785"/>
      <c r="XEH785"/>
      <c r="XEI785"/>
      <c r="XEJ785"/>
      <c r="XEK785"/>
      <c r="XEL785"/>
      <c r="XEM785"/>
      <c r="XEN785"/>
      <c r="XEO785"/>
      <c r="XEP785"/>
      <c r="XEQ785"/>
      <c r="XER785"/>
      <c r="XES785"/>
      <c r="XET785"/>
      <c r="XEU785"/>
      <c r="XEV785"/>
      <c r="XEW785"/>
      <c r="XEX785"/>
      <c r="XEY785"/>
      <c r="XEZ785"/>
      <c r="XFA785"/>
      <c r="XFB785"/>
      <c r="XFC785"/>
      <c r="XFD785"/>
    </row>
    <row r="786" spans="1:18 16327:16384" s="26" customFormat="1" ht="29.1" customHeight="1" outlineLevel="2" x14ac:dyDescent="0.25">
      <c r="A786" s="34" t="s">
        <v>1327</v>
      </c>
      <c r="B786" s="35"/>
      <c r="C786" s="65" t="s">
        <v>1328</v>
      </c>
      <c r="D786" s="65"/>
      <c r="E786" s="35"/>
      <c r="F786" s="36"/>
      <c r="G786" s="35" t="s">
        <v>31</v>
      </c>
      <c r="H786" s="37"/>
      <c r="I786" s="38">
        <f>1</f>
        <v>1</v>
      </c>
      <c r="J786" s="23"/>
      <c r="K786" s="39"/>
      <c r="L786" s="40"/>
      <c r="M786" s="41">
        <f>K786+L786</f>
        <v>0</v>
      </c>
      <c r="N786" s="41">
        <f t="shared" si="25"/>
        <v>0</v>
      </c>
      <c r="O786" s="41">
        <f>ROUND((I786*L786),2)</f>
        <v>0</v>
      </c>
      <c r="P786" s="41">
        <f>ROUND((I786*M786),2)</f>
        <v>0</v>
      </c>
      <c r="Q786" s="41"/>
      <c r="R786" s="23"/>
      <c r="XCY786"/>
      <c r="XCZ786"/>
      <c r="XDA786"/>
      <c r="XDB786"/>
      <c r="XDC786"/>
      <c r="XDD786"/>
      <c r="XDE786"/>
      <c r="XDF786"/>
      <c r="XDG786"/>
      <c r="XDH786"/>
      <c r="XDI786"/>
      <c r="XDJ786"/>
      <c r="XDK786"/>
      <c r="XDL786"/>
      <c r="XDM786"/>
      <c r="XDN786"/>
      <c r="XDO786"/>
      <c r="XDP786"/>
      <c r="XDQ786"/>
      <c r="XDR786"/>
      <c r="XDS786"/>
      <c r="XDT786"/>
      <c r="XDU786"/>
      <c r="XDV786"/>
      <c r="XDW786"/>
      <c r="XDX786"/>
      <c r="XDY786"/>
      <c r="XDZ786"/>
      <c r="XEA786"/>
      <c r="XEB786"/>
      <c r="XEC786"/>
      <c r="XED786"/>
      <c r="XEE786"/>
      <c r="XEF786"/>
      <c r="XEG786"/>
      <c r="XEH786"/>
      <c r="XEI786"/>
      <c r="XEJ786"/>
      <c r="XEK786"/>
      <c r="XEL786"/>
      <c r="XEM786"/>
      <c r="XEN786"/>
      <c r="XEO786"/>
      <c r="XEP786"/>
      <c r="XEQ786"/>
      <c r="XER786"/>
      <c r="XES786"/>
      <c r="XET786"/>
      <c r="XEU786"/>
      <c r="XEV786"/>
      <c r="XEW786"/>
      <c r="XEX786"/>
      <c r="XEY786"/>
      <c r="XEZ786"/>
      <c r="XFA786"/>
      <c r="XFB786"/>
      <c r="XFC786"/>
      <c r="XFD786"/>
    </row>
    <row r="787" spans="1:18 16327:16384" s="26" customFormat="1" ht="29.1" customHeight="1" outlineLevel="3" x14ac:dyDescent="0.25">
      <c r="A787" s="42" t="s">
        <v>1329</v>
      </c>
      <c r="B787" s="43"/>
      <c r="C787" s="66" t="s">
        <v>1330</v>
      </c>
      <c r="D787" s="66"/>
      <c r="E787" s="43" t="s">
        <v>34</v>
      </c>
      <c r="F787" s="44"/>
      <c r="G787" s="43" t="s">
        <v>31</v>
      </c>
      <c r="H787" s="45">
        <v>1</v>
      </c>
      <c r="I787" s="46">
        <f>1</f>
        <v>1</v>
      </c>
      <c r="J787" s="23"/>
      <c r="K787" s="47"/>
      <c r="L787" s="48"/>
      <c r="M787" s="49"/>
      <c r="N787" s="49">
        <f t="shared" si="25"/>
        <v>0</v>
      </c>
      <c r="O787" s="49"/>
      <c r="P787" s="49"/>
      <c r="Q787" s="49"/>
      <c r="R787" s="23"/>
      <c r="XCY787"/>
      <c r="XCZ787"/>
      <c r="XDA787"/>
      <c r="XDB787"/>
      <c r="XDC787"/>
      <c r="XDD787"/>
      <c r="XDE787"/>
      <c r="XDF787"/>
      <c r="XDG787"/>
      <c r="XDH787"/>
      <c r="XDI787"/>
      <c r="XDJ787"/>
      <c r="XDK787"/>
      <c r="XDL787"/>
      <c r="XDM787"/>
      <c r="XDN787"/>
      <c r="XDO787"/>
      <c r="XDP787"/>
      <c r="XDQ787"/>
      <c r="XDR787"/>
      <c r="XDS787"/>
      <c r="XDT787"/>
      <c r="XDU787"/>
      <c r="XDV787"/>
      <c r="XDW787"/>
      <c r="XDX787"/>
      <c r="XDY787"/>
      <c r="XDZ787"/>
      <c r="XEA787"/>
      <c r="XEB787"/>
      <c r="XEC787"/>
      <c r="XED787"/>
      <c r="XEE787"/>
      <c r="XEF787"/>
      <c r="XEG787"/>
      <c r="XEH787"/>
      <c r="XEI787"/>
      <c r="XEJ787"/>
      <c r="XEK787"/>
      <c r="XEL787"/>
      <c r="XEM787"/>
      <c r="XEN787"/>
      <c r="XEO787"/>
      <c r="XEP787"/>
      <c r="XEQ787"/>
      <c r="XER787"/>
      <c r="XES787"/>
      <c r="XET787"/>
      <c r="XEU787"/>
      <c r="XEV787"/>
      <c r="XEW787"/>
      <c r="XEX787"/>
      <c r="XEY787"/>
      <c r="XEZ787"/>
      <c r="XFA787"/>
      <c r="XFB787"/>
      <c r="XFC787"/>
      <c r="XFD787"/>
    </row>
    <row r="788" spans="1:18 16327:16384" s="26" customFormat="1" ht="29.1" customHeight="1" outlineLevel="2" x14ac:dyDescent="0.25">
      <c r="A788" s="34" t="s">
        <v>1331</v>
      </c>
      <c r="B788" s="35"/>
      <c r="C788" s="65" t="s">
        <v>617</v>
      </c>
      <c r="D788" s="65"/>
      <c r="E788" s="35"/>
      <c r="F788" s="36"/>
      <c r="G788" s="35" t="s">
        <v>31</v>
      </c>
      <c r="H788" s="37"/>
      <c r="I788" s="38">
        <f>1</f>
        <v>1</v>
      </c>
      <c r="J788" s="23"/>
      <c r="K788" s="39"/>
      <c r="L788" s="40"/>
      <c r="M788" s="41">
        <f>K788+L788</f>
        <v>0</v>
      </c>
      <c r="N788" s="41">
        <f t="shared" si="25"/>
        <v>0</v>
      </c>
      <c r="O788" s="41">
        <f>ROUND((I788*L788),2)</f>
        <v>0</v>
      </c>
      <c r="P788" s="41">
        <f>ROUND((I788*M788),2)</f>
        <v>0</v>
      </c>
      <c r="Q788" s="41"/>
      <c r="R788" s="23"/>
      <c r="XCY788"/>
      <c r="XCZ788"/>
      <c r="XDA788"/>
      <c r="XDB788"/>
      <c r="XDC788"/>
      <c r="XDD788"/>
      <c r="XDE788"/>
      <c r="XDF788"/>
      <c r="XDG788"/>
      <c r="XDH788"/>
      <c r="XDI788"/>
      <c r="XDJ788"/>
      <c r="XDK788"/>
      <c r="XDL788"/>
      <c r="XDM788"/>
      <c r="XDN788"/>
      <c r="XDO788"/>
      <c r="XDP788"/>
      <c r="XDQ788"/>
      <c r="XDR788"/>
      <c r="XDS788"/>
      <c r="XDT788"/>
      <c r="XDU788"/>
      <c r="XDV788"/>
      <c r="XDW788"/>
      <c r="XDX788"/>
      <c r="XDY788"/>
      <c r="XDZ788"/>
      <c r="XEA788"/>
      <c r="XEB788"/>
      <c r="XEC788"/>
      <c r="XED788"/>
      <c r="XEE788"/>
      <c r="XEF788"/>
      <c r="XEG788"/>
      <c r="XEH788"/>
      <c r="XEI788"/>
      <c r="XEJ788"/>
      <c r="XEK788"/>
      <c r="XEL788"/>
      <c r="XEM788"/>
      <c r="XEN788"/>
      <c r="XEO788"/>
      <c r="XEP788"/>
      <c r="XEQ788"/>
      <c r="XER788"/>
      <c r="XES788"/>
      <c r="XET788"/>
      <c r="XEU788"/>
      <c r="XEV788"/>
      <c r="XEW788"/>
      <c r="XEX788"/>
      <c r="XEY788"/>
      <c r="XEZ788"/>
      <c r="XFA788"/>
      <c r="XFB788"/>
      <c r="XFC788"/>
      <c r="XFD788"/>
    </row>
    <row r="789" spans="1:18 16327:16384" s="26" customFormat="1" ht="29.1" customHeight="1" outlineLevel="3" x14ac:dyDescent="0.25">
      <c r="A789" s="42" t="s">
        <v>1332</v>
      </c>
      <c r="B789" s="43"/>
      <c r="C789" s="66" t="s">
        <v>1333</v>
      </c>
      <c r="D789" s="66"/>
      <c r="E789" s="43" t="s">
        <v>34</v>
      </c>
      <c r="F789" s="44"/>
      <c r="G789" s="43" t="s">
        <v>31</v>
      </c>
      <c r="H789" s="45">
        <v>1</v>
      </c>
      <c r="I789" s="46">
        <f>1</f>
        <v>1</v>
      </c>
      <c r="J789" s="23"/>
      <c r="K789" s="47"/>
      <c r="L789" s="48"/>
      <c r="M789" s="49"/>
      <c r="N789" s="49">
        <f t="shared" si="25"/>
        <v>0</v>
      </c>
      <c r="O789" s="49"/>
      <c r="P789" s="49"/>
      <c r="Q789" s="49"/>
      <c r="R789" s="23"/>
      <c r="XCY789"/>
      <c r="XCZ789"/>
      <c r="XDA789"/>
      <c r="XDB789"/>
      <c r="XDC789"/>
      <c r="XDD789"/>
      <c r="XDE789"/>
      <c r="XDF789"/>
      <c r="XDG789"/>
      <c r="XDH789"/>
      <c r="XDI789"/>
      <c r="XDJ789"/>
      <c r="XDK789"/>
      <c r="XDL789"/>
      <c r="XDM789"/>
      <c r="XDN789"/>
      <c r="XDO789"/>
      <c r="XDP789"/>
      <c r="XDQ789"/>
      <c r="XDR789"/>
      <c r="XDS789"/>
      <c r="XDT789"/>
      <c r="XDU789"/>
      <c r="XDV789"/>
      <c r="XDW789"/>
      <c r="XDX789"/>
      <c r="XDY789"/>
      <c r="XDZ789"/>
      <c r="XEA789"/>
      <c r="XEB789"/>
      <c r="XEC789"/>
      <c r="XED789"/>
      <c r="XEE789"/>
      <c r="XEF789"/>
      <c r="XEG789"/>
      <c r="XEH789"/>
      <c r="XEI789"/>
      <c r="XEJ789"/>
      <c r="XEK789"/>
      <c r="XEL789"/>
      <c r="XEM789"/>
      <c r="XEN789"/>
      <c r="XEO789"/>
      <c r="XEP789"/>
      <c r="XEQ789"/>
      <c r="XER789"/>
      <c r="XES789"/>
      <c r="XET789"/>
      <c r="XEU789"/>
      <c r="XEV789"/>
      <c r="XEW789"/>
      <c r="XEX789"/>
      <c r="XEY789"/>
      <c r="XEZ789"/>
      <c r="XFA789"/>
      <c r="XFB789"/>
      <c r="XFC789"/>
      <c r="XFD789"/>
    </row>
    <row r="790" spans="1:18 16327:16384" s="26" customFormat="1" ht="29.1" customHeight="1" outlineLevel="2" x14ac:dyDescent="0.25">
      <c r="A790" s="34" t="s">
        <v>1334</v>
      </c>
      <c r="B790" s="35"/>
      <c r="C790" s="65" t="s">
        <v>1335</v>
      </c>
      <c r="D790" s="65"/>
      <c r="E790" s="35"/>
      <c r="F790" s="36"/>
      <c r="G790" s="35" t="s">
        <v>31</v>
      </c>
      <c r="H790" s="37"/>
      <c r="I790" s="38">
        <f>1</f>
        <v>1</v>
      </c>
      <c r="J790" s="23"/>
      <c r="K790" s="39"/>
      <c r="L790" s="40"/>
      <c r="M790" s="41">
        <f>K790+L790</f>
        <v>0</v>
      </c>
      <c r="N790" s="41">
        <f t="shared" si="25"/>
        <v>0</v>
      </c>
      <c r="O790" s="41">
        <f>ROUND((I790*L790),2)</f>
        <v>0</v>
      </c>
      <c r="P790" s="41">
        <f>ROUND((I790*M790),2)</f>
        <v>0</v>
      </c>
      <c r="Q790" s="41"/>
      <c r="R790" s="23"/>
      <c r="XCY790"/>
      <c r="XCZ790"/>
      <c r="XDA790"/>
      <c r="XDB790"/>
      <c r="XDC790"/>
      <c r="XDD790"/>
      <c r="XDE790"/>
      <c r="XDF790"/>
      <c r="XDG790"/>
      <c r="XDH790"/>
      <c r="XDI790"/>
      <c r="XDJ790"/>
      <c r="XDK790"/>
      <c r="XDL790"/>
      <c r="XDM790"/>
      <c r="XDN790"/>
      <c r="XDO790"/>
      <c r="XDP790"/>
      <c r="XDQ790"/>
      <c r="XDR790"/>
      <c r="XDS790"/>
      <c r="XDT790"/>
      <c r="XDU790"/>
      <c r="XDV790"/>
      <c r="XDW790"/>
      <c r="XDX790"/>
      <c r="XDY790"/>
      <c r="XDZ790"/>
      <c r="XEA790"/>
      <c r="XEB790"/>
      <c r="XEC790"/>
      <c r="XED790"/>
      <c r="XEE790"/>
      <c r="XEF790"/>
      <c r="XEG790"/>
      <c r="XEH790"/>
      <c r="XEI790"/>
      <c r="XEJ790"/>
      <c r="XEK790"/>
      <c r="XEL790"/>
      <c r="XEM790"/>
      <c r="XEN790"/>
      <c r="XEO790"/>
      <c r="XEP790"/>
      <c r="XEQ790"/>
      <c r="XER790"/>
      <c r="XES790"/>
      <c r="XET790"/>
      <c r="XEU790"/>
      <c r="XEV790"/>
      <c r="XEW790"/>
      <c r="XEX790"/>
      <c r="XEY790"/>
      <c r="XEZ790"/>
      <c r="XFA790"/>
      <c r="XFB790"/>
      <c r="XFC790"/>
      <c r="XFD790"/>
    </row>
    <row r="791" spans="1:18 16327:16384" s="26" customFormat="1" ht="29.1" customHeight="1" outlineLevel="3" x14ac:dyDescent="0.25">
      <c r="A791" s="42" t="s">
        <v>1336</v>
      </c>
      <c r="B791" s="43"/>
      <c r="C791" s="66" t="s">
        <v>1337</v>
      </c>
      <c r="D791" s="66"/>
      <c r="E791" s="43" t="s">
        <v>34</v>
      </c>
      <c r="F791" s="44"/>
      <c r="G791" s="43" t="s">
        <v>31</v>
      </c>
      <c r="H791" s="45">
        <v>1</v>
      </c>
      <c r="I791" s="46">
        <f>1</f>
        <v>1</v>
      </c>
      <c r="J791" s="23"/>
      <c r="K791" s="47"/>
      <c r="L791" s="48"/>
      <c r="M791" s="49"/>
      <c r="N791" s="49">
        <f t="shared" si="25"/>
        <v>0</v>
      </c>
      <c r="O791" s="49"/>
      <c r="P791" s="49"/>
      <c r="Q791" s="49"/>
      <c r="R791" s="23"/>
      <c r="XCY791"/>
      <c r="XCZ791"/>
      <c r="XDA791"/>
      <c r="XDB791"/>
      <c r="XDC791"/>
      <c r="XDD791"/>
      <c r="XDE791"/>
      <c r="XDF791"/>
      <c r="XDG791"/>
      <c r="XDH791"/>
      <c r="XDI791"/>
      <c r="XDJ791"/>
      <c r="XDK791"/>
      <c r="XDL791"/>
      <c r="XDM791"/>
      <c r="XDN791"/>
      <c r="XDO791"/>
      <c r="XDP791"/>
      <c r="XDQ791"/>
      <c r="XDR791"/>
      <c r="XDS791"/>
      <c r="XDT791"/>
      <c r="XDU791"/>
      <c r="XDV791"/>
      <c r="XDW791"/>
      <c r="XDX791"/>
      <c r="XDY791"/>
      <c r="XDZ791"/>
      <c r="XEA791"/>
      <c r="XEB791"/>
      <c r="XEC791"/>
      <c r="XED791"/>
      <c r="XEE791"/>
      <c r="XEF791"/>
      <c r="XEG791"/>
      <c r="XEH791"/>
      <c r="XEI791"/>
      <c r="XEJ791"/>
      <c r="XEK791"/>
      <c r="XEL791"/>
      <c r="XEM791"/>
      <c r="XEN791"/>
      <c r="XEO791"/>
      <c r="XEP791"/>
      <c r="XEQ791"/>
      <c r="XER791"/>
      <c r="XES791"/>
      <c r="XET791"/>
      <c r="XEU791"/>
      <c r="XEV791"/>
      <c r="XEW791"/>
      <c r="XEX791"/>
      <c r="XEY791"/>
      <c r="XEZ791"/>
      <c r="XFA791"/>
      <c r="XFB791"/>
      <c r="XFC791"/>
      <c r="XFD791"/>
    </row>
    <row r="792" spans="1:18 16327:16384" s="26" customFormat="1" ht="29.1" customHeight="1" outlineLevel="3" x14ac:dyDescent="0.25">
      <c r="A792" s="42" t="s">
        <v>1338</v>
      </c>
      <c r="B792" s="43"/>
      <c r="C792" s="66" t="s">
        <v>1339</v>
      </c>
      <c r="D792" s="66"/>
      <c r="E792" s="43" t="s">
        <v>34</v>
      </c>
      <c r="F792" s="44"/>
      <c r="G792" s="43" t="s">
        <v>31</v>
      </c>
      <c r="H792" s="45">
        <v>1</v>
      </c>
      <c r="I792" s="46">
        <f>2</f>
        <v>2</v>
      </c>
      <c r="J792" s="23"/>
      <c r="K792" s="47"/>
      <c r="L792" s="48"/>
      <c r="M792" s="49"/>
      <c r="N792" s="49">
        <f t="shared" si="25"/>
        <v>0</v>
      </c>
      <c r="O792" s="49"/>
      <c r="P792" s="49"/>
      <c r="Q792" s="49"/>
      <c r="R792" s="23"/>
      <c r="XCY792"/>
      <c r="XCZ792"/>
      <c r="XDA792"/>
      <c r="XDB792"/>
      <c r="XDC792"/>
      <c r="XDD792"/>
      <c r="XDE792"/>
      <c r="XDF792"/>
      <c r="XDG792"/>
      <c r="XDH792"/>
      <c r="XDI792"/>
      <c r="XDJ792"/>
      <c r="XDK792"/>
      <c r="XDL792"/>
      <c r="XDM792"/>
      <c r="XDN792"/>
      <c r="XDO792"/>
      <c r="XDP792"/>
      <c r="XDQ792"/>
      <c r="XDR792"/>
      <c r="XDS792"/>
      <c r="XDT792"/>
      <c r="XDU792"/>
      <c r="XDV792"/>
      <c r="XDW792"/>
      <c r="XDX792"/>
      <c r="XDY792"/>
      <c r="XDZ792"/>
      <c r="XEA792"/>
      <c r="XEB792"/>
      <c r="XEC792"/>
      <c r="XED792"/>
      <c r="XEE792"/>
      <c r="XEF792"/>
      <c r="XEG792"/>
      <c r="XEH792"/>
      <c r="XEI792"/>
      <c r="XEJ792"/>
      <c r="XEK792"/>
      <c r="XEL792"/>
      <c r="XEM792"/>
      <c r="XEN792"/>
      <c r="XEO792"/>
      <c r="XEP792"/>
      <c r="XEQ792"/>
      <c r="XER792"/>
      <c r="XES792"/>
      <c r="XET792"/>
      <c r="XEU792"/>
      <c r="XEV792"/>
      <c r="XEW792"/>
      <c r="XEX792"/>
      <c r="XEY792"/>
      <c r="XEZ792"/>
      <c r="XFA792"/>
      <c r="XFB792"/>
      <c r="XFC792"/>
      <c r="XFD792"/>
    </row>
    <row r="793" spans="1:18 16327:16384" s="26" customFormat="1" ht="29.1" customHeight="1" outlineLevel="2" x14ac:dyDescent="0.25">
      <c r="A793" s="34" t="s">
        <v>1340</v>
      </c>
      <c r="B793" s="35"/>
      <c r="C793" s="65" t="s">
        <v>231</v>
      </c>
      <c r="D793" s="65"/>
      <c r="E793" s="35"/>
      <c r="F793" s="36"/>
      <c r="G793" s="35" t="s">
        <v>31</v>
      </c>
      <c r="H793" s="37"/>
      <c r="I793" s="38">
        <f>1</f>
        <v>1</v>
      </c>
      <c r="J793" s="23"/>
      <c r="K793" s="39"/>
      <c r="L793" s="40"/>
      <c r="M793" s="41">
        <f>K793+L793</f>
        <v>0</v>
      </c>
      <c r="N793" s="41">
        <f t="shared" si="25"/>
        <v>0</v>
      </c>
      <c r="O793" s="41">
        <f>ROUND((I793*L793),2)</f>
        <v>0</v>
      </c>
      <c r="P793" s="41">
        <f>ROUND((I793*M793),2)</f>
        <v>0</v>
      </c>
      <c r="Q793" s="41"/>
      <c r="R793" s="23"/>
      <c r="XCY793"/>
      <c r="XCZ793"/>
      <c r="XDA793"/>
      <c r="XDB793"/>
      <c r="XDC793"/>
      <c r="XDD793"/>
      <c r="XDE793"/>
      <c r="XDF793"/>
      <c r="XDG793"/>
      <c r="XDH793"/>
      <c r="XDI793"/>
      <c r="XDJ793"/>
      <c r="XDK793"/>
      <c r="XDL793"/>
      <c r="XDM793"/>
      <c r="XDN793"/>
      <c r="XDO793"/>
      <c r="XDP793"/>
      <c r="XDQ793"/>
      <c r="XDR793"/>
      <c r="XDS793"/>
      <c r="XDT793"/>
      <c r="XDU793"/>
      <c r="XDV793"/>
      <c r="XDW793"/>
      <c r="XDX793"/>
      <c r="XDY793"/>
      <c r="XDZ793"/>
      <c r="XEA793"/>
      <c r="XEB793"/>
      <c r="XEC793"/>
      <c r="XED793"/>
      <c r="XEE793"/>
      <c r="XEF793"/>
      <c r="XEG793"/>
      <c r="XEH793"/>
      <c r="XEI793"/>
      <c r="XEJ793"/>
      <c r="XEK793"/>
      <c r="XEL793"/>
      <c r="XEM793"/>
      <c r="XEN793"/>
      <c r="XEO793"/>
      <c r="XEP793"/>
      <c r="XEQ793"/>
      <c r="XER793"/>
      <c r="XES793"/>
      <c r="XET793"/>
      <c r="XEU793"/>
      <c r="XEV793"/>
      <c r="XEW793"/>
      <c r="XEX793"/>
      <c r="XEY793"/>
      <c r="XEZ793"/>
      <c r="XFA793"/>
      <c r="XFB793"/>
      <c r="XFC793"/>
      <c r="XFD793"/>
    </row>
    <row r="794" spans="1:18 16327:16384" s="26" customFormat="1" ht="29.1" customHeight="1" outlineLevel="3" x14ac:dyDescent="0.25">
      <c r="A794" s="42" t="s">
        <v>1341</v>
      </c>
      <c r="B794" s="43"/>
      <c r="C794" s="66" t="s">
        <v>1342</v>
      </c>
      <c r="D794" s="66"/>
      <c r="E794" s="43" t="s">
        <v>34</v>
      </c>
      <c r="F794" s="44"/>
      <c r="G794" s="43" t="s">
        <v>31</v>
      </c>
      <c r="H794" s="45">
        <v>1</v>
      </c>
      <c r="I794" s="46">
        <f>1</f>
        <v>1</v>
      </c>
      <c r="J794" s="23"/>
      <c r="K794" s="47"/>
      <c r="L794" s="48"/>
      <c r="M794" s="49"/>
      <c r="N794" s="49">
        <f t="shared" si="25"/>
        <v>0</v>
      </c>
      <c r="O794" s="49"/>
      <c r="P794" s="49"/>
      <c r="Q794" s="49"/>
      <c r="R794" s="23"/>
      <c r="XCY794"/>
      <c r="XCZ794"/>
      <c r="XDA794"/>
      <c r="XDB794"/>
      <c r="XDC794"/>
      <c r="XDD794"/>
      <c r="XDE794"/>
      <c r="XDF794"/>
      <c r="XDG794"/>
      <c r="XDH794"/>
      <c r="XDI794"/>
      <c r="XDJ794"/>
      <c r="XDK794"/>
      <c r="XDL794"/>
      <c r="XDM794"/>
      <c r="XDN794"/>
      <c r="XDO794"/>
      <c r="XDP794"/>
      <c r="XDQ794"/>
      <c r="XDR794"/>
      <c r="XDS794"/>
      <c r="XDT794"/>
      <c r="XDU794"/>
      <c r="XDV794"/>
      <c r="XDW794"/>
      <c r="XDX794"/>
      <c r="XDY794"/>
      <c r="XDZ794"/>
      <c r="XEA794"/>
      <c r="XEB794"/>
      <c r="XEC794"/>
      <c r="XED794"/>
      <c r="XEE794"/>
      <c r="XEF794"/>
      <c r="XEG794"/>
      <c r="XEH794"/>
      <c r="XEI794"/>
      <c r="XEJ794"/>
      <c r="XEK794"/>
      <c r="XEL794"/>
      <c r="XEM794"/>
      <c r="XEN794"/>
      <c r="XEO794"/>
      <c r="XEP794"/>
      <c r="XEQ794"/>
      <c r="XER794"/>
      <c r="XES794"/>
      <c r="XET794"/>
      <c r="XEU794"/>
      <c r="XEV794"/>
      <c r="XEW794"/>
      <c r="XEX794"/>
      <c r="XEY794"/>
      <c r="XEZ794"/>
      <c r="XFA794"/>
      <c r="XFB794"/>
      <c r="XFC794"/>
      <c r="XFD794"/>
    </row>
    <row r="795" spans="1:18 16327:16384" s="26" customFormat="1" ht="29.1" customHeight="1" outlineLevel="2" x14ac:dyDescent="0.25">
      <c r="A795" s="34" t="s">
        <v>1343</v>
      </c>
      <c r="B795" s="35"/>
      <c r="C795" s="65" t="s">
        <v>50</v>
      </c>
      <c r="D795" s="65"/>
      <c r="E795" s="35"/>
      <c r="F795" s="36"/>
      <c r="G795" s="35" t="s">
        <v>31</v>
      </c>
      <c r="H795" s="37"/>
      <c r="I795" s="38">
        <f>4</f>
        <v>4</v>
      </c>
      <c r="J795" s="23"/>
      <c r="K795" s="39"/>
      <c r="L795" s="40"/>
      <c r="M795" s="41">
        <f>K795+L795</f>
        <v>0</v>
      </c>
      <c r="N795" s="41">
        <f t="shared" si="25"/>
        <v>0</v>
      </c>
      <c r="O795" s="41">
        <f>ROUND((I795*L795),2)</f>
        <v>0</v>
      </c>
      <c r="P795" s="41">
        <f>ROUND((I795*M795),2)</f>
        <v>0</v>
      </c>
      <c r="Q795" s="41"/>
      <c r="R795" s="23"/>
      <c r="XCY795"/>
      <c r="XCZ795"/>
      <c r="XDA795"/>
      <c r="XDB795"/>
      <c r="XDC795"/>
      <c r="XDD795"/>
      <c r="XDE795"/>
      <c r="XDF795"/>
      <c r="XDG795"/>
      <c r="XDH795"/>
      <c r="XDI795"/>
      <c r="XDJ795"/>
      <c r="XDK795"/>
      <c r="XDL795"/>
      <c r="XDM795"/>
      <c r="XDN795"/>
      <c r="XDO795"/>
      <c r="XDP795"/>
      <c r="XDQ795"/>
      <c r="XDR795"/>
      <c r="XDS795"/>
      <c r="XDT795"/>
      <c r="XDU795"/>
      <c r="XDV795"/>
      <c r="XDW795"/>
      <c r="XDX795"/>
      <c r="XDY795"/>
      <c r="XDZ795"/>
      <c r="XEA795"/>
      <c r="XEB795"/>
      <c r="XEC795"/>
      <c r="XED795"/>
      <c r="XEE795"/>
      <c r="XEF795"/>
      <c r="XEG795"/>
      <c r="XEH795"/>
      <c r="XEI795"/>
      <c r="XEJ795"/>
      <c r="XEK795"/>
      <c r="XEL795"/>
      <c r="XEM795"/>
      <c r="XEN795"/>
      <c r="XEO795"/>
      <c r="XEP795"/>
      <c r="XEQ795"/>
      <c r="XER795"/>
      <c r="XES795"/>
      <c r="XET795"/>
      <c r="XEU795"/>
      <c r="XEV795"/>
      <c r="XEW795"/>
      <c r="XEX795"/>
      <c r="XEY795"/>
      <c r="XEZ795"/>
      <c r="XFA795"/>
      <c r="XFB795"/>
      <c r="XFC795"/>
      <c r="XFD795"/>
    </row>
    <row r="796" spans="1:18 16327:16384" s="26" customFormat="1" ht="29.1" customHeight="1" outlineLevel="3" x14ac:dyDescent="0.25">
      <c r="A796" s="42" t="s">
        <v>1344</v>
      </c>
      <c r="B796" s="43"/>
      <c r="C796" s="66" t="s">
        <v>1345</v>
      </c>
      <c r="D796" s="66"/>
      <c r="E796" s="43" t="s">
        <v>34</v>
      </c>
      <c r="F796" s="44"/>
      <c r="G796" s="43" t="s">
        <v>31</v>
      </c>
      <c r="H796" s="45">
        <v>1</v>
      </c>
      <c r="I796" s="46">
        <f>1</f>
        <v>1</v>
      </c>
      <c r="J796" s="23"/>
      <c r="K796" s="47"/>
      <c r="L796" s="48"/>
      <c r="M796" s="49"/>
      <c r="N796" s="49">
        <f t="shared" si="25"/>
        <v>0</v>
      </c>
      <c r="O796" s="49"/>
      <c r="P796" s="49"/>
      <c r="Q796" s="49"/>
      <c r="R796" s="23"/>
      <c r="XCY796"/>
      <c r="XCZ796"/>
      <c r="XDA796"/>
      <c r="XDB796"/>
      <c r="XDC796"/>
      <c r="XDD796"/>
      <c r="XDE796"/>
      <c r="XDF796"/>
      <c r="XDG796"/>
      <c r="XDH796"/>
      <c r="XDI796"/>
      <c r="XDJ796"/>
      <c r="XDK796"/>
      <c r="XDL796"/>
      <c r="XDM796"/>
      <c r="XDN796"/>
      <c r="XDO796"/>
      <c r="XDP796"/>
      <c r="XDQ796"/>
      <c r="XDR796"/>
      <c r="XDS796"/>
      <c r="XDT796"/>
      <c r="XDU796"/>
      <c r="XDV796"/>
      <c r="XDW796"/>
      <c r="XDX796"/>
      <c r="XDY796"/>
      <c r="XDZ796"/>
      <c r="XEA796"/>
      <c r="XEB796"/>
      <c r="XEC796"/>
      <c r="XED796"/>
      <c r="XEE796"/>
      <c r="XEF796"/>
      <c r="XEG796"/>
      <c r="XEH796"/>
      <c r="XEI796"/>
      <c r="XEJ796"/>
      <c r="XEK796"/>
      <c r="XEL796"/>
      <c r="XEM796"/>
      <c r="XEN796"/>
      <c r="XEO796"/>
      <c r="XEP796"/>
      <c r="XEQ796"/>
      <c r="XER796"/>
      <c r="XES796"/>
      <c r="XET796"/>
      <c r="XEU796"/>
      <c r="XEV796"/>
      <c r="XEW796"/>
      <c r="XEX796"/>
      <c r="XEY796"/>
      <c r="XEZ796"/>
      <c r="XFA796"/>
      <c r="XFB796"/>
      <c r="XFC796"/>
      <c r="XFD796"/>
    </row>
    <row r="797" spans="1:18 16327:16384" s="26" customFormat="1" ht="29.1" customHeight="1" outlineLevel="3" x14ac:dyDescent="0.25">
      <c r="A797" s="42" t="s">
        <v>1346</v>
      </c>
      <c r="B797" s="43"/>
      <c r="C797" s="66" t="s">
        <v>1347</v>
      </c>
      <c r="D797" s="66"/>
      <c r="E797" s="43" t="s">
        <v>34</v>
      </c>
      <c r="F797" s="44"/>
      <c r="G797" s="43" t="s">
        <v>31</v>
      </c>
      <c r="H797" s="45">
        <v>1</v>
      </c>
      <c r="I797" s="46">
        <f>3</f>
        <v>3</v>
      </c>
      <c r="J797" s="23"/>
      <c r="K797" s="47"/>
      <c r="L797" s="48"/>
      <c r="M797" s="49"/>
      <c r="N797" s="49">
        <f t="shared" si="25"/>
        <v>0</v>
      </c>
      <c r="O797" s="49"/>
      <c r="P797" s="49"/>
      <c r="Q797" s="49"/>
      <c r="R797" s="23"/>
      <c r="XCY797"/>
      <c r="XCZ797"/>
      <c r="XDA797"/>
      <c r="XDB797"/>
      <c r="XDC797"/>
      <c r="XDD797"/>
      <c r="XDE797"/>
      <c r="XDF797"/>
      <c r="XDG797"/>
      <c r="XDH797"/>
      <c r="XDI797"/>
      <c r="XDJ797"/>
      <c r="XDK797"/>
      <c r="XDL797"/>
      <c r="XDM797"/>
      <c r="XDN797"/>
      <c r="XDO797"/>
      <c r="XDP797"/>
      <c r="XDQ797"/>
      <c r="XDR797"/>
      <c r="XDS797"/>
      <c r="XDT797"/>
      <c r="XDU797"/>
      <c r="XDV797"/>
      <c r="XDW797"/>
      <c r="XDX797"/>
      <c r="XDY797"/>
      <c r="XDZ797"/>
      <c r="XEA797"/>
      <c r="XEB797"/>
      <c r="XEC797"/>
      <c r="XED797"/>
      <c r="XEE797"/>
      <c r="XEF797"/>
      <c r="XEG797"/>
      <c r="XEH797"/>
      <c r="XEI797"/>
      <c r="XEJ797"/>
      <c r="XEK797"/>
      <c r="XEL797"/>
      <c r="XEM797"/>
      <c r="XEN797"/>
      <c r="XEO797"/>
      <c r="XEP797"/>
      <c r="XEQ797"/>
      <c r="XER797"/>
      <c r="XES797"/>
      <c r="XET797"/>
      <c r="XEU797"/>
      <c r="XEV797"/>
      <c r="XEW797"/>
      <c r="XEX797"/>
      <c r="XEY797"/>
      <c r="XEZ797"/>
      <c r="XFA797"/>
      <c r="XFB797"/>
      <c r="XFC797"/>
      <c r="XFD797"/>
    </row>
    <row r="798" spans="1:18 16327:16384" s="26" customFormat="1" ht="29.1" customHeight="1" outlineLevel="2" x14ac:dyDescent="0.25">
      <c r="A798" s="34" t="s">
        <v>1348</v>
      </c>
      <c r="B798" s="35"/>
      <c r="C798" s="65" t="s">
        <v>50</v>
      </c>
      <c r="D798" s="65"/>
      <c r="E798" s="35"/>
      <c r="F798" s="36"/>
      <c r="G798" s="35" t="s">
        <v>31</v>
      </c>
      <c r="H798" s="37"/>
      <c r="I798" s="38">
        <f>962</f>
        <v>962</v>
      </c>
      <c r="J798" s="23"/>
      <c r="K798" s="39"/>
      <c r="L798" s="40"/>
      <c r="M798" s="41">
        <f>K798+L798</f>
        <v>0</v>
      </c>
      <c r="N798" s="41">
        <f t="shared" si="25"/>
        <v>0</v>
      </c>
      <c r="O798" s="41">
        <f>ROUND((I798*L798),2)</f>
        <v>0</v>
      </c>
      <c r="P798" s="41">
        <f>ROUND((I798*M798),2)</f>
        <v>0</v>
      </c>
      <c r="Q798" s="41"/>
      <c r="R798" s="23"/>
      <c r="XCY798"/>
      <c r="XCZ798"/>
      <c r="XDA798"/>
      <c r="XDB798"/>
      <c r="XDC798"/>
      <c r="XDD798"/>
      <c r="XDE798"/>
      <c r="XDF798"/>
      <c r="XDG798"/>
      <c r="XDH798"/>
      <c r="XDI798"/>
      <c r="XDJ798"/>
      <c r="XDK798"/>
      <c r="XDL798"/>
      <c r="XDM798"/>
      <c r="XDN798"/>
      <c r="XDO798"/>
      <c r="XDP798"/>
      <c r="XDQ798"/>
      <c r="XDR798"/>
      <c r="XDS798"/>
      <c r="XDT798"/>
      <c r="XDU798"/>
      <c r="XDV798"/>
      <c r="XDW798"/>
      <c r="XDX798"/>
      <c r="XDY798"/>
      <c r="XDZ798"/>
      <c r="XEA798"/>
      <c r="XEB798"/>
      <c r="XEC798"/>
      <c r="XED798"/>
      <c r="XEE798"/>
      <c r="XEF798"/>
      <c r="XEG798"/>
      <c r="XEH798"/>
      <c r="XEI798"/>
      <c r="XEJ798"/>
      <c r="XEK798"/>
      <c r="XEL798"/>
      <c r="XEM798"/>
      <c r="XEN798"/>
      <c r="XEO798"/>
      <c r="XEP798"/>
      <c r="XEQ798"/>
      <c r="XER798"/>
      <c r="XES798"/>
      <c r="XET798"/>
      <c r="XEU798"/>
      <c r="XEV798"/>
      <c r="XEW798"/>
      <c r="XEX798"/>
      <c r="XEY798"/>
      <c r="XEZ798"/>
      <c r="XFA798"/>
      <c r="XFB798"/>
      <c r="XFC798"/>
      <c r="XFD798"/>
    </row>
    <row r="799" spans="1:18 16327:16384" s="26" customFormat="1" ht="29.1" customHeight="1" outlineLevel="3" x14ac:dyDescent="0.25">
      <c r="A799" s="42" t="s">
        <v>1349</v>
      </c>
      <c r="B799" s="43"/>
      <c r="C799" s="66" t="s">
        <v>1350</v>
      </c>
      <c r="D799" s="66"/>
      <c r="E799" s="43" t="s">
        <v>34</v>
      </c>
      <c r="F799" s="44"/>
      <c r="G799" s="43" t="s">
        <v>31</v>
      </c>
      <c r="H799" s="45">
        <v>1</v>
      </c>
      <c r="I799" s="46">
        <f>962</f>
        <v>962</v>
      </c>
      <c r="J799" s="23"/>
      <c r="K799" s="47"/>
      <c r="L799" s="48"/>
      <c r="M799" s="49"/>
      <c r="N799" s="49">
        <f t="shared" si="25"/>
        <v>0</v>
      </c>
      <c r="O799" s="49"/>
      <c r="P799" s="49"/>
      <c r="Q799" s="49"/>
      <c r="R799" s="23"/>
      <c r="XCY799"/>
      <c r="XCZ799"/>
      <c r="XDA799"/>
      <c r="XDB799"/>
      <c r="XDC799"/>
      <c r="XDD799"/>
      <c r="XDE799"/>
      <c r="XDF799"/>
      <c r="XDG799"/>
      <c r="XDH799"/>
      <c r="XDI799"/>
      <c r="XDJ799"/>
      <c r="XDK799"/>
      <c r="XDL799"/>
      <c r="XDM799"/>
      <c r="XDN799"/>
      <c r="XDO799"/>
      <c r="XDP799"/>
      <c r="XDQ799"/>
      <c r="XDR799"/>
      <c r="XDS799"/>
      <c r="XDT799"/>
      <c r="XDU799"/>
      <c r="XDV799"/>
      <c r="XDW799"/>
      <c r="XDX799"/>
      <c r="XDY799"/>
      <c r="XDZ799"/>
      <c r="XEA799"/>
      <c r="XEB799"/>
      <c r="XEC799"/>
      <c r="XED799"/>
      <c r="XEE799"/>
      <c r="XEF799"/>
      <c r="XEG799"/>
      <c r="XEH799"/>
      <c r="XEI799"/>
      <c r="XEJ799"/>
      <c r="XEK799"/>
      <c r="XEL799"/>
      <c r="XEM799"/>
      <c r="XEN799"/>
      <c r="XEO799"/>
      <c r="XEP799"/>
      <c r="XEQ799"/>
      <c r="XER799"/>
      <c r="XES799"/>
      <c r="XET799"/>
      <c r="XEU799"/>
      <c r="XEV799"/>
      <c r="XEW799"/>
      <c r="XEX799"/>
      <c r="XEY799"/>
      <c r="XEZ799"/>
      <c r="XFA799"/>
      <c r="XFB799"/>
      <c r="XFC799"/>
      <c r="XFD799"/>
    </row>
    <row r="800" spans="1:18 16327:16384" s="26" customFormat="1" ht="29.1" customHeight="1" outlineLevel="2" x14ac:dyDescent="0.25">
      <c r="A800" s="34" t="s">
        <v>1351</v>
      </c>
      <c r="B800" s="35"/>
      <c r="C800" s="65" t="s">
        <v>69</v>
      </c>
      <c r="D800" s="65"/>
      <c r="E800" s="35"/>
      <c r="F800" s="36" t="s">
        <v>1352</v>
      </c>
      <c r="G800" s="35" t="s">
        <v>65</v>
      </c>
      <c r="H800" s="37"/>
      <c r="I800" s="38">
        <f>100</f>
        <v>100</v>
      </c>
      <c r="J800" s="23"/>
      <c r="K800" s="39"/>
      <c r="L800" s="40"/>
      <c r="M800" s="41"/>
      <c r="N800" s="41"/>
      <c r="O800" s="41"/>
      <c r="P800" s="41"/>
      <c r="Q800" s="41"/>
      <c r="R800" s="23"/>
      <c r="XCY800"/>
      <c r="XCZ800"/>
      <c r="XDA800"/>
      <c r="XDB800"/>
      <c r="XDC800"/>
      <c r="XDD800"/>
      <c r="XDE800"/>
      <c r="XDF800"/>
      <c r="XDG800"/>
      <c r="XDH800"/>
      <c r="XDI800"/>
      <c r="XDJ800"/>
      <c r="XDK800"/>
      <c r="XDL800"/>
      <c r="XDM800"/>
      <c r="XDN800"/>
      <c r="XDO800"/>
      <c r="XDP800"/>
      <c r="XDQ800"/>
      <c r="XDR800"/>
      <c r="XDS800"/>
      <c r="XDT800"/>
      <c r="XDU800"/>
      <c r="XDV800"/>
      <c r="XDW800"/>
      <c r="XDX800"/>
      <c r="XDY800"/>
      <c r="XDZ800"/>
      <c r="XEA800"/>
      <c r="XEB800"/>
      <c r="XEC800"/>
      <c r="XED800"/>
      <c r="XEE800"/>
      <c r="XEF800"/>
      <c r="XEG800"/>
      <c r="XEH800"/>
      <c r="XEI800"/>
      <c r="XEJ800"/>
      <c r="XEK800"/>
      <c r="XEL800"/>
      <c r="XEM800"/>
      <c r="XEN800"/>
      <c r="XEO800"/>
      <c r="XEP800"/>
      <c r="XEQ800"/>
      <c r="XER800"/>
      <c r="XES800"/>
      <c r="XET800"/>
      <c r="XEU800"/>
      <c r="XEV800"/>
      <c r="XEW800"/>
      <c r="XEX800"/>
      <c r="XEY800"/>
      <c r="XEZ800"/>
      <c r="XFA800"/>
      <c r="XFB800"/>
      <c r="XFC800"/>
      <c r="XFD800"/>
    </row>
    <row r="801" spans="1:18 16327:16384" s="26" customFormat="1" ht="29.1" customHeight="1" outlineLevel="3" x14ac:dyDescent="0.25">
      <c r="A801" s="42" t="s">
        <v>1353</v>
      </c>
      <c r="B801" s="43"/>
      <c r="C801" s="66" t="s">
        <v>1354</v>
      </c>
      <c r="D801" s="66"/>
      <c r="E801" s="43" t="s">
        <v>34</v>
      </c>
      <c r="F801" s="44" t="s">
        <v>1355</v>
      </c>
      <c r="G801" s="43" t="s">
        <v>65</v>
      </c>
      <c r="H801" s="45">
        <v>1.02</v>
      </c>
      <c r="I801" s="46">
        <f>102</f>
        <v>102</v>
      </c>
      <c r="J801" s="23"/>
      <c r="K801" s="47"/>
      <c r="L801" s="48"/>
      <c r="M801" s="49"/>
      <c r="N801" s="49">
        <f t="shared" si="25"/>
        <v>0</v>
      </c>
      <c r="O801" s="49"/>
      <c r="P801" s="49"/>
      <c r="Q801" s="49"/>
      <c r="R801" s="23"/>
      <c r="XCY801"/>
      <c r="XCZ801"/>
      <c r="XDA801"/>
      <c r="XDB801"/>
      <c r="XDC801"/>
      <c r="XDD801"/>
      <c r="XDE801"/>
      <c r="XDF801"/>
      <c r="XDG801"/>
      <c r="XDH801"/>
      <c r="XDI801"/>
      <c r="XDJ801"/>
      <c r="XDK801"/>
      <c r="XDL801"/>
      <c r="XDM801"/>
      <c r="XDN801"/>
      <c r="XDO801"/>
      <c r="XDP801"/>
      <c r="XDQ801"/>
      <c r="XDR801"/>
      <c r="XDS801"/>
      <c r="XDT801"/>
      <c r="XDU801"/>
      <c r="XDV801"/>
      <c r="XDW801"/>
      <c r="XDX801"/>
      <c r="XDY801"/>
      <c r="XDZ801"/>
      <c r="XEA801"/>
      <c r="XEB801"/>
      <c r="XEC801"/>
      <c r="XED801"/>
      <c r="XEE801"/>
      <c r="XEF801"/>
      <c r="XEG801"/>
      <c r="XEH801"/>
      <c r="XEI801"/>
      <c r="XEJ801"/>
      <c r="XEK801"/>
      <c r="XEL801"/>
      <c r="XEM801"/>
      <c r="XEN801"/>
      <c r="XEO801"/>
      <c r="XEP801"/>
      <c r="XEQ801"/>
      <c r="XER801"/>
      <c r="XES801"/>
      <c r="XET801"/>
      <c r="XEU801"/>
      <c r="XEV801"/>
      <c r="XEW801"/>
      <c r="XEX801"/>
      <c r="XEY801"/>
      <c r="XEZ801"/>
      <c r="XFA801"/>
      <c r="XFB801"/>
      <c r="XFC801"/>
      <c r="XFD801"/>
    </row>
    <row r="802" spans="1:18 16327:16384" s="26" customFormat="1" ht="29.1" customHeight="1" outlineLevel="2" x14ac:dyDescent="0.25">
      <c r="A802" s="34" t="s">
        <v>1356</v>
      </c>
      <c r="B802" s="35"/>
      <c r="C802" s="65" t="s">
        <v>1357</v>
      </c>
      <c r="D802" s="65"/>
      <c r="E802" s="35"/>
      <c r="F802" s="36"/>
      <c r="G802" s="35" t="s">
        <v>65</v>
      </c>
      <c r="H802" s="37"/>
      <c r="I802" s="38">
        <f>9331</f>
        <v>9331</v>
      </c>
      <c r="J802" s="23"/>
      <c r="K802" s="39"/>
      <c r="L802" s="40"/>
      <c r="M802" s="41"/>
      <c r="N802" s="41"/>
      <c r="O802" s="41"/>
      <c r="P802" s="41"/>
      <c r="Q802" s="41"/>
      <c r="R802" s="23"/>
      <c r="XCY802"/>
      <c r="XCZ802"/>
      <c r="XDA802"/>
      <c r="XDB802"/>
      <c r="XDC802"/>
      <c r="XDD802"/>
      <c r="XDE802"/>
      <c r="XDF802"/>
      <c r="XDG802"/>
      <c r="XDH802"/>
      <c r="XDI802"/>
      <c r="XDJ802"/>
      <c r="XDK802"/>
      <c r="XDL802"/>
      <c r="XDM802"/>
      <c r="XDN802"/>
      <c r="XDO802"/>
      <c r="XDP802"/>
      <c r="XDQ802"/>
      <c r="XDR802"/>
      <c r="XDS802"/>
      <c r="XDT802"/>
      <c r="XDU802"/>
      <c r="XDV802"/>
      <c r="XDW802"/>
      <c r="XDX802"/>
      <c r="XDY802"/>
      <c r="XDZ802"/>
      <c r="XEA802"/>
      <c r="XEB802"/>
      <c r="XEC802"/>
      <c r="XED802"/>
      <c r="XEE802"/>
      <c r="XEF802"/>
      <c r="XEG802"/>
      <c r="XEH802"/>
      <c r="XEI802"/>
      <c r="XEJ802"/>
      <c r="XEK802"/>
      <c r="XEL802"/>
      <c r="XEM802"/>
      <c r="XEN802"/>
      <c r="XEO802"/>
      <c r="XEP802"/>
      <c r="XEQ802"/>
      <c r="XER802"/>
      <c r="XES802"/>
      <c r="XET802"/>
      <c r="XEU802"/>
      <c r="XEV802"/>
      <c r="XEW802"/>
      <c r="XEX802"/>
      <c r="XEY802"/>
      <c r="XEZ802"/>
      <c r="XFA802"/>
      <c r="XFB802"/>
      <c r="XFC802"/>
      <c r="XFD802"/>
    </row>
    <row r="803" spans="1:18 16327:16384" s="26" customFormat="1" ht="29.1" customHeight="1" outlineLevel="3" x14ac:dyDescent="0.25">
      <c r="A803" s="42" t="s">
        <v>1358</v>
      </c>
      <c r="B803" s="43"/>
      <c r="C803" s="66" t="s">
        <v>1359</v>
      </c>
      <c r="D803" s="66"/>
      <c r="E803" s="43" t="s">
        <v>34</v>
      </c>
      <c r="F803" s="44"/>
      <c r="G803" s="43" t="s">
        <v>65</v>
      </c>
      <c r="H803" s="45">
        <v>1.02</v>
      </c>
      <c r="I803" s="46">
        <f>9517.62</f>
        <v>9517.6200000000008</v>
      </c>
      <c r="J803" s="23"/>
      <c r="K803" s="47"/>
      <c r="L803" s="48"/>
      <c r="M803" s="49"/>
      <c r="N803" s="49">
        <f t="shared" si="25"/>
        <v>0</v>
      </c>
      <c r="O803" s="49"/>
      <c r="P803" s="49"/>
      <c r="Q803" s="49"/>
      <c r="R803" s="23"/>
      <c r="XCY803"/>
      <c r="XCZ803"/>
      <c r="XDA803"/>
      <c r="XDB803"/>
      <c r="XDC803"/>
      <c r="XDD803"/>
      <c r="XDE803"/>
      <c r="XDF803"/>
      <c r="XDG803"/>
      <c r="XDH803"/>
      <c r="XDI803"/>
      <c r="XDJ803"/>
      <c r="XDK803"/>
      <c r="XDL803"/>
      <c r="XDM803"/>
      <c r="XDN803"/>
      <c r="XDO803"/>
      <c r="XDP803"/>
      <c r="XDQ803"/>
      <c r="XDR803"/>
      <c r="XDS803"/>
      <c r="XDT803"/>
      <c r="XDU803"/>
      <c r="XDV803"/>
      <c r="XDW803"/>
      <c r="XDX803"/>
      <c r="XDY803"/>
      <c r="XDZ803"/>
      <c r="XEA803"/>
      <c r="XEB803"/>
      <c r="XEC803"/>
      <c r="XED803"/>
      <c r="XEE803"/>
      <c r="XEF803"/>
      <c r="XEG803"/>
      <c r="XEH803"/>
      <c r="XEI803"/>
      <c r="XEJ803"/>
      <c r="XEK803"/>
      <c r="XEL803"/>
      <c r="XEM803"/>
      <c r="XEN803"/>
      <c r="XEO803"/>
      <c r="XEP803"/>
      <c r="XEQ803"/>
      <c r="XER803"/>
      <c r="XES803"/>
      <c r="XET803"/>
      <c r="XEU803"/>
      <c r="XEV803"/>
      <c r="XEW803"/>
      <c r="XEX803"/>
      <c r="XEY803"/>
      <c r="XEZ803"/>
      <c r="XFA803"/>
      <c r="XFB803"/>
      <c r="XFC803"/>
      <c r="XFD803"/>
    </row>
    <row r="804" spans="1:18 16327:16384" s="26" customFormat="1" ht="29.1" customHeight="1" outlineLevel="2" x14ac:dyDescent="0.25">
      <c r="A804" s="34" t="s">
        <v>1360</v>
      </c>
      <c r="B804" s="35"/>
      <c r="C804" s="65" t="s">
        <v>69</v>
      </c>
      <c r="D804" s="65"/>
      <c r="E804" s="35"/>
      <c r="F804" s="36"/>
      <c r="G804" s="35" t="s">
        <v>65</v>
      </c>
      <c r="H804" s="37"/>
      <c r="I804" s="38">
        <f>2352</f>
        <v>2352</v>
      </c>
      <c r="J804" s="23"/>
      <c r="K804" s="39"/>
      <c r="L804" s="40"/>
      <c r="M804" s="41"/>
      <c r="N804" s="41"/>
      <c r="O804" s="41"/>
      <c r="P804" s="41"/>
      <c r="Q804" s="41"/>
      <c r="R804" s="23"/>
      <c r="XCY804"/>
      <c r="XCZ804"/>
      <c r="XDA804"/>
      <c r="XDB804"/>
      <c r="XDC804"/>
      <c r="XDD804"/>
      <c r="XDE804"/>
      <c r="XDF804"/>
      <c r="XDG804"/>
      <c r="XDH804"/>
      <c r="XDI804"/>
      <c r="XDJ804"/>
      <c r="XDK804"/>
      <c r="XDL804"/>
      <c r="XDM804"/>
      <c r="XDN804"/>
      <c r="XDO804"/>
      <c r="XDP804"/>
      <c r="XDQ804"/>
      <c r="XDR804"/>
      <c r="XDS804"/>
      <c r="XDT804"/>
      <c r="XDU804"/>
      <c r="XDV804"/>
      <c r="XDW804"/>
      <c r="XDX804"/>
      <c r="XDY804"/>
      <c r="XDZ804"/>
      <c r="XEA804"/>
      <c r="XEB804"/>
      <c r="XEC804"/>
      <c r="XED804"/>
      <c r="XEE804"/>
      <c r="XEF804"/>
      <c r="XEG804"/>
      <c r="XEH804"/>
      <c r="XEI804"/>
      <c r="XEJ804"/>
      <c r="XEK804"/>
      <c r="XEL804"/>
      <c r="XEM804"/>
      <c r="XEN804"/>
      <c r="XEO804"/>
      <c r="XEP804"/>
      <c r="XEQ804"/>
      <c r="XER804"/>
      <c r="XES804"/>
      <c r="XET804"/>
      <c r="XEU804"/>
      <c r="XEV804"/>
      <c r="XEW804"/>
      <c r="XEX804"/>
      <c r="XEY804"/>
      <c r="XEZ804"/>
      <c r="XFA804"/>
      <c r="XFB804"/>
      <c r="XFC804"/>
      <c r="XFD804"/>
    </row>
    <row r="805" spans="1:18 16327:16384" s="26" customFormat="1" ht="29.1" customHeight="1" outlineLevel="3" x14ac:dyDescent="0.25">
      <c r="A805" s="42" t="s">
        <v>1361</v>
      </c>
      <c r="B805" s="43"/>
      <c r="C805" s="66" t="s">
        <v>1362</v>
      </c>
      <c r="D805" s="66"/>
      <c r="E805" s="43" t="s">
        <v>34</v>
      </c>
      <c r="F805" s="44"/>
      <c r="G805" s="43" t="s">
        <v>65</v>
      </c>
      <c r="H805" s="45">
        <v>1.02</v>
      </c>
      <c r="I805" s="46">
        <f>2399.04</f>
        <v>2399.04</v>
      </c>
      <c r="J805" s="23"/>
      <c r="K805" s="47"/>
      <c r="L805" s="48"/>
      <c r="M805" s="49"/>
      <c r="N805" s="49">
        <f t="shared" si="25"/>
        <v>0</v>
      </c>
      <c r="O805" s="49"/>
      <c r="P805" s="49"/>
      <c r="Q805" s="49"/>
      <c r="R805" s="23"/>
      <c r="XCY805"/>
      <c r="XCZ805"/>
      <c r="XDA805"/>
      <c r="XDB805"/>
      <c r="XDC805"/>
      <c r="XDD805"/>
      <c r="XDE805"/>
      <c r="XDF805"/>
      <c r="XDG805"/>
      <c r="XDH805"/>
      <c r="XDI805"/>
      <c r="XDJ805"/>
      <c r="XDK805"/>
      <c r="XDL805"/>
      <c r="XDM805"/>
      <c r="XDN805"/>
      <c r="XDO805"/>
      <c r="XDP805"/>
      <c r="XDQ805"/>
      <c r="XDR805"/>
      <c r="XDS805"/>
      <c r="XDT805"/>
      <c r="XDU805"/>
      <c r="XDV805"/>
      <c r="XDW805"/>
      <c r="XDX805"/>
      <c r="XDY805"/>
      <c r="XDZ805"/>
      <c r="XEA805"/>
      <c r="XEB805"/>
      <c r="XEC805"/>
      <c r="XED805"/>
      <c r="XEE805"/>
      <c r="XEF805"/>
      <c r="XEG805"/>
      <c r="XEH805"/>
      <c r="XEI805"/>
      <c r="XEJ805"/>
      <c r="XEK805"/>
      <c r="XEL805"/>
      <c r="XEM805"/>
      <c r="XEN805"/>
      <c r="XEO805"/>
      <c r="XEP805"/>
      <c r="XEQ805"/>
      <c r="XER805"/>
      <c r="XES805"/>
      <c r="XET805"/>
      <c r="XEU805"/>
      <c r="XEV805"/>
      <c r="XEW805"/>
      <c r="XEX805"/>
      <c r="XEY805"/>
      <c r="XEZ805"/>
      <c r="XFA805"/>
      <c r="XFB805"/>
      <c r="XFC805"/>
      <c r="XFD805"/>
    </row>
    <row r="806" spans="1:18 16327:16384" s="26" customFormat="1" ht="29.1" customHeight="1" outlineLevel="2" x14ac:dyDescent="0.25">
      <c r="A806" s="34" t="s">
        <v>1363</v>
      </c>
      <c r="B806" s="35"/>
      <c r="C806" s="65" t="s">
        <v>1364</v>
      </c>
      <c r="D806" s="65"/>
      <c r="E806" s="35"/>
      <c r="F806" s="36" t="s">
        <v>1352</v>
      </c>
      <c r="G806" s="35" t="s">
        <v>65</v>
      </c>
      <c r="H806" s="37"/>
      <c r="I806" s="38">
        <f>20</f>
        <v>20</v>
      </c>
      <c r="J806" s="23"/>
      <c r="K806" s="39"/>
      <c r="L806" s="40"/>
      <c r="M806" s="41"/>
      <c r="N806" s="41"/>
      <c r="O806" s="41"/>
      <c r="P806" s="41"/>
      <c r="Q806" s="41"/>
      <c r="R806" s="23"/>
      <c r="XCY806"/>
      <c r="XCZ806"/>
      <c r="XDA806"/>
      <c r="XDB806"/>
      <c r="XDC806"/>
      <c r="XDD806"/>
      <c r="XDE806"/>
      <c r="XDF806"/>
      <c r="XDG806"/>
      <c r="XDH806"/>
      <c r="XDI806"/>
      <c r="XDJ806"/>
      <c r="XDK806"/>
      <c r="XDL806"/>
      <c r="XDM806"/>
      <c r="XDN806"/>
      <c r="XDO806"/>
      <c r="XDP806"/>
      <c r="XDQ806"/>
      <c r="XDR806"/>
      <c r="XDS806"/>
      <c r="XDT806"/>
      <c r="XDU806"/>
      <c r="XDV806"/>
      <c r="XDW806"/>
      <c r="XDX806"/>
      <c r="XDY806"/>
      <c r="XDZ806"/>
      <c r="XEA806"/>
      <c r="XEB806"/>
      <c r="XEC806"/>
      <c r="XED806"/>
      <c r="XEE806"/>
      <c r="XEF806"/>
      <c r="XEG806"/>
      <c r="XEH806"/>
      <c r="XEI806"/>
      <c r="XEJ806"/>
      <c r="XEK806"/>
      <c r="XEL806"/>
      <c r="XEM806"/>
      <c r="XEN806"/>
      <c r="XEO806"/>
      <c r="XEP806"/>
      <c r="XEQ806"/>
      <c r="XER806"/>
      <c r="XES806"/>
      <c r="XET806"/>
      <c r="XEU806"/>
      <c r="XEV806"/>
      <c r="XEW806"/>
      <c r="XEX806"/>
      <c r="XEY806"/>
      <c r="XEZ806"/>
      <c r="XFA806"/>
      <c r="XFB806"/>
      <c r="XFC806"/>
      <c r="XFD806"/>
    </row>
    <row r="807" spans="1:18 16327:16384" s="26" customFormat="1" ht="29.1" customHeight="1" outlineLevel="3" x14ac:dyDescent="0.25">
      <c r="A807" s="42" t="s">
        <v>1365</v>
      </c>
      <c r="B807" s="43"/>
      <c r="C807" s="66" t="s">
        <v>1366</v>
      </c>
      <c r="D807" s="66"/>
      <c r="E807" s="43" t="s">
        <v>34</v>
      </c>
      <c r="F807" s="44" t="s">
        <v>1367</v>
      </c>
      <c r="G807" s="43" t="s">
        <v>65</v>
      </c>
      <c r="H807" s="45">
        <v>1.02</v>
      </c>
      <c r="I807" s="46">
        <f>20.4</f>
        <v>20.399999999999999</v>
      </c>
      <c r="J807" s="23"/>
      <c r="K807" s="47"/>
      <c r="L807" s="48"/>
      <c r="M807" s="49"/>
      <c r="N807" s="49">
        <f t="shared" ref="N807:N822" si="26">ROUND((I807*K807),2)</f>
        <v>0</v>
      </c>
      <c r="O807" s="49"/>
      <c r="P807" s="49"/>
      <c r="Q807" s="49"/>
      <c r="R807" s="23"/>
      <c r="XCY807"/>
      <c r="XCZ807"/>
      <c r="XDA807"/>
      <c r="XDB807"/>
      <c r="XDC807"/>
      <c r="XDD807"/>
      <c r="XDE807"/>
      <c r="XDF807"/>
      <c r="XDG807"/>
      <c r="XDH807"/>
      <c r="XDI807"/>
      <c r="XDJ807"/>
      <c r="XDK807"/>
      <c r="XDL807"/>
      <c r="XDM807"/>
      <c r="XDN807"/>
      <c r="XDO807"/>
      <c r="XDP807"/>
      <c r="XDQ807"/>
      <c r="XDR807"/>
      <c r="XDS807"/>
      <c r="XDT807"/>
      <c r="XDU807"/>
      <c r="XDV807"/>
      <c r="XDW807"/>
      <c r="XDX807"/>
      <c r="XDY807"/>
      <c r="XDZ807"/>
      <c r="XEA807"/>
      <c r="XEB807"/>
      <c r="XEC807"/>
      <c r="XED807"/>
      <c r="XEE807"/>
      <c r="XEF807"/>
      <c r="XEG807"/>
      <c r="XEH807"/>
      <c r="XEI807"/>
      <c r="XEJ807"/>
      <c r="XEK807"/>
      <c r="XEL807"/>
      <c r="XEM807"/>
      <c r="XEN807"/>
      <c r="XEO807"/>
      <c r="XEP807"/>
      <c r="XEQ807"/>
      <c r="XER807"/>
      <c r="XES807"/>
      <c r="XET807"/>
      <c r="XEU807"/>
      <c r="XEV807"/>
      <c r="XEW807"/>
      <c r="XEX807"/>
      <c r="XEY807"/>
      <c r="XEZ807"/>
      <c r="XFA807"/>
      <c r="XFB807"/>
      <c r="XFC807"/>
      <c r="XFD807"/>
    </row>
    <row r="808" spans="1:18 16327:16384" s="26" customFormat="1" ht="29.1" customHeight="1" outlineLevel="2" x14ac:dyDescent="0.25">
      <c r="A808" s="34" t="s">
        <v>1368</v>
      </c>
      <c r="B808" s="35"/>
      <c r="C808" s="65" t="s">
        <v>69</v>
      </c>
      <c r="D808" s="65"/>
      <c r="E808" s="35"/>
      <c r="F808" s="36"/>
      <c r="G808" s="35" t="s">
        <v>65</v>
      </c>
      <c r="H808" s="37"/>
      <c r="I808" s="38">
        <f>440</f>
        <v>440</v>
      </c>
      <c r="J808" s="23"/>
      <c r="K808" s="39"/>
      <c r="L808" s="40"/>
      <c r="M808" s="41"/>
      <c r="N808" s="41"/>
      <c r="O808" s="41"/>
      <c r="P808" s="41"/>
      <c r="Q808" s="41"/>
      <c r="R808" s="23"/>
      <c r="XCY808"/>
      <c r="XCZ808"/>
      <c r="XDA808"/>
      <c r="XDB808"/>
      <c r="XDC808"/>
      <c r="XDD808"/>
      <c r="XDE808"/>
      <c r="XDF808"/>
      <c r="XDG808"/>
      <c r="XDH808"/>
      <c r="XDI808"/>
      <c r="XDJ808"/>
      <c r="XDK808"/>
      <c r="XDL808"/>
      <c r="XDM808"/>
      <c r="XDN808"/>
      <c r="XDO808"/>
      <c r="XDP808"/>
      <c r="XDQ808"/>
      <c r="XDR808"/>
      <c r="XDS808"/>
      <c r="XDT808"/>
      <c r="XDU808"/>
      <c r="XDV808"/>
      <c r="XDW808"/>
      <c r="XDX808"/>
      <c r="XDY808"/>
      <c r="XDZ808"/>
      <c r="XEA808"/>
      <c r="XEB808"/>
      <c r="XEC808"/>
      <c r="XED808"/>
      <c r="XEE808"/>
      <c r="XEF808"/>
      <c r="XEG808"/>
      <c r="XEH808"/>
      <c r="XEI808"/>
      <c r="XEJ808"/>
      <c r="XEK808"/>
      <c r="XEL808"/>
      <c r="XEM808"/>
      <c r="XEN808"/>
      <c r="XEO808"/>
      <c r="XEP808"/>
      <c r="XEQ808"/>
      <c r="XER808"/>
      <c r="XES808"/>
      <c r="XET808"/>
      <c r="XEU808"/>
      <c r="XEV808"/>
      <c r="XEW808"/>
      <c r="XEX808"/>
      <c r="XEY808"/>
      <c r="XEZ808"/>
      <c r="XFA808"/>
      <c r="XFB808"/>
      <c r="XFC808"/>
      <c r="XFD808"/>
    </row>
    <row r="809" spans="1:18 16327:16384" s="26" customFormat="1" ht="29.1" customHeight="1" outlineLevel="3" x14ac:dyDescent="0.25">
      <c r="A809" s="42" t="s">
        <v>1369</v>
      </c>
      <c r="B809" s="43"/>
      <c r="C809" s="66" t="s">
        <v>1370</v>
      </c>
      <c r="D809" s="66"/>
      <c r="E809" s="43" t="s">
        <v>34</v>
      </c>
      <c r="F809" s="44"/>
      <c r="G809" s="43" t="s">
        <v>65</v>
      </c>
      <c r="H809" s="45">
        <v>1.02</v>
      </c>
      <c r="I809" s="46">
        <f>448.8</f>
        <v>448.8</v>
      </c>
      <c r="J809" s="23"/>
      <c r="K809" s="47"/>
      <c r="L809" s="48"/>
      <c r="M809" s="49"/>
      <c r="N809" s="49">
        <f t="shared" si="26"/>
        <v>0</v>
      </c>
      <c r="O809" s="49"/>
      <c r="P809" s="49"/>
      <c r="Q809" s="49"/>
      <c r="R809" s="23"/>
      <c r="XCY809"/>
      <c r="XCZ809"/>
      <c r="XDA809"/>
      <c r="XDB809"/>
      <c r="XDC809"/>
      <c r="XDD809"/>
      <c r="XDE809"/>
      <c r="XDF809"/>
      <c r="XDG809"/>
      <c r="XDH809"/>
      <c r="XDI809"/>
      <c r="XDJ809"/>
      <c r="XDK809"/>
      <c r="XDL809"/>
      <c r="XDM809"/>
      <c r="XDN809"/>
      <c r="XDO809"/>
      <c r="XDP809"/>
      <c r="XDQ809"/>
      <c r="XDR809"/>
      <c r="XDS809"/>
      <c r="XDT809"/>
      <c r="XDU809"/>
      <c r="XDV809"/>
      <c r="XDW809"/>
      <c r="XDX809"/>
      <c r="XDY809"/>
      <c r="XDZ809"/>
      <c r="XEA809"/>
      <c r="XEB809"/>
      <c r="XEC809"/>
      <c r="XED809"/>
      <c r="XEE809"/>
      <c r="XEF809"/>
      <c r="XEG809"/>
      <c r="XEH809"/>
      <c r="XEI809"/>
      <c r="XEJ809"/>
      <c r="XEK809"/>
      <c r="XEL809"/>
      <c r="XEM809"/>
      <c r="XEN809"/>
      <c r="XEO809"/>
      <c r="XEP809"/>
      <c r="XEQ809"/>
      <c r="XER809"/>
      <c r="XES809"/>
      <c r="XET809"/>
      <c r="XEU809"/>
      <c r="XEV809"/>
      <c r="XEW809"/>
      <c r="XEX809"/>
      <c r="XEY809"/>
      <c r="XEZ809"/>
      <c r="XFA809"/>
      <c r="XFB809"/>
      <c r="XFC809"/>
      <c r="XFD809"/>
    </row>
    <row r="810" spans="1:18 16327:16384" s="26" customFormat="1" ht="29.1" customHeight="1" outlineLevel="2" x14ac:dyDescent="0.25">
      <c r="A810" s="34" t="s">
        <v>1371</v>
      </c>
      <c r="B810" s="35"/>
      <c r="C810" s="65" t="s">
        <v>69</v>
      </c>
      <c r="D810" s="65"/>
      <c r="E810" s="35"/>
      <c r="F810" s="36" t="s">
        <v>1372</v>
      </c>
      <c r="G810" s="35" t="s">
        <v>65</v>
      </c>
      <c r="H810" s="37"/>
      <c r="I810" s="38">
        <f>100</f>
        <v>100</v>
      </c>
      <c r="J810" s="23"/>
      <c r="K810" s="39"/>
      <c r="L810" s="40"/>
      <c r="M810" s="41"/>
      <c r="N810" s="41"/>
      <c r="O810" s="41"/>
      <c r="P810" s="41"/>
      <c r="Q810" s="41"/>
      <c r="R810" s="23"/>
      <c r="XCY810"/>
      <c r="XCZ810"/>
      <c r="XDA810"/>
      <c r="XDB810"/>
      <c r="XDC810"/>
      <c r="XDD810"/>
      <c r="XDE810"/>
      <c r="XDF810"/>
      <c r="XDG810"/>
      <c r="XDH810"/>
      <c r="XDI810"/>
      <c r="XDJ810"/>
      <c r="XDK810"/>
      <c r="XDL810"/>
      <c r="XDM810"/>
      <c r="XDN810"/>
      <c r="XDO810"/>
      <c r="XDP810"/>
      <c r="XDQ810"/>
      <c r="XDR810"/>
      <c r="XDS810"/>
      <c r="XDT810"/>
      <c r="XDU810"/>
      <c r="XDV810"/>
      <c r="XDW810"/>
      <c r="XDX810"/>
      <c r="XDY810"/>
      <c r="XDZ810"/>
      <c r="XEA810"/>
      <c r="XEB810"/>
      <c r="XEC810"/>
      <c r="XED810"/>
      <c r="XEE810"/>
      <c r="XEF810"/>
      <c r="XEG810"/>
      <c r="XEH810"/>
      <c r="XEI810"/>
      <c r="XEJ810"/>
      <c r="XEK810"/>
      <c r="XEL810"/>
      <c r="XEM810"/>
      <c r="XEN810"/>
      <c r="XEO810"/>
      <c r="XEP810"/>
      <c r="XEQ810"/>
      <c r="XER810"/>
      <c r="XES810"/>
      <c r="XET810"/>
      <c r="XEU810"/>
      <c r="XEV810"/>
      <c r="XEW810"/>
      <c r="XEX810"/>
      <c r="XEY810"/>
      <c r="XEZ810"/>
      <c r="XFA810"/>
      <c r="XFB810"/>
      <c r="XFC810"/>
      <c r="XFD810"/>
    </row>
    <row r="811" spans="1:18 16327:16384" s="26" customFormat="1" ht="29.1" customHeight="1" outlineLevel="3" x14ac:dyDescent="0.25">
      <c r="A811" s="42" t="s">
        <v>1373</v>
      </c>
      <c r="B811" s="43"/>
      <c r="C811" s="66" t="s">
        <v>1374</v>
      </c>
      <c r="D811" s="66"/>
      <c r="E811" s="43" t="s">
        <v>34</v>
      </c>
      <c r="F811" s="44"/>
      <c r="G811" s="43" t="s">
        <v>65</v>
      </c>
      <c r="H811" s="45">
        <v>1.02</v>
      </c>
      <c r="I811" s="46">
        <f>102</f>
        <v>102</v>
      </c>
      <c r="J811" s="23"/>
      <c r="K811" s="47"/>
      <c r="L811" s="48"/>
      <c r="M811" s="49"/>
      <c r="N811" s="49">
        <f t="shared" si="26"/>
        <v>0</v>
      </c>
      <c r="O811" s="49"/>
      <c r="P811" s="49"/>
      <c r="Q811" s="49"/>
      <c r="R811" s="23"/>
      <c r="XCY811"/>
      <c r="XCZ811"/>
      <c r="XDA811"/>
      <c r="XDB811"/>
      <c r="XDC811"/>
      <c r="XDD811"/>
      <c r="XDE811"/>
      <c r="XDF811"/>
      <c r="XDG811"/>
      <c r="XDH811"/>
      <c r="XDI811"/>
      <c r="XDJ811"/>
      <c r="XDK811"/>
      <c r="XDL811"/>
      <c r="XDM811"/>
      <c r="XDN811"/>
      <c r="XDO811"/>
      <c r="XDP811"/>
      <c r="XDQ811"/>
      <c r="XDR811"/>
      <c r="XDS811"/>
      <c r="XDT811"/>
      <c r="XDU811"/>
      <c r="XDV811"/>
      <c r="XDW811"/>
      <c r="XDX811"/>
      <c r="XDY811"/>
      <c r="XDZ811"/>
      <c r="XEA811"/>
      <c r="XEB811"/>
      <c r="XEC811"/>
      <c r="XED811"/>
      <c r="XEE811"/>
      <c r="XEF811"/>
      <c r="XEG811"/>
      <c r="XEH811"/>
      <c r="XEI811"/>
      <c r="XEJ811"/>
      <c r="XEK811"/>
      <c r="XEL811"/>
      <c r="XEM811"/>
      <c r="XEN811"/>
      <c r="XEO811"/>
      <c r="XEP811"/>
      <c r="XEQ811"/>
      <c r="XER811"/>
      <c r="XES811"/>
      <c r="XET811"/>
      <c r="XEU811"/>
      <c r="XEV811"/>
      <c r="XEW811"/>
      <c r="XEX811"/>
      <c r="XEY811"/>
      <c r="XEZ811"/>
      <c r="XFA811"/>
      <c r="XFB811"/>
      <c r="XFC811"/>
      <c r="XFD811"/>
    </row>
    <row r="812" spans="1:18 16327:16384" s="26" customFormat="1" ht="29.1" customHeight="1" outlineLevel="2" x14ac:dyDescent="0.25">
      <c r="A812" s="34" t="s">
        <v>1375</v>
      </c>
      <c r="B812" s="35"/>
      <c r="C812" s="65" t="s">
        <v>79</v>
      </c>
      <c r="D812" s="65"/>
      <c r="E812" s="35"/>
      <c r="F812" s="36"/>
      <c r="G812" s="35" t="s">
        <v>65</v>
      </c>
      <c r="H812" s="37"/>
      <c r="I812" s="38">
        <f>12323</f>
        <v>12323</v>
      </c>
      <c r="J812" s="23"/>
      <c r="K812" s="39"/>
      <c r="L812" s="40"/>
      <c r="M812" s="41">
        <f>K812+L812</f>
        <v>0</v>
      </c>
      <c r="N812" s="41">
        <f t="shared" si="26"/>
        <v>0</v>
      </c>
      <c r="O812" s="41">
        <f>ROUND((I812*L812),2)</f>
        <v>0</v>
      </c>
      <c r="P812" s="41">
        <f>ROUND((I812*M812),2)</f>
        <v>0</v>
      </c>
      <c r="Q812" s="41"/>
      <c r="R812" s="23"/>
      <c r="XCY812"/>
      <c r="XCZ812"/>
      <c r="XDA812"/>
      <c r="XDB812"/>
      <c r="XDC812"/>
      <c r="XDD812"/>
      <c r="XDE812"/>
      <c r="XDF812"/>
      <c r="XDG812"/>
      <c r="XDH812"/>
      <c r="XDI812"/>
      <c r="XDJ812"/>
      <c r="XDK812"/>
      <c r="XDL812"/>
      <c r="XDM812"/>
      <c r="XDN812"/>
      <c r="XDO812"/>
      <c r="XDP812"/>
      <c r="XDQ812"/>
      <c r="XDR812"/>
      <c r="XDS812"/>
      <c r="XDT812"/>
      <c r="XDU812"/>
      <c r="XDV812"/>
      <c r="XDW812"/>
      <c r="XDX812"/>
      <c r="XDY812"/>
      <c r="XDZ812"/>
      <c r="XEA812"/>
      <c r="XEB812"/>
      <c r="XEC812"/>
      <c r="XED812"/>
      <c r="XEE812"/>
      <c r="XEF812"/>
      <c r="XEG812"/>
      <c r="XEH812"/>
      <c r="XEI812"/>
      <c r="XEJ812"/>
      <c r="XEK812"/>
      <c r="XEL812"/>
      <c r="XEM812"/>
      <c r="XEN812"/>
      <c r="XEO812"/>
      <c r="XEP812"/>
      <c r="XEQ812"/>
      <c r="XER812"/>
      <c r="XES812"/>
      <c r="XET812"/>
      <c r="XEU812"/>
      <c r="XEV812"/>
      <c r="XEW812"/>
      <c r="XEX812"/>
      <c r="XEY812"/>
      <c r="XEZ812"/>
      <c r="XFA812"/>
      <c r="XFB812"/>
      <c r="XFC812"/>
      <c r="XFD812"/>
    </row>
    <row r="813" spans="1:18 16327:16384" s="26" customFormat="1" ht="29.1" customHeight="1" outlineLevel="3" x14ac:dyDescent="0.25">
      <c r="A813" s="42" t="s">
        <v>1376</v>
      </c>
      <c r="B813" s="43"/>
      <c r="C813" s="66" t="s">
        <v>1377</v>
      </c>
      <c r="D813" s="66"/>
      <c r="E813" s="43" t="s">
        <v>34</v>
      </c>
      <c r="F813" s="44"/>
      <c r="G813" s="43" t="s">
        <v>65</v>
      </c>
      <c r="H813" s="45">
        <v>1.012</v>
      </c>
      <c r="I813" s="46">
        <f>12470.876</f>
        <v>12470.876</v>
      </c>
      <c r="J813" s="23"/>
      <c r="K813" s="47"/>
      <c r="L813" s="48"/>
      <c r="M813" s="49"/>
      <c r="N813" s="49">
        <f t="shared" si="26"/>
        <v>0</v>
      </c>
      <c r="O813" s="49"/>
      <c r="P813" s="49"/>
      <c r="Q813" s="49"/>
      <c r="R813" s="23"/>
      <c r="XCY813"/>
      <c r="XCZ813"/>
      <c r="XDA813"/>
      <c r="XDB813"/>
      <c r="XDC813"/>
      <c r="XDD813"/>
      <c r="XDE813"/>
      <c r="XDF813"/>
      <c r="XDG813"/>
      <c r="XDH813"/>
      <c r="XDI813"/>
      <c r="XDJ813"/>
      <c r="XDK813"/>
      <c r="XDL813"/>
      <c r="XDM813"/>
      <c r="XDN813"/>
      <c r="XDO813"/>
      <c r="XDP813"/>
      <c r="XDQ813"/>
      <c r="XDR813"/>
      <c r="XDS813"/>
      <c r="XDT813"/>
      <c r="XDU813"/>
      <c r="XDV813"/>
      <c r="XDW813"/>
      <c r="XDX813"/>
      <c r="XDY813"/>
      <c r="XDZ813"/>
      <c r="XEA813"/>
      <c r="XEB813"/>
      <c r="XEC813"/>
      <c r="XED813"/>
      <c r="XEE813"/>
      <c r="XEF813"/>
      <c r="XEG813"/>
      <c r="XEH813"/>
      <c r="XEI813"/>
      <c r="XEJ813"/>
      <c r="XEK813"/>
      <c r="XEL813"/>
      <c r="XEM813"/>
      <c r="XEN813"/>
      <c r="XEO813"/>
      <c r="XEP813"/>
      <c r="XEQ813"/>
      <c r="XER813"/>
      <c r="XES813"/>
      <c r="XET813"/>
      <c r="XEU813"/>
      <c r="XEV813"/>
      <c r="XEW813"/>
      <c r="XEX813"/>
      <c r="XEY813"/>
      <c r="XEZ813"/>
      <c r="XFA813"/>
      <c r="XFB813"/>
      <c r="XFC813"/>
      <c r="XFD813"/>
    </row>
    <row r="814" spans="1:18 16327:16384" s="26" customFormat="1" ht="29.1" customHeight="1" outlineLevel="3" x14ac:dyDescent="0.25">
      <c r="A814" s="42" t="s">
        <v>1378</v>
      </c>
      <c r="B814" s="43"/>
      <c r="C814" s="66" t="s">
        <v>1379</v>
      </c>
      <c r="D814" s="66"/>
      <c r="E814" s="43" t="s">
        <v>34</v>
      </c>
      <c r="F814" s="44"/>
      <c r="G814" s="43" t="s">
        <v>31</v>
      </c>
      <c r="H814" s="45">
        <v>1</v>
      </c>
      <c r="I814" s="46">
        <f>270</f>
        <v>270</v>
      </c>
      <c r="J814" s="23"/>
      <c r="K814" s="47"/>
      <c r="L814" s="48"/>
      <c r="M814" s="49"/>
      <c r="N814" s="49">
        <f t="shared" si="26"/>
        <v>0</v>
      </c>
      <c r="O814" s="49"/>
      <c r="P814" s="49"/>
      <c r="Q814" s="49"/>
      <c r="R814" s="23"/>
      <c r="XCY814"/>
      <c r="XCZ814"/>
      <c r="XDA814"/>
      <c r="XDB814"/>
      <c r="XDC814"/>
      <c r="XDD814"/>
      <c r="XDE814"/>
      <c r="XDF814"/>
      <c r="XDG814"/>
      <c r="XDH814"/>
      <c r="XDI814"/>
      <c r="XDJ814"/>
      <c r="XDK814"/>
      <c r="XDL814"/>
      <c r="XDM814"/>
      <c r="XDN814"/>
      <c r="XDO814"/>
      <c r="XDP814"/>
      <c r="XDQ814"/>
      <c r="XDR814"/>
      <c r="XDS814"/>
      <c r="XDT814"/>
      <c r="XDU814"/>
      <c r="XDV814"/>
      <c r="XDW814"/>
      <c r="XDX814"/>
      <c r="XDY814"/>
      <c r="XDZ814"/>
      <c r="XEA814"/>
      <c r="XEB814"/>
      <c r="XEC814"/>
      <c r="XED814"/>
      <c r="XEE814"/>
      <c r="XEF814"/>
      <c r="XEG814"/>
      <c r="XEH814"/>
      <c r="XEI814"/>
      <c r="XEJ814"/>
      <c r="XEK814"/>
      <c r="XEL814"/>
      <c r="XEM814"/>
      <c r="XEN814"/>
      <c r="XEO814"/>
      <c r="XEP814"/>
      <c r="XEQ814"/>
      <c r="XER814"/>
      <c r="XES814"/>
      <c r="XET814"/>
      <c r="XEU814"/>
      <c r="XEV814"/>
      <c r="XEW814"/>
      <c r="XEX814"/>
      <c r="XEY814"/>
      <c r="XEZ814"/>
      <c r="XFA814"/>
      <c r="XFB814"/>
      <c r="XFC814"/>
      <c r="XFD814"/>
    </row>
    <row r="815" spans="1:18 16327:16384" s="26" customFormat="1" ht="29.1" customHeight="1" outlineLevel="3" x14ac:dyDescent="0.25">
      <c r="A815" s="42" t="s">
        <v>1380</v>
      </c>
      <c r="B815" s="43"/>
      <c r="C815" s="66" t="s">
        <v>1381</v>
      </c>
      <c r="D815" s="66"/>
      <c r="E815" s="43" t="s">
        <v>34</v>
      </c>
      <c r="F815" s="44"/>
      <c r="G815" s="43" t="s">
        <v>31</v>
      </c>
      <c r="H815" s="45">
        <v>1</v>
      </c>
      <c r="I815" s="46">
        <f>408</f>
        <v>408</v>
      </c>
      <c r="J815" s="23"/>
      <c r="K815" s="47"/>
      <c r="L815" s="48"/>
      <c r="M815" s="49"/>
      <c r="N815" s="49">
        <f t="shared" si="26"/>
        <v>0</v>
      </c>
      <c r="O815" s="49"/>
      <c r="P815" s="49"/>
      <c r="Q815" s="49"/>
      <c r="R815" s="23"/>
      <c r="XCY815"/>
      <c r="XCZ815"/>
      <c r="XDA815"/>
      <c r="XDB815"/>
      <c r="XDC815"/>
      <c r="XDD815"/>
      <c r="XDE815"/>
      <c r="XDF815"/>
      <c r="XDG815"/>
      <c r="XDH815"/>
      <c r="XDI815"/>
      <c r="XDJ815"/>
      <c r="XDK815"/>
      <c r="XDL815"/>
      <c r="XDM815"/>
      <c r="XDN815"/>
      <c r="XDO815"/>
      <c r="XDP815"/>
      <c r="XDQ815"/>
      <c r="XDR815"/>
      <c r="XDS815"/>
      <c r="XDT815"/>
      <c r="XDU815"/>
      <c r="XDV815"/>
      <c r="XDW815"/>
      <c r="XDX815"/>
      <c r="XDY815"/>
      <c r="XDZ815"/>
      <c r="XEA815"/>
      <c r="XEB815"/>
      <c r="XEC815"/>
      <c r="XED815"/>
      <c r="XEE815"/>
      <c r="XEF815"/>
      <c r="XEG815"/>
      <c r="XEH815"/>
      <c r="XEI815"/>
      <c r="XEJ815"/>
      <c r="XEK815"/>
      <c r="XEL815"/>
      <c r="XEM815"/>
      <c r="XEN815"/>
      <c r="XEO815"/>
      <c r="XEP815"/>
      <c r="XEQ815"/>
      <c r="XER815"/>
      <c r="XES815"/>
      <c r="XET815"/>
      <c r="XEU815"/>
      <c r="XEV815"/>
      <c r="XEW815"/>
      <c r="XEX815"/>
      <c r="XEY815"/>
      <c r="XEZ815"/>
      <c r="XFA815"/>
      <c r="XFB815"/>
      <c r="XFC815"/>
      <c r="XFD815"/>
    </row>
    <row r="816" spans="1:18 16327:16384" s="26" customFormat="1" ht="29.1" customHeight="1" outlineLevel="2" x14ac:dyDescent="0.25">
      <c r="A816" s="34" t="s">
        <v>1382</v>
      </c>
      <c r="B816" s="35"/>
      <c r="C816" s="65" t="s">
        <v>1383</v>
      </c>
      <c r="D816" s="65"/>
      <c r="E816" s="35"/>
      <c r="F816" s="36" t="s">
        <v>1372</v>
      </c>
      <c r="G816" s="35" t="s">
        <v>65</v>
      </c>
      <c r="H816" s="37"/>
      <c r="I816" s="38">
        <f>20</f>
        <v>20</v>
      </c>
      <c r="J816" s="23"/>
      <c r="K816" s="39"/>
      <c r="L816" s="40"/>
      <c r="M816" s="41">
        <f>K816+L816</f>
        <v>0</v>
      </c>
      <c r="N816" s="41">
        <f t="shared" si="26"/>
        <v>0</v>
      </c>
      <c r="O816" s="41">
        <f>ROUND((I816*L816),2)</f>
        <v>0</v>
      </c>
      <c r="P816" s="41">
        <f>ROUND((I816*M816),2)</f>
        <v>0</v>
      </c>
      <c r="Q816" s="41"/>
      <c r="R816" s="23"/>
      <c r="XCY816"/>
      <c r="XCZ816"/>
      <c r="XDA816"/>
      <c r="XDB816"/>
      <c r="XDC816"/>
      <c r="XDD816"/>
      <c r="XDE816"/>
      <c r="XDF816"/>
      <c r="XDG816"/>
      <c r="XDH816"/>
      <c r="XDI816"/>
      <c r="XDJ816"/>
      <c r="XDK816"/>
      <c r="XDL816"/>
      <c r="XDM816"/>
      <c r="XDN816"/>
      <c r="XDO816"/>
      <c r="XDP816"/>
      <c r="XDQ816"/>
      <c r="XDR816"/>
      <c r="XDS816"/>
      <c r="XDT816"/>
      <c r="XDU816"/>
      <c r="XDV816"/>
      <c r="XDW816"/>
      <c r="XDX816"/>
      <c r="XDY816"/>
      <c r="XDZ816"/>
      <c r="XEA816"/>
      <c r="XEB816"/>
      <c r="XEC816"/>
      <c r="XED816"/>
      <c r="XEE816"/>
      <c r="XEF816"/>
      <c r="XEG816"/>
      <c r="XEH816"/>
      <c r="XEI816"/>
      <c r="XEJ816"/>
      <c r="XEK816"/>
      <c r="XEL816"/>
      <c r="XEM816"/>
      <c r="XEN816"/>
      <c r="XEO816"/>
      <c r="XEP816"/>
      <c r="XEQ816"/>
      <c r="XER816"/>
      <c r="XES816"/>
      <c r="XET816"/>
      <c r="XEU816"/>
      <c r="XEV816"/>
      <c r="XEW816"/>
      <c r="XEX816"/>
      <c r="XEY816"/>
      <c r="XEZ816"/>
      <c r="XFA816"/>
      <c r="XFB816"/>
      <c r="XFC816"/>
      <c r="XFD816"/>
    </row>
    <row r="817" spans="1:18 16327:16384" s="26" customFormat="1" ht="29.1" customHeight="1" outlineLevel="3" x14ac:dyDescent="0.25">
      <c r="A817" s="42" t="s">
        <v>1384</v>
      </c>
      <c r="B817" s="43"/>
      <c r="C817" s="66" t="s">
        <v>1385</v>
      </c>
      <c r="D817" s="66"/>
      <c r="E817" s="43" t="s">
        <v>34</v>
      </c>
      <c r="F817" s="44"/>
      <c r="G817" s="43" t="s">
        <v>65</v>
      </c>
      <c r="H817" s="45">
        <v>1.012</v>
      </c>
      <c r="I817" s="46">
        <f>20.24</f>
        <v>20.239999999999998</v>
      </c>
      <c r="J817" s="23"/>
      <c r="K817" s="47"/>
      <c r="L817" s="48"/>
      <c r="M817" s="49"/>
      <c r="N817" s="49">
        <f t="shared" si="26"/>
        <v>0</v>
      </c>
      <c r="O817" s="49"/>
      <c r="P817" s="49"/>
      <c r="Q817" s="49"/>
      <c r="R817" s="23"/>
      <c r="XCY817"/>
      <c r="XCZ817"/>
      <c r="XDA817"/>
      <c r="XDB817"/>
      <c r="XDC817"/>
      <c r="XDD817"/>
      <c r="XDE817"/>
      <c r="XDF817"/>
      <c r="XDG817"/>
      <c r="XDH817"/>
      <c r="XDI817"/>
      <c r="XDJ817"/>
      <c r="XDK817"/>
      <c r="XDL817"/>
      <c r="XDM817"/>
      <c r="XDN817"/>
      <c r="XDO817"/>
      <c r="XDP817"/>
      <c r="XDQ817"/>
      <c r="XDR817"/>
      <c r="XDS817"/>
      <c r="XDT817"/>
      <c r="XDU817"/>
      <c r="XDV817"/>
      <c r="XDW817"/>
      <c r="XDX817"/>
      <c r="XDY817"/>
      <c r="XDZ817"/>
      <c r="XEA817"/>
      <c r="XEB817"/>
      <c r="XEC817"/>
      <c r="XED817"/>
      <c r="XEE817"/>
      <c r="XEF817"/>
      <c r="XEG817"/>
      <c r="XEH817"/>
      <c r="XEI817"/>
      <c r="XEJ817"/>
      <c r="XEK817"/>
      <c r="XEL817"/>
      <c r="XEM817"/>
      <c r="XEN817"/>
      <c r="XEO817"/>
      <c r="XEP817"/>
      <c r="XEQ817"/>
      <c r="XER817"/>
      <c r="XES817"/>
      <c r="XET817"/>
      <c r="XEU817"/>
      <c r="XEV817"/>
      <c r="XEW817"/>
      <c r="XEX817"/>
      <c r="XEY817"/>
      <c r="XEZ817"/>
      <c r="XFA817"/>
      <c r="XFB817"/>
      <c r="XFC817"/>
      <c r="XFD817"/>
    </row>
    <row r="818" spans="1:18 16327:16384" s="26" customFormat="1" ht="29.1" customHeight="1" outlineLevel="3" x14ac:dyDescent="0.25">
      <c r="A818" s="42" t="s">
        <v>1386</v>
      </c>
      <c r="B818" s="43"/>
      <c r="C818" s="66" t="s">
        <v>1387</v>
      </c>
      <c r="D818" s="66"/>
      <c r="E818" s="43" t="s">
        <v>34</v>
      </c>
      <c r="F818" s="44"/>
      <c r="G818" s="43" t="s">
        <v>31</v>
      </c>
      <c r="H818" s="45">
        <v>1</v>
      </c>
      <c r="I818" s="46">
        <f>20</f>
        <v>20</v>
      </c>
      <c r="J818" s="23"/>
      <c r="K818" s="47"/>
      <c r="L818" s="48"/>
      <c r="M818" s="49"/>
      <c r="N818" s="49">
        <f t="shared" si="26"/>
        <v>0</v>
      </c>
      <c r="O818" s="49"/>
      <c r="P818" s="49"/>
      <c r="Q818" s="49"/>
      <c r="R818" s="23"/>
      <c r="XCY818"/>
      <c r="XCZ818"/>
      <c r="XDA818"/>
      <c r="XDB818"/>
      <c r="XDC818"/>
      <c r="XDD818"/>
      <c r="XDE818"/>
      <c r="XDF818"/>
      <c r="XDG818"/>
      <c r="XDH818"/>
      <c r="XDI818"/>
      <c r="XDJ818"/>
      <c r="XDK818"/>
      <c r="XDL818"/>
      <c r="XDM818"/>
      <c r="XDN818"/>
      <c r="XDO818"/>
      <c r="XDP818"/>
      <c r="XDQ818"/>
      <c r="XDR818"/>
      <c r="XDS818"/>
      <c r="XDT818"/>
      <c r="XDU818"/>
      <c r="XDV818"/>
      <c r="XDW818"/>
      <c r="XDX818"/>
      <c r="XDY818"/>
      <c r="XDZ818"/>
      <c r="XEA818"/>
      <c r="XEB818"/>
      <c r="XEC818"/>
      <c r="XED818"/>
      <c r="XEE818"/>
      <c r="XEF818"/>
      <c r="XEG818"/>
      <c r="XEH818"/>
      <c r="XEI818"/>
      <c r="XEJ818"/>
      <c r="XEK818"/>
      <c r="XEL818"/>
      <c r="XEM818"/>
      <c r="XEN818"/>
      <c r="XEO818"/>
      <c r="XEP818"/>
      <c r="XEQ818"/>
      <c r="XER818"/>
      <c r="XES818"/>
      <c r="XET818"/>
      <c r="XEU818"/>
      <c r="XEV818"/>
      <c r="XEW818"/>
      <c r="XEX818"/>
      <c r="XEY818"/>
      <c r="XEZ818"/>
      <c r="XFA818"/>
      <c r="XFB818"/>
      <c r="XFC818"/>
      <c r="XFD818"/>
    </row>
    <row r="819" spans="1:18 16327:16384" s="26" customFormat="1" ht="39.75" customHeight="1" outlineLevel="2" x14ac:dyDescent="0.25">
      <c r="A819" s="34" t="s">
        <v>1388</v>
      </c>
      <c r="B819" s="35"/>
      <c r="C819" s="65" t="s">
        <v>600</v>
      </c>
      <c r="D819" s="65"/>
      <c r="E819" s="35"/>
      <c r="F819" s="36" t="s">
        <v>1372</v>
      </c>
      <c r="G819" s="35" t="s">
        <v>31</v>
      </c>
      <c r="H819" s="37"/>
      <c r="I819" s="38">
        <f>400</f>
        <v>400</v>
      </c>
      <c r="J819" s="23"/>
      <c r="K819" s="39"/>
      <c r="L819" s="40"/>
      <c r="M819" s="41">
        <f>K819+L819</f>
        <v>0</v>
      </c>
      <c r="N819" s="41">
        <f t="shared" si="26"/>
        <v>0</v>
      </c>
      <c r="O819" s="41">
        <f>ROUND((I819*L819),2)</f>
        <v>0</v>
      </c>
      <c r="P819" s="41">
        <f>ROUND((I819*M819),2)</f>
        <v>0</v>
      </c>
      <c r="Q819" s="41"/>
      <c r="R819" s="23"/>
      <c r="XCY819"/>
      <c r="XCZ819"/>
      <c r="XDA819"/>
      <c r="XDB819"/>
      <c r="XDC819"/>
      <c r="XDD819"/>
      <c r="XDE819"/>
      <c r="XDF819"/>
      <c r="XDG819"/>
      <c r="XDH819"/>
      <c r="XDI819"/>
      <c r="XDJ819"/>
      <c r="XDK819"/>
      <c r="XDL819"/>
      <c r="XDM819"/>
      <c r="XDN819"/>
      <c r="XDO819"/>
      <c r="XDP819"/>
      <c r="XDQ819"/>
      <c r="XDR819"/>
      <c r="XDS819"/>
      <c r="XDT819"/>
      <c r="XDU819"/>
      <c r="XDV819"/>
      <c r="XDW819"/>
      <c r="XDX819"/>
      <c r="XDY819"/>
      <c r="XDZ819"/>
      <c r="XEA819"/>
      <c r="XEB819"/>
      <c r="XEC819"/>
      <c r="XED819"/>
      <c r="XEE819"/>
      <c r="XEF819"/>
      <c r="XEG819"/>
      <c r="XEH819"/>
      <c r="XEI819"/>
      <c r="XEJ819"/>
      <c r="XEK819"/>
      <c r="XEL819"/>
      <c r="XEM819"/>
      <c r="XEN819"/>
      <c r="XEO819"/>
      <c r="XEP819"/>
      <c r="XEQ819"/>
      <c r="XER819"/>
      <c r="XES819"/>
      <c r="XET819"/>
      <c r="XEU819"/>
      <c r="XEV819"/>
      <c r="XEW819"/>
      <c r="XEX819"/>
      <c r="XEY819"/>
      <c r="XEZ819"/>
      <c r="XFA819"/>
      <c r="XFB819"/>
      <c r="XFC819"/>
      <c r="XFD819"/>
    </row>
    <row r="820" spans="1:18 16327:16384" s="26" customFormat="1" ht="29.1" customHeight="1" outlineLevel="3" x14ac:dyDescent="0.25">
      <c r="A820" s="42" t="s">
        <v>1389</v>
      </c>
      <c r="B820" s="43"/>
      <c r="C820" s="66" t="s">
        <v>425</v>
      </c>
      <c r="D820" s="66"/>
      <c r="E820" s="43" t="s">
        <v>34</v>
      </c>
      <c r="F820" s="44"/>
      <c r="G820" s="43" t="s">
        <v>65</v>
      </c>
      <c r="H820" s="45">
        <v>1</v>
      </c>
      <c r="I820" s="46">
        <f>100</f>
        <v>100</v>
      </c>
      <c r="J820" s="23"/>
      <c r="K820" s="47"/>
      <c r="L820" s="48"/>
      <c r="M820" s="49"/>
      <c r="N820" s="49">
        <f t="shared" si="26"/>
        <v>0</v>
      </c>
      <c r="O820" s="49"/>
      <c r="P820" s="49"/>
      <c r="Q820" s="49"/>
      <c r="R820" s="23"/>
      <c r="XCY820"/>
      <c r="XCZ820"/>
      <c r="XDA820"/>
      <c r="XDB820"/>
      <c r="XDC820"/>
      <c r="XDD820"/>
      <c r="XDE820"/>
      <c r="XDF820"/>
      <c r="XDG820"/>
      <c r="XDH820"/>
      <c r="XDI820"/>
      <c r="XDJ820"/>
      <c r="XDK820"/>
      <c r="XDL820"/>
      <c r="XDM820"/>
      <c r="XDN820"/>
      <c r="XDO820"/>
      <c r="XDP820"/>
      <c r="XDQ820"/>
      <c r="XDR820"/>
      <c r="XDS820"/>
      <c r="XDT820"/>
      <c r="XDU820"/>
      <c r="XDV820"/>
      <c r="XDW820"/>
      <c r="XDX820"/>
      <c r="XDY820"/>
      <c r="XDZ820"/>
      <c r="XEA820"/>
      <c r="XEB820"/>
      <c r="XEC820"/>
      <c r="XED820"/>
      <c r="XEE820"/>
      <c r="XEF820"/>
      <c r="XEG820"/>
      <c r="XEH820"/>
      <c r="XEI820"/>
      <c r="XEJ820"/>
      <c r="XEK820"/>
      <c r="XEL820"/>
      <c r="XEM820"/>
      <c r="XEN820"/>
      <c r="XEO820"/>
      <c r="XEP820"/>
      <c r="XEQ820"/>
      <c r="XER820"/>
      <c r="XES820"/>
      <c r="XET820"/>
      <c r="XEU820"/>
      <c r="XEV820"/>
      <c r="XEW820"/>
      <c r="XEX820"/>
      <c r="XEY820"/>
      <c r="XEZ820"/>
      <c r="XFA820"/>
      <c r="XFB820"/>
      <c r="XFC820"/>
      <c r="XFD820"/>
    </row>
    <row r="821" spans="1:18 16327:16384" s="26" customFormat="1" ht="29.1" customHeight="1" outlineLevel="3" x14ac:dyDescent="0.25">
      <c r="A821" s="42" t="s">
        <v>1390</v>
      </c>
      <c r="B821" s="43"/>
      <c r="C821" s="66" t="s">
        <v>1391</v>
      </c>
      <c r="D821" s="66"/>
      <c r="E821" s="43" t="s">
        <v>34</v>
      </c>
      <c r="F821" s="44"/>
      <c r="G821" s="43" t="s">
        <v>31</v>
      </c>
      <c r="H821" s="45">
        <v>1</v>
      </c>
      <c r="I821" s="46">
        <f>230</f>
        <v>230</v>
      </c>
      <c r="J821" s="23"/>
      <c r="K821" s="47"/>
      <c r="L821" s="48"/>
      <c r="M821" s="49"/>
      <c r="N821" s="49">
        <f t="shared" si="26"/>
        <v>0</v>
      </c>
      <c r="O821" s="49"/>
      <c r="P821" s="49"/>
      <c r="Q821" s="49"/>
      <c r="R821" s="23"/>
      <c r="XCY821"/>
      <c r="XCZ821"/>
      <c r="XDA821"/>
      <c r="XDB821"/>
      <c r="XDC821"/>
      <c r="XDD821"/>
      <c r="XDE821"/>
      <c r="XDF821"/>
      <c r="XDG821"/>
      <c r="XDH821"/>
      <c r="XDI821"/>
      <c r="XDJ821"/>
      <c r="XDK821"/>
      <c r="XDL821"/>
      <c r="XDM821"/>
      <c r="XDN821"/>
      <c r="XDO821"/>
      <c r="XDP821"/>
      <c r="XDQ821"/>
      <c r="XDR821"/>
      <c r="XDS821"/>
      <c r="XDT821"/>
      <c r="XDU821"/>
      <c r="XDV821"/>
      <c r="XDW821"/>
      <c r="XDX821"/>
      <c r="XDY821"/>
      <c r="XDZ821"/>
      <c r="XEA821"/>
      <c r="XEB821"/>
      <c r="XEC821"/>
      <c r="XED821"/>
      <c r="XEE821"/>
      <c r="XEF821"/>
      <c r="XEG821"/>
      <c r="XEH821"/>
      <c r="XEI821"/>
      <c r="XEJ821"/>
      <c r="XEK821"/>
      <c r="XEL821"/>
      <c r="XEM821"/>
      <c r="XEN821"/>
      <c r="XEO821"/>
      <c r="XEP821"/>
      <c r="XEQ821"/>
      <c r="XER821"/>
      <c r="XES821"/>
      <c r="XET821"/>
      <c r="XEU821"/>
      <c r="XEV821"/>
      <c r="XEW821"/>
      <c r="XEX821"/>
      <c r="XEY821"/>
      <c r="XEZ821"/>
      <c r="XFA821"/>
      <c r="XFB821"/>
      <c r="XFC821"/>
      <c r="XFD821"/>
    </row>
    <row r="822" spans="1:18 16327:16384" s="26" customFormat="1" ht="29.1" customHeight="1" outlineLevel="2" x14ac:dyDescent="0.25">
      <c r="A822" s="34" t="s">
        <v>1392</v>
      </c>
      <c r="B822" s="35"/>
      <c r="C822" s="65" t="s">
        <v>1393</v>
      </c>
      <c r="D822" s="65"/>
      <c r="E822" s="35"/>
      <c r="F822" s="36"/>
      <c r="G822" s="35" t="s">
        <v>90</v>
      </c>
      <c r="H822" s="37">
        <v>1</v>
      </c>
      <c r="I822" s="38">
        <f>1</f>
        <v>1</v>
      </c>
      <c r="J822" s="23"/>
      <c r="K822" s="39"/>
      <c r="L822" s="40"/>
      <c r="M822" s="41">
        <f>K822+L822</f>
        <v>0</v>
      </c>
      <c r="N822" s="41">
        <f t="shared" si="26"/>
        <v>0</v>
      </c>
      <c r="O822" s="41">
        <f>ROUND((I822*L822),2)</f>
        <v>0</v>
      </c>
      <c r="P822" s="41">
        <f>ROUND((I822*M822),2)</f>
        <v>0</v>
      </c>
      <c r="Q822" s="41"/>
      <c r="R822" s="23"/>
      <c r="XCY822"/>
      <c r="XCZ822"/>
      <c r="XDA822"/>
      <c r="XDB822"/>
      <c r="XDC822"/>
      <c r="XDD822"/>
      <c r="XDE822"/>
      <c r="XDF822"/>
      <c r="XDG822"/>
      <c r="XDH822"/>
      <c r="XDI822"/>
      <c r="XDJ822"/>
      <c r="XDK822"/>
      <c r="XDL822"/>
      <c r="XDM822"/>
      <c r="XDN822"/>
      <c r="XDO822"/>
      <c r="XDP822"/>
      <c r="XDQ822"/>
      <c r="XDR822"/>
      <c r="XDS822"/>
      <c r="XDT822"/>
      <c r="XDU822"/>
      <c r="XDV822"/>
      <c r="XDW822"/>
      <c r="XDX822"/>
      <c r="XDY822"/>
      <c r="XDZ822"/>
      <c r="XEA822"/>
      <c r="XEB822"/>
      <c r="XEC822"/>
      <c r="XED822"/>
      <c r="XEE822"/>
      <c r="XEF822"/>
      <c r="XEG822"/>
      <c r="XEH822"/>
      <c r="XEI822"/>
      <c r="XEJ822"/>
      <c r="XEK822"/>
      <c r="XEL822"/>
      <c r="XEM822"/>
      <c r="XEN822"/>
      <c r="XEO822"/>
      <c r="XEP822"/>
      <c r="XEQ822"/>
      <c r="XER822"/>
      <c r="XES822"/>
      <c r="XET822"/>
      <c r="XEU822"/>
      <c r="XEV822"/>
      <c r="XEW822"/>
      <c r="XEX822"/>
      <c r="XEY822"/>
      <c r="XEZ822"/>
      <c r="XFA822"/>
      <c r="XFB822"/>
      <c r="XFC822"/>
      <c r="XFD822"/>
    </row>
    <row r="823" spans="1:18 16327:16384" s="26" customFormat="1" ht="29.1" customHeight="1" outlineLevel="1" x14ac:dyDescent="0.25">
      <c r="A823" s="27" t="s">
        <v>1394</v>
      </c>
      <c r="B823" s="28" t="s">
        <v>61</v>
      </c>
      <c r="C823" s="69" t="s">
        <v>1395</v>
      </c>
      <c r="D823" s="69"/>
      <c r="E823" s="28"/>
      <c r="F823" s="29"/>
      <c r="G823" s="28"/>
      <c r="H823" s="30"/>
      <c r="I823" s="31"/>
      <c r="J823" s="23"/>
      <c r="K823" s="32"/>
      <c r="L823" s="32"/>
      <c r="M823" s="32"/>
      <c r="N823" s="32">
        <f>N824+N826+N828+N830+N832+N835+N838+N841+N844+N846+N848+N850+N852+N854+N856+N858+N860+N862+N864+N869+N871+N873+N875+N877+N879+N881+N883+N885+N887+N889+N891+N895+N898+N900+N902+N904+N906+N908+N910+N912+N915+N918</f>
        <v>0</v>
      </c>
      <c r="O823" s="32">
        <f>O824+O826+O828+O830+O832+O835+O838+O841+O844+O846+O848+O850+O852+O854+O856+O858+O860+O862+O864+O869+O871+O873+O875+O877+O879+O881+O883+O885+O887+O889+O891+O895+O898+O900+O902+O904+O906+O908+O910+O912+O915+O918</f>
        <v>0</v>
      </c>
      <c r="P823" s="32">
        <f>P824+P826+P828+P830+P832+P835+P838+P841+P844+P846+P848+P850+P852+P854+P856+P858+P860+P862+P864+P869+P871+P873+P875+P877+P879+P881+P883+P885+P887+P889+P891+P895+P898+P900+P902+P904+P906+P908+P910+P912+P915+P918</f>
        <v>0</v>
      </c>
      <c r="Q823" s="33"/>
      <c r="R823" s="23"/>
      <c r="XCY823"/>
      <c r="XCZ823"/>
      <c r="XDA823"/>
      <c r="XDB823"/>
      <c r="XDC823"/>
      <c r="XDD823"/>
      <c r="XDE823"/>
      <c r="XDF823"/>
      <c r="XDG823"/>
      <c r="XDH823"/>
      <c r="XDI823"/>
      <c r="XDJ823"/>
      <c r="XDK823"/>
      <c r="XDL823"/>
      <c r="XDM823"/>
      <c r="XDN823"/>
      <c r="XDO823"/>
      <c r="XDP823"/>
      <c r="XDQ823"/>
      <c r="XDR823"/>
      <c r="XDS823"/>
      <c r="XDT823"/>
      <c r="XDU823"/>
      <c r="XDV823"/>
      <c r="XDW823"/>
      <c r="XDX823"/>
      <c r="XDY823"/>
      <c r="XDZ823"/>
      <c r="XEA823"/>
      <c r="XEB823"/>
      <c r="XEC823"/>
      <c r="XED823"/>
      <c r="XEE823"/>
      <c r="XEF823"/>
      <c r="XEG823"/>
      <c r="XEH823"/>
      <c r="XEI823"/>
      <c r="XEJ823"/>
      <c r="XEK823"/>
      <c r="XEL823"/>
      <c r="XEM823"/>
      <c r="XEN823"/>
      <c r="XEO823"/>
      <c r="XEP823"/>
      <c r="XEQ823"/>
      <c r="XER823"/>
      <c r="XES823"/>
      <c r="XET823"/>
      <c r="XEU823"/>
      <c r="XEV823"/>
      <c r="XEW823"/>
      <c r="XEX823"/>
      <c r="XEY823"/>
      <c r="XEZ823"/>
      <c r="XFA823"/>
      <c r="XFB823"/>
      <c r="XFC823"/>
      <c r="XFD823"/>
    </row>
    <row r="824" spans="1:18 16327:16384" s="26" customFormat="1" ht="29.1" customHeight="1" outlineLevel="2" x14ac:dyDescent="0.25">
      <c r="A824" s="34" t="s">
        <v>1396</v>
      </c>
      <c r="B824" s="35"/>
      <c r="C824" s="65" t="s">
        <v>1397</v>
      </c>
      <c r="D824" s="65"/>
      <c r="E824" s="35"/>
      <c r="F824" s="36" t="s">
        <v>1398</v>
      </c>
      <c r="G824" s="35" t="s">
        <v>31</v>
      </c>
      <c r="H824" s="37"/>
      <c r="I824" s="38">
        <f>20</f>
        <v>20</v>
      </c>
      <c r="J824" s="23"/>
      <c r="K824" s="39"/>
      <c r="L824" s="40"/>
      <c r="M824" s="41">
        <f>K824+L824</f>
        <v>0</v>
      </c>
      <c r="N824" s="41">
        <f t="shared" ref="N824:N855" si="27">ROUND((I824*K824),2)</f>
        <v>0</v>
      </c>
      <c r="O824" s="41">
        <f>ROUND((I824*L824),2)</f>
        <v>0</v>
      </c>
      <c r="P824" s="41">
        <f>ROUND((I824*M824),2)</f>
        <v>0</v>
      </c>
      <c r="Q824" s="41"/>
      <c r="R824" s="23"/>
      <c r="XCY824"/>
      <c r="XCZ824"/>
      <c r="XDA824"/>
      <c r="XDB824"/>
      <c r="XDC824"/>
      <c r="XDD824"/>
      <c r="XDE824"/>
      <c r="XDF824"/>
      <c r="XDG824"/>
      <c r="XDH824"/>
      <c r="XDI824"/>
      <c r="XDJ824"/>
      <c r="XDK824"/>
      <c r="XDL824"/>
      <c r="XDM824"/>
      <c r="XDN824"/>
      <c r="XDO824"/>
      <c r="XDP824"/>
      <c r="XDQ824"/>
      <c r="XDR824"/>
      <c r="XDS824"/>
      <c r="XDT824"/>
      <c r="XDU824"/>
      <c r="XDV824"/>
      <c r="XDW824"/>
      <c r="XDX824"/>
      <c r="XDY824"/>
      <c r="XDZ824"/>
      <c r="XEA824"/>
      <c r="XEB824"/>
      <c r="XEC824"/>
      <c r="XED824"/>
      <c r="XEE824"/>
      <c r="XEF824"/>
      <c r="XEG824"/>
      <c r="XEH824"/>
      <c r="XEI824"/>
      <c r="XEJ824"/>
      <c r="XEK824"/>
      <c r="XEL824"/>
      <c r="XEM824"/>
      <c r="XEN824"/>
      <c r="XEO824"/>
      <c r="XEP824"/>
      <c r="XEQ824"/>
      <c r="XER824"/>
      <c r="XES824"/>
      <c r="XET824"/>
      <c r="XEU824"/>
      <c r="XEV824"/>
      <c r="XEW824"/>
      <c r="XEX824"/>
      <c r="XEY824"/>
      <c r="XEZ824"/>
      <c r="XFA824"/>
      <c r="XFB824"/>
      <c r="XFC824"/>
      <c r="XFD824"/>
    </row>
    <row r="825" spans="1:18 16327:16384" s="26" customFormat="1" ht="29.1" customHeight="1" outlineLevel="3" x14ac:dyDescent="0.25">
      <c r="A825" s="42" t="s">
        <v>1399</v>
      </c>
      <c r="B825" s="43"/>
      <c r="C825" s="66" t="s">
        <v>1400</v>
      </c>
      <c r="D825" s="66"/>
      <c r="E825" s="43" t="s">
        <v>34</v>
      </c>
      <c r="F825" s="44"/>
      <c r="G825" s="43" t="s">
        <v>31</v>
      </c>
      <c r="H825" s="45">
        <v>1</v>
      </c>
      <c r="I825" s="46">
        <f>20</f>
        <v>20</v>
      </c>
      <c r="J825" s="23"/>
      <c r="K825" s="47"/>
      <c r="L825" s="48"/>
      <c r="M825" s="49"/>
      <c r="N825" s="49">
        <f t="shared" si="27"/>
        <v>0</v>
      </c>
      <c r="O825" s="49"/>
      <c r="P825" s="49"/>
      <c r="Q825" s="49"/>
      <c r="R825" s="23"/>
      <c r="XCY825"/>
      <c r="XCZ825"/>
      <c r="XDA825"/>
      <c r="XDB825"/>
      <c r="XDC825"/>
      <c r="XDD825"/>
      <c r="XDE825"/>
      <c r="XDF825"/>
      <c r="XDG825"/>
      <c r="XDH825"/>
      <c r="XDI825"/>
      <c r="XDJ825"/>
      <c r="XDK825"/>
      <c r="XDL825"/>
      <c r="XDM825"/>
      <c r="XDN825"/>
      <c r="XDO825"/>
      <c r="XDP825"/>
      <c r="XDQ825"/>
      <c r="XDR825"/>
      <c r="XDS825"/>
      <c r="XDT825"/>
      <c r="XDU825"/>
      <c r="XDV825"/>
      <c r="XDW825"/>
      <c r="XDX825"/>
      <c r="XDY825"/>
      <c r="XDZ825"/>
      <c r="XEA825"/>
      <c r="XEB825"/>
      <c r="XEC825"/>
      <c r="XED825"/>
      <c r="XEE825"/>
      <c r="XEF825"/>
      <c r="XEG825"/>
      <c r="XEH825"/>
      <c r="XEI825"/>
      <c r="XEJ825"/>
      <c r="XEK825"/>
      <c r="XEL825"/>
      <c r="XEM825"/>
      <c r="XEN825"/>
      <c r="XEO825"/>
      <c r="XEP825"/>
      <c r="XEQ825"/>
      <c r="XER825"/>
      <c r="XES825"/>
      <c r="XET825"/>
      <c r="XEU825"/>
      <c r="XEV825"/>
      <c r="XEW825"/>
      <c r="XEX825"/>
      <c r="XEY825"/>
      <c r="XEZ825"/>
      <c r="XFA825"/>
      <c r="XFB825"/>
      <c r="XFC825"/>
      <c r="XFD825"/>
    </row>
    <row r="826" spans="1:18 16327:16384" s="26" customFormat="1" ht="29.1" customHeight="1" outlineLevel="2" x14ac:dyDescent="0.25">
      <c r="A826" s="34" t="s">
        <v>1401</v>
      </c>
      <c r="B826" s="35"/>
      <c r="C826" s="65" t="s">
        <v>1120</v>
      </c>
      <c r="D826" s="65"/>
      <c r="E826" s="35"/>
      <c r="F826" s="36" t="s">
        <v>1398</v>
      </c>
      <c r="G826" s="35" t="s">
        <v>31</v>
      </c>
      <c r="H826" s="37"/>
      <c r="I826" s="38">
        <f>6</f>
        <v>6</v>
      </c>
      <c r="J826" s="23"/>
      <c r="K826" s="39"/>
      <c r="L826" s="40"/>
      <c r="M826" s="41">
        <f>K826+L826</f>
        <v>0</v>
      </c>
      <c r="N826" s="41">
        <f t="shared" si="27"/>
        <v>0</v>
      </c>
      <c r="O826" s="41">
        <f>ROUND((I826*L826),2)</f>
        <v>0</v>
      </c>
      <c r="P826" s="41">
        <f>ROUND((I826*M826),2)</f>
        <v>0</v>
      </c>
      <c r="Q826" s="41"/>
      <c r="R826" s="23"/>
      <c r="XCY826"/>
      <c r="XCZ826"/>
      <c r="XDA826"/>
      <c r="XDB826"/>
      <c r="XDC826"/>
      <c r="XDD826"/>
      <c r="XDE826"/>
      <c r="XDF826"/>
      <c r="XDG826"/>
      <c r="XDH826"/>
      <c r="XDI826"/>
      <c r="XDJ826"/>
      <c r="XDK826"/>
      <c r="XDL826"/>
      <c r="XDM826"/>
      <c r="XDN826"/>
      <c r="XDO826"/>
      <c r="XDP826"/>
      <c r="XDQ826"/>
      <c r="XDR826"/>
      <c r="XDS826"/>
      <c r="XDT826"/>
      <c r="XDU826"/>
      <c r="XDV826"/>
      <c r="XDW826"/>
      <c r="XDX826"/>
      <c r="XDY826"/>
      <c r="XDZ826"/>
      <c r="XEA826"/>
      <c r="XEB826"/>
      <c r="XEC826"/>
      <c r="XED826"/>
      <c r="XEE826"/>
      <c r="XEF826"/>
      <c r="XEG826"/>
      <c r="XEH826"/>
      <c r="XEI826"/>
      <c r="XEJ826"/>
      <c r="XEK826"/>
      <c r="XEL826"/>
      <c r="XEM826"/>
      <c r="XEN826"/>
      <c r="XEO826"/>
      <c r="XEP826"/>
      <c r="XEQ826"/>
      <c r="XER826"/>
      <c r="XES826"/>
      <c r="XET826"/>
      <c r="XEU826"/>
      <c r="XEV826"/>
      <c r="XEW826"/>
      <c r="XEX826"/>
      <c r="XEY826"/>
      <c r="XEZ826"/>
      <c r="XFA826"/>
      <c r="XFB826"/>
      <c r="XFC826"/>
      <c r="XFD826"/>
    </row>
    <row r="827" spans="1:18 16327:16384" s="26" customFormat="1" ht="29.1" customHeight="1" outlineLevel="3" x14ac:dyDescent="0.25">
      <c r="A827" s="42" t="s">
        <v>1402</v>
      </c>
      <c r="B827" s="43"/>
      <c r="C827" s="66" t="s">
        <v>1403</v>
      </c>
      <c r="D827" s="66"/>
      <c r="E827" s="43" t="s">
        <v>34</v>
      </c>
      <c r="F827" s="44"/>
      <c r="G827" s="43" t="s">
        <v>31</v>
      </c>
      <c r="H827" s="45">
        <v>1</v>
      </c>
      <c r="I827" s="46">
        <f>6</f>
        <v>6</v>
      </c>
      <c r="J827" s="23"/>
      <c r="K827" s="47"/>
      <c r="L827" s="48"/>
      <c r="M827" s="49"/>
      <c r="N827" s="49">
        <f t="shared" si="27"/>
        <v>0</v>
      </c>
      <c r="O827" s="49"/>
      <c r="P827" s="49"/>
      <c r="Q827" s="49"/>
      <c r="R827" s="23"/>
      <c r="XCY827"/>
      <c r="XCZ827"/>
      <c r="XDA827"/>
      <c r="XDB827"/>
      <c r="XDC827"/>
      <c r="XDD827"/>
      <c r="XDE827"/>
      <c r="XDF827"/>
      <c r="XDG827"/>
      <c r="XDH827"/>
      <c r="XDI827"/>
      <c r="XDJ827"/>
      <c r="XDK827"/>
      <c r="XDL827"/>
      <c r="XDM827"/>
      <c r="XDN827"/>
      <c r="XDO827"/>
      <c r="XDP827"/>
      <c r="XDQ827"/>
      <c r="XDR827"/>
      <c r="XDS827"/>
      <c r="XDT827"/>
      <c r="XDU827"/>
      <c r="XDV827"/>
      <c r="XDW827"/>
      <c r="XDX827"/>
      <c r="XDY827"/>
      <c r="XDZ827"/>
      <c r="XEA827"/>
      <c r="XEB827"/>
      <c r="XEC827"/>
      <c r="XED827"/>
      <c r="XEE827"/>
      <c r="XEF827"/>
      <c r="XEG827"/>
      <c r="XEH827"/>
      <c r="XEI827"/>
      <c r="XEJ827"/>
      <c r="XEK827"/>
      <c r="XEL827"/>
      <c r="XEM827"/>
      <c r="XEN827"/>
      <c r="XEO827"/>
      <c r="XEP827"/>
      <c r="XEQ827"/>
      <c r="XER827"/>
      <c r="XES827"/>
      <c r="XET827"/>
      <c r="XEU827"/>
      <c r="XEV827"/>
      <c r="XEW827"/>
      <c r="XEX827"/>
      <c r="XEY827"/>
      <c r="XEZ827"/>
      <c r="XFA827"/>
      <c r="XFB827"/>
      <c r="XFC827"/>
      <c r="XFD827"/>
    </row>
    <row r="828" spans="1:18 16327:16384" s="26" customFormat="1" ht="29.1" customHeight="1" outlineLevel="2" x14ac:dyDescent="0.25">
      <c r="A828" s="34" t="s">
        <v>1404</v>
      </c>
      <c r="B828" s="35"/>
      <c r="C828" s="65" t="s">
        <v>1405</v>
      </c>
      <c r="D828" s="65"/>
      <c r="E828" s="35"/>
      <c r="F828" s="36" t="s">
        <v>1398</v>
      </c>
      <c r="G828" s="35" t="s">
        <v>31</v>
      </c>
      <c r="H828" s="37"/>
      <c r="I828" s="38">
        <f>1</f>
        <v>1</v>
      </c>
      <c r="J828" s="23"/>
      <c r="K828" s="39"/>
      <c r="L828" s="40"/>
      <c r="M828" s="41">
        <f>K828+L828</f>
        <v>0</v>
      </c>
      <c r="N828" s="41">
        <f t="shared" si="27"/>
        <v>0</v>
      </c>
      <c r="O828" s="41">
        <f>ROUND((I828*L828),2)</f>
        <v>0</v>
      </c>
      <c r="P828" s="41">
        <f>ROUND((I828*M828),2)</f>
        <v>0</v>
      </c>
      <c r="Q828" s="41"/>
      <c r="R828" s="23"/>
      <c r="XCY828"/>
      <c r="XCZ828"/>
      <c r="XDA828"/>
      <c r="XDB828"/>
      <c r="XDC828"/>
      <c r="XDD828"/>
      <c r="XDE828"/>
      <c r="XDF828"/>
      <c r="XDG828"/>
      <c r="XDH828"/>
      <c r="XDI828"/>
      <c r="XDJ828"/>
      <c r="XDK828"/>
      <c r="XDL828"/>
      <c r="XDM828"/>
      <c r="XDN828"/>
      <c r="XDO828"/>
      <c r="XDP828"/>
      <c r="XDQ828"/>
      <c r="XDR828"/>
      <c r="XDS828"/>
      <c r="XDT828"/>
      <c r="XDU828"/>
      <c r="XDV828"/>
      <c r="XDW828"/>
      <c r="XDX828"/>
      <c r="XDY828"/>
      <c r="XDZ828"/>
      <c r="XEA828"/>
      <c r="XEB828"/>
      <c r="XEC828"/>
      <c r="XED828"/>
      <c r="XEE828"/>
      <c r="XEF828"/>
      <c r="XEG828"/>
      <c r="XEH828"/>
      <c r="XEI828"/>
      <c r="XEJ828"/>
      <c r="XEK828"/>
      <c r="XEL828"/>
      <c r="XEM828"/>
      <c r="XEN828"/>
      <c r="XEO828"/>
      <c r="XEP828"/>
      <c r="XEQ828"/>
      <c r="XER828"/>
      <c r="XES828"/>
      <c r="XET828"/>
      <c r="XEU828"/>
      <c r="XEV828"/>
      <c r="XEW828"/>
      <c r="XEX828"/>
      <c r="XEY828"/>
      <c r="XEZ828"/>
      <c r="XFA828"/>
      <c r="XFB828"/>
      <c r="XFC828"/>
      <c r="XFD828"/>
    </row>
    <row r="829" spans="1:18 16327:16384" s="26" customFormat="1" ht="29.1" customHeight="1" outlineLevel="3" x14ac:dyDescent="0.25">
      <c r="A829" s="42" t="s">
        <v>1406</v>
      </c>
      <c r="B829" s="43"/>
      <c r="C829" s="66" t="s">
        <v>1407</v>
      </c>
      <c r="D829" s="66"/>
      <c r="E829" s="43" t="s">
        <v>34</v>
      </c>
      <c r="F829" s="44"/>
      <c r="G829" s="43" t="s">
        <v>31</v>
      </c>
      <c r="H829" s="45">
        <v>1</v>
      </c>
      <c r="I829" s="46">
        <f>1</f>
        <v>1</v>
      </c>
      <c r="J829" s="23"/>
      <c r="K829" s="47"/>
      <c r="L829" s="48"/>
      <c r="M829" s="49"/>
      <c r="N829" s="49">
        <f t="shared" si="27"/>
        <v>0</v>
      </c>
      <c r="O829" s="49"/>
      <c r="P829" s="49"/>
      <c r="Q829" s="49"/>
      <c r="R829" s="23"/>
      <c r="XCY829"/>
      <c r="XCZ829"/>
      <c r="XDA829"/>
      <c r="XDB829"/>
      <c r="XDC829"/>
      <c r="XDD829"/>
      <c r="XDE829"/>
      <c r="XDF829"/>
      <c r="XDG829"/>
      <c r="XDH829"/>
      <c r="XDI829"/>
      <c r="XDJ829"/>
      <c r="XDK829"/>
      <c r="XDL829"/>
      <c r="XDM829"/>
      <c r="XDN829"/>
      <c r="XDO829"/>
      <c r="XDP829"/>
      <c r="XDQ829"/>
      <c r="XDR829"/>
      <c r="XDS829"/>
      <c r="XDT829"/>
      <c r="XDU829"/>
      <c r="XDV829"/>
      <c r="XDW829"/>
      <c r="XDX829"/>
      <c r="XDY829"/>
      <c r="XDZ829"/>
      <c r="XEA829"/>
      <c r="XEB829"/>
      <c r="XEC829"/>
      <c r="XED829"/>
      <c r="XEE829"/>
      <c r="XEF829"/>
      <c r="XEG829"/>
      <c r="XEH829"/>
      <c r="XEI829"/>
      <c r="XEJ829"/>
      <c r="XEK829"/>
      <c r="XEL829"/>
      <c r="XEM829"/>
      <c r="XEN829"/>
      <c r="XEO829"/>
      <c r="XEP829"/>
      <c r="XEQ829"/>
      <c r="XER829"/>
      <c r="XES829"/>
      <c r="XET829"/>
      <c r="XEU829"/>
      <c r="XEV829"/>
      <c r="XEW829"/>
      <c r="XEX829"/>
      <c r="XEY829"/>
      <c r="XEZ829"/>
      <c r="XFA829"/>
      <c r="XFB829"/>
      <c r="XFC829"/>
      <c r="XFD829"/>
    </row>
    <row r="830" spans="1:18 16327:16384" s="26" customFormat="1" ht="29.1" customHeight="1" outlineLevel="2" x14ac:dyDescent="0.25">
      <c r="A830" s="34" t="s">
        <v>1408</v>
      </c>
      <c r="B830" s="35"/>
      <c r="C830" s="65" t="s">
        <v>1409</v>
      </c>
      <c r="D830" s="65"/>
      <c r="E830" s="35"/>
      <c r="F830" s="36" t="s">
        <v>1398</v>
      </c>
      <c r="G830" s="35" t="s">
        <v>31</v>
      </c>
      <c r="H830" s="37"/>
      <c r="I830" s="38">
        <f>1</f>
        <v>1</v>
      </c>
      <c r="J830" s="23"/>
      <c r="K830" s="39"/>
      <c r="L830" s="40"/>
      <c r="M830" s="41">
        <f>K830+L830</f>
        <v>0</v>
      </c>
      <c r="N830" s="41">
        <f t="shared" si="27"/>
        <v>0</v>
      </c>
      <c r="O830" s="41">
        <f>ROUND((I830*L830),2)</f>
        <v>0</v>
      </c>
      <c r="P830" s="41">
        <f>ROUND((I830*M830),2)</f>
        <v>0</v>
      </c>
      <c r="Q830" s="41"/>
      <c r="R830" s="23"/>
      <c r="XCY830"/>
      <c r="XCZ830"/>
      <c r="XDA830"/>
      <c r="XDB830"/>
      <c r="XDC830"/>
      <c r="XDD830"/>
      <c r="XDE830"/>
      <c r="XDF830"/>
      <c r="XDG830"/>
      <c r="XDH830"/>
      <c r="XDI830"/>
      <c r="XDJ830"/>
      <c r="XDK830"/>
      <c r="XDL830"/>
      <c r="XDM830"/>
      <c r="XDN830"/>
      <c r="XDO830"/>
      <c r="XDP830"/>
      <c r="XDQ830"/>
      <c r="XDR830"/>
      <c r="XDS830"/>
      <c r="XDT830"/>
      <c r="XDU830"/>
      <c r="XDV830"/>
      <c r="XDW830"/>
      <c r="XDX830"/>
      <c r="XDY830"/>
      <c r="XDZ830"/>
      <c r="XEA830"/>
      <c r="XEB830"/>
      <c r="XEC830"/>
      <c r="XED830"/>
      <c r="XEE830"/>
      <c r="XEF830"/>
      <c r="XEG830"/>
      <c r="XEH830"/>
      <c r="XEI830"/>
      <c r="XEJ830"/>
      <c r="XEK830"/>
      <c r="XEL830"/>
      <c r="XEM830"/>
      <c r="XEN830"/>
      <c r="XEO830"/>
      <c r="XEP830"/>
      <c r="XEQ830"/>
      <c r="XER830"/>
      <c r="XES830"/>
      <c r="XET830"/>
      <c r="XEU830"/>
      <c r="XEV830"/>
      <c r="XEW830"/>
      <c r="XEX830"/>
      <c r="XEY830"/>
      <c r="XEZ830"/>
      <c r="XFA830"/>
      <c r="XFB830"/>
      <c r="XFC830"/>
      <c r="XFD830"/>
    </row>
    <row r="831" spans="1:18 16327:16384" s="26" customFormat="1" ht="29.1" customHeight="1" outlineLevel="3" x14ac:dyDescent="0.25">
      <c r="A831" s="42" t="s">
        <v>1410</v>
      </c>
      <c r="B831" s="43"/>
      <c r="C831" s="66" t="s">
        <v>1411</v>
      </c>
      <c r="D831" s="66"/>
      <c r="E831" s="43" t="s">
        <v>34</v>
      </c>
      <c r="F831" s="44"/>
      <c r="G831" s="43" t="s">
        <v>31</v>
      </c>
      <c r="H831" s="45">
        <v>1</v>
      </c>
      <c r="I831" s="46">
        <f>1</f>
        <v>1</v>
      </c>
      <c r="J831" s="23"/>
      <c r="K831" s="47"/>
      <c r="L831" s="48"/>
      <c r="M831" s="49"/>
      <c r="N831" s="49">
        <f t="shared" si="27"/>
        <v>0</v>
      </c>
      <c r="O831" s="49"/>
      <c r="P831" s="49"/>
      <c r="Q831" s="49"/>
      <c r="R831" s="23"/>
      <c r="XCY831"/>
      <c r="XCZ831"/>
      <c r="XDA831"/>
      <c r="XDB831"/>
      <c r="XDC831"/>
      <c r="XDD831"/>
      <c r="XDE831"/>
      <c r="XDF831"/>
      <c r="XDG831"/>
      <c r="XDH831"/>
      <c r="XDI831"/>
      <c r="XDJ831"/>
      <c r="XDK831"/>
      <c r="XDL831"/>
      <c r="XDM831"/>
      <c r="XDN831"/>
      <c r="XDO831"/>
      <c r="XDP831"/>
      <c r="XDQ831"/>
      <c r="XDR831"/>
      <c r="XDS831"/>
      <c r="XDT831"/>
      <c r="XDU831"/>
      <c r="XDV831"/>
      <c r="XDW831"/>
      <c r="XDX831"/>
      <c r="XDY831"/>
      <c r="XDZ831"/>
      <c r="XEA831"/>
      <c r="XEB831"/>
      <c r="XEC831"/>
      <c r="XED831"/>
      <c r="XEE831"/>
      <c r="XEF831"/>
      <c r="XEG831"/>
      <c r="XEH831"/>
      <c r="XEI831"/>
      <c r="XEJ831"/>
      <c r="XEK831"/>
      <c r="XEL831"/>
      <c r="XEM831"/>
      <c r="XEN831"/>
      <c r="XEO831"/>
      <c r="XEP831"/>
      <c r="XEQ831"/>
      <c r="XER831"/>
      <c r="XES831"/>
      <c r="XET831"/>
      <c r="XEU831"/>
      <c r="XEV831"/>
      <c r="XEW831"/>
      <c r="XEX831"/>
      <c r="XEY831"/>
      <c r="XEZ831"/>
      <c r="XFA831"/>
      <c r="XFB831"/>
      <c r="XFC831"/>
      <c r="XFD831"/>
    </row>
    <row r="832" spans="1:18 16327:16384" s="26" customFormat="1" ht="29.1" customHeight="1" outlineLevel="2" x14ac:dyDescent="0.25">
      <c r="A832" s="34" t="s">
        <v>1412</v>
      </c>
      <c r="B832" s="35"/>
      <c r="C832" s="65" t="s">
        <v>379</v>
      </c>
      <c r="D832" s="65"/>
      <c r="E832" s="35"/>
      <c r="F832" s="36" t="s">
        <v>1398</v>
      </c>
      <c r="G832" s="35" t="s">
        <v>31</v>
      </c>
      <c r="H832" s="37"/>
      <c r="I832" s="38">
        <f>12</f>
        <v>12</v>
      </c>
      <c r="J832" s="23"/>
      <c r="K832" s="39"/>
      <c r="L832" s="40"/>
      <c r="M832" s="41">
        <f>K832+L832</f>
        <v>0</v>
      </c>
      <c r="N832" s="41">
        <f t="shared" si="27"/>
        <v>0</v>
      </c>
      <c r="O832" s="41">
        <f>ROUND((I832*L832),2)</f>
        <v>0</v>
      </c>
      <c r="P832" s="41">
        <f>ROUND((I832*M832),2)</f>
        <v>0</v>
      </c>
      <c r="Q832" s="41"/>
      <c r="R832" s="23"/>
      <c r="XCY832"/>
      <c r="XCZ832"/>
      <c r="XDA832"/>
      <c r="XDB832"/>
      <c r="XDC832"/>
      <c r="XDD832"/>
      <c r="XDE832"/>
      <c r="XDF832"/>
      <c r="XDG832"/>
      <c r="XDH832"/>
      <c r="XDI832"/>
      <c r="XDJ832"/>
      <c r="XDK832"/>
      <c r="XDL832"/>
      <c r="XDM832"/>
      <c r="XDN832"/>
      <c r="XDO832"/>
      <c r="XDP832"/>
      <c r="XDQ832"/>
      <c r="XDR832"/>
      <c r="XDS832"/>
      <c r="XDT832"/>
      <c r="XDU832"/>
      <c r="XDV832"/>
      <c r="XDW832"/>
      <c r="XDX832"/>
      <c r="XDY832"/>
      <c r="XDZ832"/>
      <c r="XEA832"/>
      <c r="XEB832"/>
      <c r="XEC832"/>
      <c r="XED832"/>
      <c r="XEE832"/>
      <c r="XEF832"/>
      <c r="XEG832"/>
      <c r="XEH832"/>
      <c r="XEI832"/>
      <c r="XEJ832"/>
      <c r="XEK832"/>
      <c r="XEL832"/>
      <c r="XEM832"/>
      <c r="XEN832"/>
      <c r="XEO832"/>
      <c r="XEP832"/>
      <c r="XEQ832"/>
      <c r="XER832"/>
      <c r="XES832"/>
      <c r="XET832"/>
      <c r="XEU832"/>
      <c r="XEV832"/>
      <c r="XEW832"/>
      <c r="XEX832"/>
      <c r="XEY832"/>
      <c r="XEZ832"/>
      <c r="XFA832"/>
      <c r="XFB832"/>
      <c r="XFC832"/>
      <c r="XFD832"/>
    </row>
    <row r="833" spans="1:18 16327:16384" s="26" customFormat="1" ht="29.1" customHeight="1" outlineLevel="3" x14ac:dyDescent="0.25">
      <c r="A833" s="42" t="s">
        <v>1413</v>
      </c>
      <c r="B833" s="43"/>
      <c r="C833" s="66" t="s">
        <v>1414</v>
      </c>
      <c r="D833" s="66"/>
      <c r="E833" s="43" t="s">
        <v>34</v>
      </c>
      <c r="F833" s="44"/>
      <c r="G833" s="43" t="s">
        <v>31</v>
      </c>
      <c r="H833" s="45">
        <v>1</v>
      </c>
      <c r="I833" s="46">
        <f>12</f>
        <v>12</v>
      </c>
      <c r="J833" s="23"/>
      <c r="K833" s="47"/>
      <c r="L833" s="48"/>
      <c r="M833" s="49"/>
      <c r="N833" s="49">
        <f t="shared" si="27"/>
        <v>0</v>
      </c>
      <c r="O833" s="49"/>
      <c r="P833" s="49"/>
      <c r="Q833" s="49"/>
      <c r="R833" s="23"/>
      <c r="XCY833"/>
      <c r="XCZ833"/>
      <c r="XDA833"/>
      <c r="XDB833"/>
      <c r="XDC833"/>
      <c r="XDD833"/>
      <c r="XDE833"/>
      <c r="XDF833"/>
      <c r="XDG833"/>
      <c r="XDH833"/>
      <c r="XDI833"/>
      <c r="XDJ833"/>
      <c r="XDK833"/>
      <c r="XDL833"/>
      <c r="XDM833"/>
      <c r="XDN833"/>
      <c r="XDO833"/>
      <c r="XDP833"/>
      <c r="XDQ833"/>
      <c r="XDR833"/>
      <c r="XDS833"/>
      <c r="XDT833"/>
      <c r="XDU833"/>
      <c r="XDV833"/>
      <c r="XDW833"/>
      <c r="XDX833"/>
      <c r="XDY833"/>
      <c r="XDZ833"/>
      <c r="XEA833"/>
      <c r="XEB833"/>
      <c r="XEC833"/>
      <c r="XED833"/>
      <c r="XEE833"/>
      <c r="XEF833"/>
      <c r="XEG833"/>
      <c r="XEH833"/>
      <c r="XEI833"/>
      <c r="XEJ833"/>
      <c r="XEK833"/>
      <c r="XEL833"/>
      <c r="XEM833"/>
      <c r="XEN833"/>
      <c r="XEO833"/>
      <c r="XEP833"/>
      <c r="XEQ833"/>
      <c r="XER833"/>
      <c r="XES833"/>
      <c r="XET833"/>
      <c r="XEU833"/>
      <c r="XEV833"/>
      <c r="XEW833"/>
      <c r="XEX833"/>
      <c r="XEY833"/>
      <c r="XEZ833"/>
      <c r="XFA833"/>
      <c r="XFB833"/>
      <c r="XFC833"/>
      <c r="XFD833"/>
    </row>
    <row r="834" spans="1:18 16327:16384" s="26" customFormat="1" ht="29.1" customHeight="1" outlineLevel="3" x14ac:dyDescent="0.25">
      <c r="A834" s="42" t="s">
        <v>1415</v>
      </c>
      <c r="B834" s="43"/>
      <c r="C834" s="66" t="s">
        <v>1416</v>
      </c>
      <c r="D834" s="66"/>
      <c r="E834" s="43" t="s">
        <v>34</v>
      </c>
      <c r="F834" s="44"/>
      <c r="G834" s="43" t="s">
        <v>31</v>
      </c>
      <c r="H834" s="45">
        <v>1</v>
      </c>
      <c r="I834" s="46">
        <f>24</f>
        <v>24</v>
      </c>
      <c r="J834" s="23"/>
      <c r="K834" s="47"/>
      <c r="L834" s="48"/>
      <c r="M834" s="49"/>
      <c r="N834" s="49">
        <f t="shared" si="27"/>
        <v>0</v>
      </c>
      <c r="O834" s="49"/>
      <c r="P834" s="49"/>
      <c r="Q834" s="49"/>
      <c r="R834" s="23"/>
      <c r="XCY834"/>
      <c r="XCZ834"/>
      <c r="XDA834"/>
      <c r="XDB834"/>
      <c r="XDC834"/>
      <c r="XDD834"/>
      <c r="XDE834"/>
      <c r="XDF834"/>
      <c r="XDG834"/>
      <c r="XDH834"/>
      <c r="XDI834"/>
      <c r="XDJ834"/>
      <c r="XDK834"/>
      <c r="XDL834"/>
      <c r="XDM834"/>
      <c r="XDN834"/>
      <c r="XDO834"/>
      <c r="XDP834"/>
      <c r="XDQ834"/>
      <c r="XDR834"/>
      <c r="XDS834"/>
      <c r="XDT834"/>
      <c r="XDU834"/>
      <c r="XDV834"/>
      <c r="XDW834"/>
      <c r="XDX834"/>
      <c r="XDY834"/>
      <c r="XDZ834"/>
      <c r="XEA834"/>
      <c r="XEB834"/>
      <c r="XEC834"/>
      <c r="XED834"/>
      <c r="XEE834"/>
      <c r="XEF834"/>
      <c r="XEG834"/>
      <c r="XEH834"/>
      <c r="XEI834"/>
      <c r="XEJ834"/>
      <c r="XEK834"/>
      <c r="XEL834"/>
      <c r="XEM834"/>
      <c r="XEN834"/>
      <c r="XEO834"/>
      <c r="XEP834"/>
      <c r="XEQ834"/>
      <c r="XER834"/>
      <c r="XES834"/>
      <c r="XET834"/>
      <c r="XEU834"/>
      <c r="XEV834"/>
      <c r="XEW834"/>
      <c r="XEX834"/>
      <c r="XEY834"/>
      <c r="XEZ834"/>
      <c r="XFA834"/>
      <c r="XFB834"/>
      <c r="XFC834"/>
      <c r="XFD834"/>
    </row>
    <row r="835" spans="1:18 16327:16384" s="26" customFormat="1" ht="29.1" customHeight="1" outlineLevel="2" x14ac:dyDescent="0.25">
      <c r="A835" s="34" t="s">
        <v>1417</v>
      </c>
      <c r="B835" s="35"/>
      <c r="C835" s="65" t="s">
        <v>379</v>
      </c>
      <c r="D835" s="65"/>
      <c r="E835" s="35"/>
      <c r="F835" s="36" t="s">
        <v>1398</v>
      </c>
      <c r="G835" s="35" t="s">
        <v>31</v>
      </c>
      <c r="H835" s="37"/>
      <c r="I835" s="38">
        <f>12</f>
        <v>12</v>
      </c>
      <c r="J835" s="23"/>
      <c r="K835" s="39"/>
      <c r="L835" s="40"/>
      <c r="M835" s="41">
        <f>K835+L835</f>
        <v>0</v>
      </c>
      <c r="N835" s="41">
        <f t="shared" si="27"/>
        <v>0</v>
      </c>
      <c r="O835" s="41">
        <f>ROUND((I835*L835),2)</f>
        <v>0</v>
      </c>
      <c r="P835" s="41">
        <f>ROUND((I835*M835),2)</f>
        <v>0</v>
      </c>
      <c r="Q835" s="41"/>
      <c r="R835" s="23"/>
      <c r="XCY835"/>
      <c r="XCZ835"/>
      <c r="XDA835"/>
      <c r="XDB835"/>
      <c r="XDC835"/>
      <c r="XDD835"/>
      <c r="XDE835"/>
      <c r="XDF835"/>
      <c r="XDG835"/>
      <c r="XDH835"/>
      <c r="XDI835"/>
      <c r="XDJ835"/>
      <c r="XDK835"/>
      <c r="XDL835"/>
      <c r="XDM835"/>
      <c r="XDN835"/>
      <c r="XDO835"/>
      <c r="XDP835"/>
      <c r="XDQ835"/>
      <c r="XDR835"/>
      <c r="XDS835"/>
      <c r="XDT835"/>
      <c r="XDU835"/>
      <c r="XDV835"/>
      <c r="XDW835"/>
      <c r="XDX835"/>
      <c r="XDY835"/>
      <c r="XDZ835"/>
      <c r="XEA835"/>
      <c r="XEB835"/>
      <c r="XEC835"/>
      <c r="XED835"/>
      <c r="XEE835"/>
      <c r="XEF835"/>
      <c r="XEG835"/>
      <c r="XEH835"/>
      <c r="XEI835"/>
      <c r="XEJ835"/>
      <c r="XEK835"/>
      <c r="XEL835"/>
      <c r="XEM835"/>
      <c r="XEN835"/>
      <c r="XEO835"/>
      <c r="XEP835"/>
      <c r="XEQ835"/>
      <c r="XER835"/>
      <c r="XES835"/>
      <c r="XET835"/>
      <c r="XEU835"/>
      <c r="XEV835"/>
      <c r="XEW835"/>
      <c r="XEX835"/>
      <c r="XEY835"/>
      <c r="XEZ835"/>
      <c r="XFA835"/>
      <c r="XFB835"/>
      <c r="XFC835"/>
      <c r="XFD835"/>
    </row>
    <row r="836" spans="1:18 16327:16384" s="26" customFormat="1" ht="29.1" customHeight="1" outlineLevel="3" x14ac:dyDescent="0.25">
      <c r="A836" s="42" t="s">
        <v>1418</v>
      </c>
      <c r="B836" s="43"/>
      <c r="C836" s="66" t="s">
        <v>1419</v>
      </c>
      <c r="D836" s="66"/>
      <c r="E836" s="43" t="s">
        <v>34</v>
      </c>
      <c r="F836" s="44"/>
      <c r="G836" s="43" t="s">
        <v>31</v>
      </c>
      <c r="H836" s="45">
        <v>1</v>
      </c>
      <c r="I836" s="46">
        <f>12</f>
        <v>12</v>
      </c>
      <c r="J836" s="23"/>
      <c r="K836" s="47"/>
      <c r="L836" s="48"/>
      <c r="M836" s="49"/>
      <c r="N836" s="49">
        <f t="shared" si="27"/>
        <v>0</v>
      </c>
      <c r="O836" s="49"/>
      <c r="P836" s="49"/>
      <c r="Q836" s="49"/>
      <c r="R836" s="23"/>
      <c r="XCY836"/>
      <c r="XCZ836"/>
      <c r="XDA836"/>
      <c r="XDB836"/>
      <c r="XDC836"/>
      <c r="XDD836"/>
      <c r="XDE836"/>
      <c r="XDF836"/>
      <c r="XDG836"/>
      <c r="XDH836"/>
      <c r="XDI836"/>
      <c r="XDJ836"/>
      <c r="XDK836"/>
      <c r="XDL836"/>
      <c r="XDM836"/>
      <c r="XDN836"/>
      <c r="XDO836"/>
      <c r="XDP836"/>
      <c r="XDQ836"/>
      <c r="XDR836"/>
      <c r="XDS836"/>
      <c r="XDT836"/>
      <c r="XDU836"/>
      <c r="XDV836"/>
      <c r="XDW836"/>
      <c r="XDX836"/>
      <c r="XDY836"/>
      <c r="XDZ836"/>
      <c r="XEA836"/>
      <c r="XEB836"/>
      <c r="XEC836"/>
      <c r="XED836"/>
      <c r="XEE836"/>
      <c r="XEF836"/>
      <c r="XEG836"/>
      <c r="XEH836"/>
      <c r="XEI836"/>
      <c r="XEJ836"/>
      <c r="XEK836"/>
      <c r="XEL836"/>
      <c r="XEM836"/>
      <c r="XEN836"/>
      <c r="XEO836"/>
      <c r="XEP836"/>
      <c r="XEQ836"/>
      <c r="XER836"/>
      <c r="XES836"/>
      <c r="XET836"/>
      <c r="XEU836"/>
      <c r="XEV836"/>
      <c r="XEW836"/>
      <c r="XEX836"/>
      <c r="XEY836"/>
      <c r="XEZ836"/>
      <c r="XFA836"/>
      <c r="XFB836"/>
      <c r="XFC836"/>
      <c r="XFD836"/>
    </row>
    <row r="837" spans="1:18 16327:16384" s="26" customFormat="1" ht="29.1" customHeight="1" outlineLevel="3" x14ac:dyDescent="0.25">
      <c r="A837" s="42" t="s">
        <v>1420</v>
      </c>
      <c r="B837" s="43"/>
      <c r="C837" s="66" t="s">
        <v>1314</v>
      </c>
      <c r="D837" s="66"/>
      <c r="E837" s="43" t="s">
        <v>34</v>
      </c>
      <c r="F837" s="44"/>
      <c r="G837" s="43" t="s">
        <v>31</v>
      </c>
      <c r="H837" s="45">
        <v>1</v>
      </c>
      <c r="I837" s="46">
        <f>24</f>
        <v>24</v>
      </c>
      <c r="J837" s="23"/>
      <c r="K837" s="47"/>
      <c r="L837" s="48"/>
      <c r="M837" s="49"/>
      <c r="N837" s="49">
        <f t="shared" si="27"/>
        <v>0</v>
      </c>
      <c r="O837" s="49"/>
      <c r="P837" s="49"/>
      <c r="Q837" s="49"/>
      <c r="R837" s="23"/>
      <c r="XCY837"/>
      <c r="XCZ837"/>
      <c r="XDA837"/>
      <c r="XDB837"/>
      <c r="XDC837"/>
      <c r="XDD837"/>
      <c r="XDE837"/>
      <c r="XDF837"/>
      <c r="XDG837"/>
      <c r="XDH837"/>
      <c r="XDI837"/>
      <c r="XDJ837"/>
      <c r="XDK837"/>
      <c r="XDL837"/>
      <c r="XDM837"/>
      <c r="XDN837"/>
      <c r="XDO837"/>
      <c r="XDP837"/>
      <c r="XDQ837"/>
      <c r="XDR837"/>
      <c r="XDS837"/>
      <c r="XDT837"/>
      <c r="XDU837"/>
      <c r="XDV837"/>
      <c r="XDW837"/>
      <c r="XDX837"/>
      <c r="XDY837"/>
      <c r="XDZ837"/>
      <c r="XEA837"/>
      <c r="XEB837"/>
      <c r="XEC837"/>
      <c r="XED837"/>
      <c r="XEE837"/>
      <c r="XEF837"/>
      <c r="XEG837"/>
      <c r="XEH837"/>
      <c r="XEI837"/>
      <c r="XEJ837"/>
      <c r="XEK837"/>
      <c r="XEL837"/>
      <c r="XEM837"/>
      <c r="XEN837"/>
      <c r="XEO837"/>
      <c r="XEP837"/>
      <c r="XEQ837"/>
      <c r="XER837"/>
      <c r="XES837"/>
      <c r="XET837"/>
      <c r="XEU837"/>
      <c r="XEV837"/>
      <c r="XEW837"/>
      <c r="XEX837"/>
      <c r="XEY837"/>
      <c r="XEZ837"/>
      <c r="XFA837"/>
      <c r="XFB837"/>
      <c r="XFC837"/>
      <c r="XFD837"/>
    </row>
    <row r="838" spans="1:18 16327:16384" s="26" customFormat="1" ht="29.1" customHeight="1" outlineLevel="2" x14ac:dyDescent="0.25">
      <c r="A838" s="34" t="s">
        <v>1421</v>
      </c>
      <c r="B838" s="35"/>
      <c r="C838" s="65" t="s">
        <v>379</v>
      </c>
      <c r="D838" s="65"/>
      <c r="E838" s="35"/>
      <c r="F838" s="36" t="s">
        <v>1398</v>
      </c>
      <c r="G838" s="35" t="s">
        <v>31</v>
      </c>
      <c r="H838" s="37"/>
      <c r="I838" s="38">
        <f>2</f>
        <v>2</v>
      </c>
      <c r="J838" s="23"/>
      <c r="K838" s="39"/>
      <c r="L838" s="40"/>
      <c r="M838" s="41">
        <f>K838+L838</f>
        <v>0</v>
      </c>
      <c r="N838" s="41">
        <f t="shared" si="27"/>
        <v>0</v>
      </c>
      <c r="O838" s="41">
        <f>ROUND((I838*L838),2)</f>
        <v>0</v>
      </c>
      <c r="P838" s="41">
        <f>ROUND((I838*M838),2)</f>
        <v>0</v>
      </c>
      <c r="Q838" s="41"/>
      <c r="R838" s="23"/>
      <c r="XCY838"/>
      <c r="XCZ838"/>
      <c r="XDA838"/>
      <c r="XDB838"/>
      <c r="XDC838"/>
      <c r="XDD838"/>
      <c r="XDE838"/>
      <c r="XDF838"/>
      <c r="XDG838"/>
      <c r="XDH838"/>
      <c r="XDI838"/>
      <c r="XDJ838"/>
      <c r="XDK838"/>
      <c r="XDL838"/>
      <c r="XDM838"/>
      <c r="XDN838"/>
      <c r="XDO838"/>
      <c r="XDP838"/>
      <c r="XDQ838"/>
      <c r="XDR838"/>
      <c r="XDS838"/>
      <c r="XDT838"/>
      <c r="XDU838"/>
      <c r="XDV838"/>
      <c r="XDW838"/>
      <c r="XDX838"/>
      <c r="XDY838"/>
      <c r="XDZ838"/>
      <c r="XEA838"/>
      <c r="XEB838"/>
      <c r="XEC838"/>
      <c r="XED838"/>
      <c r="XEE838"/>
      <c r="XEF838"/>
      <c r="XEG838"/>
      <c r="XEH838"/>
      <c r="XEI838"/>
      <c r="XEJ838"/>
      <c r="XEK838"/>
      <c r="XEL838"/>
      <c r="XEM838"/>
      <c r="XEN838"/>
      <c r="XEO838"/>
      <c r="XEP838"/>
      <c r="XEQ838"/>
      <c r="XER838"/>
      <c r="XES838"/>
      <c r="XET838"/>
      <c r="XEU838"/>
      <c r="XEV838"/>
      <c r="XEW838"/>
      <c r="XEX838"/>
      <c r="XEY838"/>
      <c r="XEZ838"/>
      <c r="XFA838"/>
      <c r="XFB838"/>
      <c r="XFC838"/>
      <c r="XFD838"/>
    </row>
    <row r="839" spans="1:18 16327:16384" s="26" customFormat="1" ht="29.1" customHeight="1" outlineLevel="3" x14ac:dyDescent="0.25">
      <c r="A839" s="42" t="s">
        <v>1422</v>
      </c>
      <c r="B839" s="43"/>
      <c r="C839" s="66" t="s">
        <v>1423</v>
      </c>
      <c r="D839" s="66"/>
      <c r="E839" s="43" t="s">
        <v>34</v>
      </c>
      <c r="F839" s="44"/>
      <c r="G839" s="43" t="s">
        <v>31</v>
      </c>
      <c r="H839" s="45">
        <v>1</v>
      </c>
      <c r="I839" s="46">
        <f>2</f>
        <v>2</v>
      </c>
      <c r="J839" s="23"/>
      <c r="K839" s="47"/>
      <c r="L839" s="48"/>
      <c r="M839" s="49"/>
      <c r="N839" s="49">
        <f t="shared" si="27"/>
        <v>0</v>
      </c>
      <c r="O839" s="49"/>
      <c r="P839" s="49"/>
      <c r="Q839" s="49"/>
      <c r="R839" s="23"/>
      <c r="XCY839"/>
      <c r="XCZ839"/>
      <c r="XDA839"/>
      <c r="XDB839"/>
      <c r="XDC839"/>
      <c r="XDD839"/>
      <c r="XDE839"/>
      <c r="XDF839"/>
      <c r="XDG839"/>
      <c r="XDH839"/>
      <c r="XDI839"/>
      <c r="XDJ839"/>
      <c r="XDK839"/>
      <c r="XDL839"/>
      <c r="XDM839"/>
      <c r="XDN839"/>
      <c r="XDO839"/>
      <c r="XDP839"/>
      <c r="XDQ839"/>
      <c r="XDR839"/>
      <c r="XDS839"/>
      <c r="XDT839"/>
      <c r="XDU839"/>
      <c r="XDV839"/>
      <c r="XDW839"/>
      <c r="XDX839"/>
      <c r="XDY839"/>
      <c r="XDZ839"/>
      <c r="XEA839"/>
      <c r="XEB839"/>
      <c r="XEC839"/>
      <c r="XED839"/>
      <c r="XEE839"/>
      <c r="XEF839"/>
      <c r="XEG839"/>
      <c r="XEH839"/>
      <c r="XEI839"/>
      <c r="XEJ839"/>
      <c r="XEK839"/>
      <c r="XEL839"/>
      <c r="XEM839"/>
      <c r="XEN839"/>
      <c r="XEO839"/>
      <c r="XEP839"/>
      <c r="XEQ839"/>
      <c r="XER839"/>
      <c r="XES839"/>
      <c r="XET839"/>
      <c r="XEU839"/>
      <c r="XEV839"/>
      <c r="XEW839"/>
      <c r="XEX839"/>
      <c r="XEY839"/>
      <c r="XEZ839"/>
      <c r="XFA839"/>
      <c r="XFB839"/>
      <c r="XFC839"/>
      <c r="XFD839"/>
    </row>
    <row r="840" spans="1:18 16327:16384" s="26" customFormat="1" ht="29.1" customHeight="1" outlineLevel="3" x14ac:dyDescent="0.25">
      <c r="A840" s="42" t="s">
        <v>1424</v>
      </c>
      <c r="B840" s="43"/>
      <c r="C840" s="66" t="s">
        <v>1425</v>
      </c>
      <c r="D840" s="66"/>
      <c r="E840" s="43" t="s">
        <v>34</v>
      </c>
      <c r="F840" s="44"/>
      <c r="G840" s="43" t="s">
        <v>31</v>
      </c>
      <c r="H840" s="45">
        <v>1</v>
      </c>
      <c r="I840" s="46">
        <f>4</f>
        <v>4</v>
      </c>
      <c r="J840" s="23"/>
      <c r="K840" s="47"/>
      <c r="L840" s="48"/>
      <c r="M840" s="49"/>
      <c r="N840" s="49">
        <f t="shared" si="27"/>
        <v>0</v>
      </c>
      <c r="O840" s="49"/>
      <c r="P840" s="49"/>
      <c r="Q840" s="49"/>
      <c r="R840" s="23"/>
      <c r="XCY840"/>
      <c r="XCZ840"/>
      <c r="XDA840"/>
      <c r="XDB840"/>
      <c r="XDC840"/>
      <c r="XDD840"/>
      <c r="XDE840"/>
      <c r="XDF840"/>
      <c r="XDG840"/>
      <c r="XDH840"/>
      <c r="XDI840"/>
      <c r="XDJ840"/>
      <c r="XDK840"/>
      <c r="XDL840"/>
      <c r="XDM840"/>
      <c r="XDN840"/>
      <c r="XDO840"/>
      <c r="XDP840"/>
      <c r="XDQ840"/>
      <c r="XDR840"/>
      <c r="XDS840"/>
      <c r="XDT840"/>
      <c r="XDU840"/>
      <c r="XDV840"/>
      <c r="XDW840"/>
      <c r="XDX840"/>
      <c r="XDY840"/>
      <c r="XDZ840"/>
      <c r="XEA840"/>
      <c r="XEB840"/>
      <c r="XEC840"/>
      <c r="XED840"/>
      <c r="XEE840"/>
      <c r="XEF840"/>
      <c r="XEG840"/>
      <c r="XEH840"/>
      <c r="XEI840"/>
      <c r="XEJ840"/>
      <c r="XEK840"/>
      <c r="XEL840"/>
      <c r="XEM840"/>
      <c r="XEN840"/>
      <c r="XEO840"/>
      <c r="XEP840"/>
      <c r="XEQ840"/>
      <c r="XER840"/>
      <c r="XES840"/>
      <c r="XET840"/>
      <c r="XEU840"/>
      <c r="XEV840"/>
      <c r="XEW840"/>
      <c r="XEX840"/>
      <c r="XEY840"/>
      <c r="XEZ840"/>
      <c r="XFA840"/>
      <c r="XFB840"/>
      <c r="XFC840"/>
      <c r="XFD840"/>
    </row>
    <row r="841" spans="1:18 16327:16384" s="26" customFormat="1" ht="29.1" customHeight="1" outlineLevel="2" x14ac:dyDescent="0.25">
      <c r="A841" s="34" t="s">
        <v>1426</v>
      </c>
      <c r="B841" s="35"/>
      <c r="C841" s="65" t="s">
        <v>379</v>
      </c>
      <c r="D841" s="65"/>
      <c r="E841" s="35"/>
      <c r="F841" s="36" t="s">
        <v>1398</v>
      </c>
      <c r="G841" s="35" t="s">
        <v>31</v>
      </c>
      <c r="H841" s="37"/>
      <c r="I841" s="38">
        <f>18</f>
        <v>18</v>
      </c>
      <c r="J841" s="23"/>
      <c r="K841" s="39"/>
      <c r="L841" s="40"/>
      <c r="M841" s="41">
        <f>K841+L841</f>
        <v>0</v>
      </c>
      <c r="N841" s="41">
        <f t="shared" si="27"/>
        <v>0</v>
      </c>
      <c r="O841" s="41">
        <f>ROUND((I841*L841),2)</f>
        <v>0</v>
      </c>
      <c r="P841" s="41">
        <f>ROUND((I841*M841),2)</f>
        <v>0</v>
      </c>
      <c r="Q841" s="41"/>
      <c r="R841" s="23"/>
      <c r="XCY841"/>
      <c r="XCZ841"/>
      <c r="XDA841"/>
      <c r="XDB841"/>
      <c r="XDC841"/>
      <c r="XDD841"/>
      <c r="XDE841"/>
      <c r="XDF841"/>
      <c r="XDG841"/>
      <c r="XDH841"/>
      <c r="XDI841"/>
      <c r="XDJ841"/>
      <c r="XDK841"/>
      <c r="XDL841"/>
      <c r="XDM841"/>
      <c r="XDN841"/>
      <c r="XDO841"/>
      <c r="XDP841"/>
      <c r="XDQ841"/>
      <c r="XDR841"/>
      <c r="XDS841"/>
      <c r="XDT841"/>
      <c r="XDU841"/>
      <c r="XDV841"/>
      <c r="XDW841"/>
      <c r="XDX841"/>
      <c r="XDY841"/>
      <c r="XDZ841"/>
      <c r="XEA841"/>
      <c r="XEB841"/>
      <c r="XEC841"/>
      <c r="XED841"/>
      <c r="XEE841"/>
      <c r="XEF841"/>
      <c r="XEG841"/>
      <c r="XEH841"/>
      <c r="XEI841"/>
      <c r="XEJ841"/>
      <c r="XEK841"/>
      <c r="XEL841"/>
      <c r="XEM841"/>
      <c r="XEN841"/>
      <c r="XEO841"/>
      <c r="XEP841"/>
      <c r="XEQ841"/>
      <c r="XER841"/>
      <c r="XES841"/>
      <c r="XET841"/>
      <c r="XEU841"/>
      <c r="XEV841"/>
      <c r="XEW841"/>
      <c r="XEX841"/>
      <c r="XEY841"/>
      <c r="XEZ841"/>
      <c r="XFA841"/>
      <c r="XFB841"/>
      <c r="XFC841"/>
      <c r="XFD841"/>
    </row>
    <row r="842" spans="1:18 16327:16384" s="26" customFormat="1" ht="29.1" customHeight="1" outlineLevel="3" x14ac:dyDescent="0.25">
      <c r="A842" s="42" t="s">
        <v>1427</v>
      </c>
      <c r="B842" s="43"/>
      <c r="C842" s="66" t="s">
        <v>1428</v>
      </c>
      <c r="D842" s="66"/>
      <c r="E842" s="43" t="s">
        <v>34</v>
      </c>
      <c r="F842" s="44"/>
      <c r="G842" s="43" t="s">
        <v>31</v>
      </c>
      <c r="H842" s="45">
        <v>1</v>
      </c>
      <c r="I842" s="46">
        <f>18</f>
        <v>18</v>
      </c>
      <c r="J842" s="23"/>
      <c r="K842" s="47"/>
      <c r="L842" s="48"/>
      <c r="M842" s="49"/>
      <c r="N842" s="49">
        <f t="shared" si="27"/>
        <v>0</v>
      </c>
      <c r="O842" s="49"/>
      <c r="P842" s="49"/>
      <c r="Q842" s="49"/>
      <c r="R842" s="23"/>
      <c r="XCY842"/>
      <c r="XCZ842"/>
      <c r="XDA842"/>
      <c r="XDB842"/>
      <c r="XDC842"/>
      <c r="XDD842"/>
      <c r="XDE842"/>
      <c r="XDF842"/>
      <c r="XDG842"/>
      <c r="XDH842"/>
      <c r="XDI842"/>
      <c r="XDJ842"/>
      <c r="XDK842"/>
      <c r="XDL842"/>
      <c r="XDM842"/>
      <c r="XDN842"/>
      <c r="XDO842"/>
      <c r="XDP842"/>
      <c r="XDQ842"/>
      <c r="XDR842"/>
      <c r="XDS842"/>
      <c r="XDT842"/>
      <c r="XDU842"/>
      <c r="XDV842"/>
      <c r="XDW842"/>
      <c r="XDX842"/>
      <c r="XDY842"/>
      <c r="XDZ842"/>
      <c r="XEA842"/>
      <c r="XEB842"/>
      <c r="XEC842"/>
      <c r="XED842"/>
      <c r="XEE842"/>
      <c r="XEF842"/>
      <c r="XEG842"/>
      <c r="XEH842"/>
      <c r="XEI842"/>
      <c r="XEJ842"/>
      <c r="XEK842"/>
      <c r="XEL842"/>
      <c r="XEM842"/>
      <c r="XEN842"/>
      <c r="XEO842"/>
      <c r="XEP842"/>
      <c r="XEQ842"/>
      <c r="XER842"/>
      <c r="XES842"/>
      <c r="XET842"/>
      <c r="XEU842"/>
      <c r="XEV842"/>
      <c r="XEW842"/>
      <c r="XEX842"/>
      <c r="XEY842"/>
      <c r="XEZ842"/>
      <c r="XFA842"/>
      <c r="XFB842"/>
      <c r="XFC842"/>
      <c r="XFD842"/>
    </row>
    <row r="843" spans="1:18 16327:16384" s="26" customFormat="1" ht="29.1" customHeight="1" outlineLevel="3" x14ac:dyDescent="0.25">
      <c r="A843" s="42" t="s">
        <v>1429</v>
      </c>
      <c r="B843" s="43"/>
      <c r="C843" s="66" t="s">
        <v>1430</v>
      </c>
      <c r="D843" s="66"/>
      <c r="E843" s="43" t="s">
        <v>34</v>
      </c>
      <c r="F843" s="44"/>
      <c r="G843" s="43" t="s">
        <v>31</v>
      </c>
      <c r="H843" s="45">
        <v>1</v>
      </c>
      <c r="I843" s="46">
        <f>36</f>
        <v>36</v>
      </c>
      <c r="J843" s="23"/>
      <c r="K843" s="47"/>
      <c r="L843" s="48"/>
      <c r="M843" s="49"/>
      <c r="N843" s="49">
        <f t="shared" si="27"/>
        <v>0</v>
      </c>
      <c r="O843" s="49"/>
      <c r="P843" s="49"/>
      <c r="Q843" s="49"/>
      <c r="R843" s="23"/>
      <c r="XCY843"/>
      <c r="XCZ843"/>
      <c r="XDA843"/>
      <c r="XDB843"/>
      <c r="XDC843"/>
      <c r="XDD843"/>
      <c r="XDE843"/>
      <c r="XDF843"/>
      <c r="XDG843"/>
      <c r="XDH843"/>
      <c r="XDI843"/>
      <c r="XDJ843"/>
      <c r="XDK843"/>
      <c r="XDL843"/>
      <c r="XDM843"/>
      <c r="XDN843"/>
      <c r="XDO843"/>
      <c r="XDP843"/>
      <c r="XDQ843"/>
      <c r="XDR843"/>
      <c r="XDS843"/>
      <c r="XDT843"/>
      <c r="XDU843"/>
      <c r="XDV843"/>
      <c r="XDW843"/>
      <c r="XDX843"/>
      <c r="XDY843"/>
      <c r="XDZ843"/>
      <c r="XEA843"/>
      <c r="XEB843"/>
      <c r="XEC843"/>
      <c r="XED843"/>
      <c r="XEE843"/>
      <c r="XEF843"/>
      <c r="XEG843"/>
      <c r="XEH843"/>
      <c r="XEI843"/>
      <c r="XEJ843"/>
      <c r="XEK843"/>
      <c r="XEL843"/>
      <c r="XEM843"/>
      <c r="XEN843"/>
      <c r="XEO843"/>
      <c r="XEP843"/>
      <c r="XEQ843"/>
      <c r="XER843"/>
      <c r="XES843"/>
      <c r="XET843"/>
      <c r="XEU843"/>
      <c r="XEV843"/>
      <c r="XEW843"/>
      <c r="XEX843"/>
      <c r="XEY843"/>
      <c r="XEZ843"/>
      <c r="XFA843"/>
      <c r="XFB843"/>
      <c r="XFC843"/>
      <c r="XFD843"/>
    </row>
    <row r="844" spans="1:18 16327:16384" s="26" customFormat="1" ht="29.1" customHeight="1" outlineLevel="2" x14ac:dyDescent="0.25">
      <c r="A844" s="34" t="s">
        <v>1431</v>
      </c>
      <c r="B844" s="35"/>
      <c r="C844" s="65" t="s">
        <v>1432</v>
      </c>
      <c r="D844" s="65"/>
      <c r="E844" s="35"/>
      <c r="F844" s="36" t="s">
        <v>1398</v>
      </c>
      <c r="G844" s="35" t="s">
        <v>31</v>
      </c>
      <c r="H844" s="37"/>
      <c r="I844" s="38">
        <f>796</f>
        <v>796</v>
      </c>
      <c r="J844" s="23"/>
      <c r="K844" s="39"/>
      <c r="L844" s="40"/>
      <c r="M844" s="41">
        <f>K844+L844</f>
        <v>0</v>
      </c>
      <c r="N844" s="41">
        <f t="shared" si="27"/>
        <v>0</v>
      </c>
      <c r="O844" s="41">
        <f>ROUND((I844*L844),2)</f>
        <v>0</v>
      </c>
      <c r="P844" s="41">
        <f>ROUND((I844*M844),2)</f>
        <v>0</v>
      </c>
      <c r="Q844" s="41"/>
      <c r="R844" s="23"/>
      <c r="XCY844"/>
      <c r="XCZ844"/>
      <c r="XDA844"/>
      <c r="XDB844"/>
      <c r="XDC844"/>
      <c r="XDD844"/>
      <c r="XDE844"/>
      <c r="XDF844"/>
      <c r="XDG844"/>
      <c r="XDH844"/>
      <c r="XDI844"/>
      <c r="XDJ844"/>
      <c r="XDK844"/>
      <c r="XDL844"/>
      <c r="XDM844"/>
      <c r="XDN844"/>
      <c r="XDO844"/>
      <c r="XDP844"/>
      <c r="XDQ844"/>
      <c r="XDR844"/>
      <c r="XDS844"/>
      <c r="XDT844"/>
      <c r="XDU844"/>
      <c r="XDV844"/>
      <c r="XDW844"/>
      <c r="XDX844"/>
      <c r="XDY844"/>
      <c r="XDZ844"/>
      <c r="XEA844"/>
      <c r="XEB844"/>
      <c r="XEC844"/>
      <c r="XED844"/>
      <c r="XEE844"/>
      <c r="XEF844"/>
      <c r="XEG844"/>
      <c r="XEH844"/>
      <c r="XEI844"/>
      <c r="XEJ844"/>
      <c r="XEK844"/>
      <c r="XEL844"/>
      <c r="XEM844"/>
      <c r="XEN844"/>
      <c r="XEO844"/>
      <c r="XEP844"/>
      <c r="XEQ844"/>
      <c r="XER844"/>
      <c r="XES844"/>
      <c r="XET844"/>
      <c r="XEU844"/>
      <c r="XEV844"/>
      <c r="XEW844"/>
      <c r="XEX844"/>
      <c r="XEY844"/>
      <c r="XEZ844"/>
      <c r="XFA844"/>
      <c r="XFB844"/>
      <c r="XFC844"/>
      <c r="XFD844"/>
    </row>
    <row r="845" spans="1:18 16327:16384" s="26" customFormat="1" ht="29.1" customHeight="1" outlineLevel="3" x14ac:dyDescent="0.25">
      <c r="A845" s="42" t="s">
        <v>1433</v>
      </c>
      <c r="B845" s="43"/>
      <c r="C845" s="66" t="s">
        <v>1434</v>
      </c>
      <c r="D845" s="66"/>
      <c r="E845" s="43" t="s">
        <v>34</v>
      </c>
      <c r="F845" s="44"/>
      <c r="G845" s="43" t="s">
        <v>31</v>
      </c>
      <c r="H845" s="45">
        <v>1</v>
      </c>
      <c r="I845" s="46">
        <f>796</f>
        <v>796</v>
      </c>
      <c r="J845" s="23"/>
      <c r="K845" s="47"/>
      <c r="L845" s="48"/>
      <c r="M845" s="49"/>
      <c r="N845" s="49">
        <f t="shared" si="27"/>
        <v>0</v>
      </c>
      <c r="O845" s="49"/>
      <c r="P845" s="49"/>
      <c r="Q845" s="49"/>
      <c r="R845" s="23"/>
      <c r="XCY845"/>
      <c r="XCZ845"/>
      <c r="XDA845"/>
      <c r="XDB845"/>
      <c r="XDC845"/>
      <c r="XDD845"/>
      <c r="XDE845"/>
      <c r="XDF845"/>
      <c r="XDG845"/>
      <c r="XDH845"/>
      <c r="XDI845"/>
      <c r="XDJ845"/>
      <c r="XDK845"/>
      <c r="XDL845"/>
      <c r="XDM845"/>
      <c r="XDN845"/>
      <c r="XDO845"/>
      <c r="XDP845"/>
      <c r="XDQ845"/>
      <c r="XDR845"/>
      <c r="XDS845"/>
      <c r="XDT845"/>
      <c r="XDU845"/>
      <c r="XDV845"/>
      <c r="XDW845"/>
      <c r="XDX845"/>
      <c r="XDY845"/>
      <c r="XDZ845"/>
      <c r="XEA845"/>
      <c r="XEB845"/>
      <c r="XEC845"/>
      <c r="XED845"/>
      <c r="XEE845"/>
      <c r="XEF845"/>
      <c r="XEG845"/>
      <c r="XEH845"/>
      <c r="XEI845"/>
      <c r="XEJ845"/>
      <c r="XEK845"/>
      <c r="XEL845"/>
      <c r="XEM845"/>
      <c r="XEN845"/>
      <c r="XEO845"/>
      <c r="XEP845"/>
      <c r="XEQ845"/>
      <c r="XER845"/>
      <c r="XES845"/>
      <c r="XET845"/>
      <c r="XEU845"/>
      <c r="XEV845"/>
      <c r="XEW845"/>
      <c r="XEX845"/>
      <c r="XEY845"/>
      <c r="XEZ845"/>
      <c r="XFA845"/>
      <c r="XFB845"/>
      <c r="XFC845"/>
      <c r="XFD845"/>
    </row>
    <row r="846" spans="1:18 16327:16384" s="26" customFormat="1" ht="29.1" customHeight="1" outlineLevel="2" x14ac:dyDescent="0.25">
      <c r="A846" s="34" t="s">
        <v>1435</v>
      </c>
      <c r="B846" s="35"/>
      <c r="C846" s="65" t="s">
        <v>1432</v>
      </c>
      <c r="D846" s="65"/>
      <c r="E846" s="35"/>
      <c r="F846" s="36" t="s">
        <v>1398</v>
      </c>
      <c r="G846" s="35" t="s">
        <v>31</v>
      </c>
      <c r="H846" s="37"/>
      <c r="I846" s="38">
        <f>302</f>
        <v>302</v>
      </c>
      <c r="J846" s="23"/>
      <c r="K846" s="39"/>
      <c r="L846" s="40"/>
      <c r="M846" s="41">
        <f>K846+L846</f>
        <v>0</v>
      </c>
      <c r="N846" s="41">
        <f t="shared" si="27"/>
        <v>0</v>
      </c>
      <c r="O846" s="41">
        <f>ROUND((I846*L846),2)</f>
        <v>0</v>
      </c>
      <c r="P846" s="41">
        <f>ROUND((I846*M846),2)</f>
        <v>0</v>
      </c>
      <c r="Q846" s="41"/>
      <c r="R846" s="23"/>
      <c r="XCY846"/>
      <c r="XCZ846"/>
      <c r="XDA846"/>
      <c r="XDB846"/>
      <c r="XDC846"/>
      <c r="XDD846"/>
      <c r="XDE846"/>
      <c r="XDF846"/>
      <c r="XDG846"/>
      <c r="XDH846"/>
      <c r="XDI846"/>
      <c r="XDJ846"/>
      <c r="XDK846"/>
      <c r="XDL846"/>
      <c r="XDM846"/>
      <c r="XDN846"/>
      <c r="XDO846"/>
      <c r="XDP846"/>
      <c r="XDQ846"/>
      <c r="XDR846"/>
      <c r="XDS846"/>
      <c r="XDT846"/>
      <c r="XDU846"/>
      <c r="XDV846"/>
      <c r="XDW846"/>
      <c r="XDX846"/>
      <c r="XDY846"/>
      <c r="XDZ846"/>
      <c r="XEA846"/>
      <c r="XEB846"/>
      <c r="XEC846"/>
      <c r="XED846"/>
      <c r="XEE846"/>
      <c r="XEF846"/>
      <c r="XEG846"/>
      <c r="XEH846"/>
      <c r="XEI846"/>
      <c r="XEJ846"/>
      <c r="XEK846"/>
      <c r="XEL846"/>
      <c r="XEM846"/>
      <c r="XEN846"/>
      <c r="XEO846"/>
      <c r="XEP846"/>
      <c r="XEQ846"/>
      <c r="XER846"/>
      <c r="XES846"/>
      <c r="XET846"/>
      <c r="XEU846"/>
      <c r="XEV846"/>
      <c r="XEW846"/>
      <c r="XEX846"/>
      <c r="XEY846"/>
      <c r="XEZ846"/>
      <c r="XFA846"/>
      <c r="XFB846"/>
      <c r="XFC846"/>
      <c r="XFD846"/>
    </row>
    <row r="847" spans="1:18 16327:16384" s="26" customFormat="1" ht="29.1" customHeight="1" outlineLevel="3" x14ac:dyDescent="0.25">
      <c r="A847" s="42" t="s">
        <v>1436</v>
      </c>
      <c r="B847" s="43"/>
      <c r="C847" s="66" t="s">
        <v>1437</v>
      </c>
      <c r="D847" s="66"/>
      <c r="E847" s="43" t="s">
        <v>34</v>
      </c>
      <c r="F847" s="44"/>
      <c r="G847" s="43" t="s">
        <v>31</v>
      </c>
      <c r="H847" s="45">
        <v>1</v>
      </c>
      <c r="I847" s="46">
        <f>302</f>
        <v>302</v>
      </c>
      <c r="J847" s="23"/>
      <c r="K847" s="47"/>
      <c r="L847" s="48"/>
      <c r="M847" s="49"/>
      <c r="N847" s="49">
        <f t="shared" si="27"/>
        <v>0</v>
      </c>
      <c r="O847" s="49"/>
      <c r="P847" s="49"/>
      <c r="Q847" s="49"/>
      <c r="R847" s="23"/>
      <c r="XCY847"/>
      <c r="XCZ847"/>
      <c r="XDA847"/>
      <c r="XDB847"/>
      <c r="XDC847"/>
      <c r="XDD847"/>
      <c r="XDE847"/>
      <c r="XDF847"/>
      <c r="XDG847"/>
      <c r="XDH847"/>
      <c r="XDI847"/>
      <c r="XDJ847"/>
      <c r="XDK847"/>
      <c r="XDL847"/>
      <c r="XDM847"/>
      <c r="XDN847"/>
      <c r="XDO847"/>
      <c r="XDP847"/>
      <c r="XDQ847"/>
      <c r="XDR847"/>
      <c r="XDS847"/>
      <c r="XDT847"/>
      <c r="XDU847"/>
      <c r="XDV847"/>
      <c r="XDW847"/>
      <c r="XDX847"/>
      <c r="XDY847"/>
      <c r="XDZ847"/>
      <c r="XEA847"/>
      <c r="XEB847"/>
      <c r="XEC847"/>
      <c r="XED847"/>
      <c r="XEE847"/>
      <c r="XEF847"/>
      <c r="XEG847"/>
      <c r="XEH847"/>
      <c r="XEI847"/>
      <c r="XEJ847"/>
      <c r="XEK847"/>
      <c r="XEL847"/>
      <c r="XEM847"/>
      <c r="XEN847"/>
      <c r="XEO847"/>
      <c r="XEP847"/>
      <c r="XEQ847"/>
      <c r="XER847"/>
      <c r="XES847"/>
      <c r="XET847"/>
      <c r="XEU847"/>
      <c r="XEV847"/>
      <c r="XEW847"/>
      <c r="XEX847"/>
      <c r="XEY847"/>
      <c r="XEZ847"/>
      <c r="XFA847"/>
      <c r="XFB847"/>
      <c r="XFC847"/>
      <c r="XFD847"/>
    </row>
    <row r="848" spans="1:18 16327:16384" s="26" customFormat="1" ht="29.1" customHeight="1" outlineLevel="2" x14ac:dyDescent="0.25">
      <c r="A848" s="34" t="s">
        <v>1438</v>
      </c>
      <c r="B848" s="35"/>
      <c r="C848" s="65" t="s">
        <v>1439</v>
      </c>
      <c r="D848" s="65"/>
      <c r="E848" s="35"/>
      <c r="F848" s="36" t="s">
        <v>1398</v>
      </c>
      <c r="G848" s="35" t="s">
        <v>31</v>
      </c>
      <c r="H848" s="37"/>
      <c r="I848" s="38">
        <f>219</f>
        <v>219</v>
      </c>
      <c r="J848" s="23"/>
      <c r="K848" s="39"/>
      <c r="L848" s="40"/>
      <c r="M848" s="41">
        <f>K848+L848</f>
        <v>0</v>
      </c>
      <c r="N848" s="41">
        <f t="shared" si="27"/>
        <v>0</v>
      </c>
      <c r="O848" s="41">
        <f>ROUND((I848*L848),2)</f>
        <v>0</v>
      </c>
      <c r="P848" s="41">
        <f>ROUND((I848*M848),2)</f>
        <v>0</v>
      </c>
      <c r="Q848" s="41"/>
      <c r="R848" s="23"/>
      <c r="XCY848"/>
      <c r="XCZ848"/>
      <c r="XDA848"/>
      <c r="XDB848"/>
      <c r="XDC848"/>
      <c r="XDD848"/>
      <c r="XDE848"/>
      <c r="XDF848"/>
      <c r="XDG848"/>
      <c r="XDH848"/>
      <c r="XDI848"/>
      <c r="XDJ848"/>
      <c r="XDK848"/>
      <c r="XDL848"/>
      <c r="XDM848"/>
      <c r="XDN848"/>
      <c r="XDO848"/>
      <c r="XDP848"/>
      <c r="XDQ848"/>
      <c r="XDR848"/>
      <c r="XDS848"/>
      <c r="XDT848"/>
      <c r="XDU848"/>
      <c r="XDV848"/>
      <c r="XDW848"/>
      <c r="XDX848"/>
      <c r="XDY848"/>
      <c r="XDZ848"/>
      <c r="XEA848"/>
      <c r="XEB848"/>
      <c r="XEC848"/>
      <c r="XED848"/>
      <c r="XEE848"/>
      <c r="XEF848"/>
      <c r="XEG848"/>
      <c r="XEH848"/>
      <c r="XEI848"/>
      <c r="XEJ848"/>
      <c r="XEK848"/>
      <c r="XEL848"/>
      <c r="XEM848"/>
      <c r="XEN848"/>
      <c r="XEO848"/>
      <c r="XEP848"/>
      <c r="XEQ848"/>
      <c r="XER848"/>
      <c r="XES848"/>
      <c r="XET848"/>
      <c r="XEU848"/>
      <c r="XEV848"/>
      <c r="XEW848"/>
      <c r="XEX848"/>
      <c r="XEY848"/>
      <c r="XEZ848"/>
      <c r="XFA848"/>
      <c r="XFB848"/>
      <c r="XFC848"/>
      <c r="XFD848"/>
    </row>
    <row r="849" spans="1:18 16327:16384" s="26" customFormat="1" ht="29.1" customHeight="1" outlineLevel="3" x14ac:dyDescent="0.25">
      <c r="A849" s="42" t="s">
        <v>1440</v>
      </c>
      <c r="B849" s="43"/>
      <c r="C849" s="66" t="s">
        <v>1441</v>
      </c>
      <c r="D849" s="66"/>
      <c r="E849" s="43" t="s">
        <v>34</v>
      </c>
      <c r="F849" s="44"/>
      <c r="G849" s="43" t="s">
        <v>31</v>
      </c>
      <c r="H849" s="45">
        <v>1</v>
      </c>
      <c r="I849" s="46">
        <f>219</f>
        <v>219</v>
      </c>
      <c r="J849" s="23"/>
      <c r="K849" s="47"/>
      <c r="L849" s="48"/>
      <c r="M849" s="49"/>
      <c r="N849" s="49">
        <f t="shared" si="27"/>
        <v>0</v>
      </c>
      <c r="O849" s="49"/>
      <c r="P849" s="49"/>
      <c r="Q849" s="49"/>
      <c r="R849" s="23"/>
      <c r="XCY849"/>
      <c r="XCZ849"/>
      <c r="XDA849"/>
      <c r="XDB849"/>
      <c r="XDC849"/>
      <c r="XDD849"/>
      <c r="XDE849"/>
      <c r="XDF849"/>
      <c r="XDG849"/>
      <c r="XDH849"/>
      <c r="XDI849"/>
      <c r="XDJ849"/>
      <c r="XDK849"/>
      <c r="XDL849"/>
      <c r="XDM849"/>
      <c r="XDN849"/>
      <c r="XDO849"/>
      <c r="XDP849"/>
      <c r="XDQ849"/>
      <c r="XDR849"/>
      <c r="XDS849"/>
      <c r="XDT849"/>
      <c r="XDU849"/>
      <c r="XDV849"/>
      <c r="XDW849"/>
      <c r="XDX849"/>
      <c r="XDY849"/>
      <c r="XDZ849"/>
      <c r="XEA849"/>
      <c r="XEB849"/>
      <c r="XEC849"/>
      <c r="XED849"/>
      <c r="XEE849"/>
      <c r="XEF849"/>
      <c r="XEG849"/>
      <c r="XEH849"/>
      <c r="XEI849"/>
      <c r="XEJ849"/>
      <c r="XEK849"/>
      <c r="XEL849"/>
      <c r="XEM849"/>
      <c r="XEN849"/>
      <c r="XEO849"/>
      <c r="XEP849"/>
      <c r="XEQ849"/>
      <c r="XER849"/>
      <c r="XES849"/>
      <c r="XET849"/>
      <c r="XEU849"/>
      <c r="XEV849"/>
      <c r="XEW849"/>
      <c r="XEX849"/>
      <c r="XEY849"/>
      <c r="XEZ849"/>
      <c r="XFA849"/>
      <c r="XFB849"/>
      <c r="XFC849"/>
      <c r="XFD849"/>
    </row>
    <row r="850" spans="1:18 16327:16384" s="26" customFormat="1" ht="29.1" customHeight="1" outlineLevel="2" x14ac:dyDescent="0.25">
      <c r="A850" s="34" t="s">
        <v>1442</v>
      </c>
      <c r="B850" s="35"/>
      <c r="C850" s="65" t="s">
        <v>1432</v>
      </c>
      <c r="D850" s="65"/>
      <c r="E850" s="35"/>
      <c r="F850" s="36" t="s">
        <v>1398</v>
      </c>
      <c r="G850" s="35" t="s">
        <v>31</v>
      </c>
      <c r="H850" s="37"/>
      <c r="I850" s="38">
        <f>1514</f>
        <v>1514</v>
      </c>
      <c r="J850" s="23"/>
      <c r="K850" s="39"/>
      <c r="L850" s="40"/>
      <c r="M850" s="41">
        <f>K850+L850</f>
        <v>0</v>
      </c>
      <c r="N850" s="41">
        <f t="shared" si="27"/>
        <v>0</v>
      </c>
      <c r="O850" s="41">
        <f>ROUND((I850*L850),2)</f>
        <v>0</v>
      </c>
      <c r="P850" s="41">
        <f>ROUND((I850*M850),2)</f>
        <v>0</v>
      </c>
      <c r="Q850" s="41"/>
      <c r="R850" s="23"/>
      <c r="XCY850"/>
      <c r="XCZ850"/>
      <c r="XDA850"/>
      <c r="XDB850"/>
      <c r="XDC850"/>
      <c r="XDD850"/>
      <c r="XDE850"/>
      <c r="XDF850"/>
      <c r="XDG850"/>
      <c r="XDH850"/>
      <c r="XDI850"/>
      <c r="XDJ850"/>
      <c r="XDK850"/>
      <c r="XDL850"/>
      <c r="XDM850"/>
      <c r="XDN850"/>
      <c r="XDO850"/>
      <c r="XDP850"/>
      <c r="XDQ850"/>
      <c r="XDR850"/>
      <c r="XDS850"/>
      <c r="XDT850"/>
      <c r="XDU850"/>
      <c r="XDV850"/>
      <c r="XDW850"/>
      <c r="XDX850"/>
      <c r="XDY850"/>
      <c r="XDZ850"/>
      <c r="XEA850"/>
      <c r="XEB850"/>
      <c r="XEC850"/>
      <c r="XED850"/>
      <c r="XEE850"/>
      <c r="XEF850"/>
      <c r="XEG850"/>
      <c r="XEH850"/>
      <c r="XEI850"/>
      <c r="XEJ850"/>
      <c r="XEK850"/>
      <c r="XEL850"/>
      <c r="XEM850"/>
      <c r="XEN850"/>
      <c r="XEO850"/>
      <c r="XEP850"/>
      <c r="XEQ850"/>
      <c r="XER850"/>
      <c r="XES850"/>
      <c r="XET850"/>
      <c r="XEU850"/>
      <c r="XEV850"/>
      <c r="XEW850"/>
      <c r="XEX850"/>
      <c r="XEY850"/>
      <c r="XEZ850"/>
      <c r="XFA850"/>
      <c r="XFB850"/>
      <c r="XFC850"/>
      <c r="XFD850"/>
    </row>
    <row r="851" spans="1:18 16327:16384" s="26" customFormat="1" ht="29.1" customHeight="1" outlineLevel="3" x14ac:dyDescent="0.25">
      <c r="A851" s="42" t="s">
        <v>1443</v>
      </c>
      <c r="B851" s="43"/>
      <c r="C851" s="66" t="s">
        <v>1444</v>
      </c>
      <c r="D851" s="66"/>
      <c r="E851" s="43" t="s">
        <v>34</v>
      </c>
      <c r="F851" s="44"/>
      <c r="G851" s="43" t="s">
        <v>31</v>
      </c>
      <c r="H851" s="45">
        <v>1</v>
      </c>
      <c r="I851" s="46">
        <f>1514</f>
        <v>1514</v>
      </c>
      <c r="J851" s="23"/>
      <c r="K851" s="47"/>
      <c r="L851" s="48"/>
      <c r="M851" s="49"/>
      <c r="N851" s="49">
        <f t="shared" si="27"/>
        <v>0</v>
      </c>
      <c r="O851" s="49"/>
      <c r="P851" s="49"/>
      <c r="Q851" s="49"/>
      <c r="R851" s="23"/>
      <c r="XCY851"/>
      <c r="XCZ851"/>
      <c r="XDA851"/>
      <c r="XDB851"/>
      <c r="XDC851"/>
      <c r="XDD851"/>
      <c r="XDE851"/>
      <c r="XDF851"/>
      <c r="XDG851"/>
      <c r="XDH851"/>
      <c r="XDI851"/>
      <c r="XDJ851"/>
      <c r="XDK851"/>
      <c r="XDL851"/>
      <c r="XDM851"/>
      <c r="XDN851"/>
      <c r="XDO851"/>
      <c r="XDP851"/>
      <c r="XDQ851"/>
      <c r="XDR851"/>
      <c r="XDS851"/>
      <c r="XDT851"/>
      <c r="XDU851"/>
      <c r="XDV851"/>
      <c r="XDW851"/>
      <c r="XDX851"/>
      <c r="XDY851"/>
      <c r="XDZ851"/>
      <c r="XEA851"/>
      <c r="XEB851"/>
      <c r="XEC851"/>
      <c r="XED851"/>
      <c r="XEE851"/>
      <c r="XEF851"/>
      <c r="XEG851"/>
      <c r="XEH851"/>
      <c r="XEI851"/>
      <c r="XEJ851"/>
      <c r="XEK851"/>
      <c r="XEL851"/>
      <c r="XEM851"/>
      <c r="XEN851"/>
      <c r="XEO851"/>
      <c r="XEP851"/>
      <c r="XEQ851"/>
      <c r="XER851"/>
      <c r="XES851"/>
      <c r="XET851"/>
      <c r="XEU851"/>
      <c r="XEV851"/>
      <c r="XEW851"/>
      <c r="XEX851"/>
      <c r="XEY851"/>
      <c r="XEZ851"/>
      <c r="XFA851"/>
      <c r="XFB851"/>
      <c r="XFC851"/>
      <c r="XFD851"/>
    </row>
    <row r="852" spans="1:18 16327:16384" s="26" customFormat="1" ht="29.1" customHeight="1" outlineLevel="2" x14ac:dyDescent="0.25">
      <c r="A852" s="34" t="s">
        <v>1445</v>
      </c>
      <c r="B852" s="35"/>
      <c r="C852" s="65" t="s">
        <v>375</v>
      </c>
      <c r="D852" s="65"/>
      <c r="E852" s="35"/>
      <c r="F852" s="36" t="s">
        <v>1398</v>
      </c>
      <c r="G852" s="35" t="s">
        <v>31</v>
      </c>
      <c r="H852" s="37"/>
      <c r="I852" s="38">
        <f>186</f>
        <v>186</v>
      </c>
      <c r="J852" s="23"/>
      <c r="K852" s="39"/>
      <c r="L852" s="40"/>
      <c r="M852" s="41">
        <f>K852+L852</f>
        <v>0</v>
      </c>
      <c r="N852" s="41">
        <f t="shared" si="27"/>
        <v>0</v>
      </c>
      <c r="O852" s="41">
        <f>ROUND((I852*L852),2)</f>
        <v>0</v>
      </c>
      <c r="P852" s="41">
        <f>ROUND((I852*M852),2)</f>
        <v>0</v>
      </c>
      <c r="Q852" s="41"/>
      <c r="R852" s="23"/>
      <c r="XCY852"/>
      <c r="XCZ852"/>
      <c r="XDA852"/>
      <c r="XDB852"/>
      <c r="XDC852"/>
      <c r="XDD852"/>
      <c r="XDE852"/>
      <c r="XDF852"/>
      <c r="XDG852"/>
      <c r="XDH852"/>
      <c r="XDI852"/>
      <c r="XDJ852"/>
      <c r="XDK852"/>
      <c r="XDL852"/>
      <c r="XDM852"/>
      <c r="XDN852"/>
      <c r="XDO852"/>
      <c r="XDP852"/>
      <c r="XDQ852"/>
      <c r="XDR852"/>
      <c r="XDS852"/>
      <c r="XDT852"/>
      <c r="XDU852"/>
      <c r="XDV852"/>
      <c r="XDW852"/>
      <c r="XDX852"/>
      <c r="XDY852"/>
      <c r="XDZ852"/>
      <c r="XEA852"/>
      <c r="XEB852"/>
      <c r="XEC852"/>
      <c r="XED852"/>
      <c r="XEE852"/>
      <c r="XEF852"/>
      <c r="XEG852"/>
      <c r="XEH852"/>
      <c r="XEI852"/>
      <c r="XEJ852"/>
      <c r="XEK852"/>
      <c r="XEL852"/>
      <c r="XEM852"/>
      <c r="XEN852"/>
      <c r="XEO852"/>
      <c r="XEP852"/>
      <c r="XEQ852"/>
      <c r="XER852"/>
      <c r="XES852"/>
      <c r="XET852"/>
      <c r="XEU852"/>
      <c r="XEV852"/>
      <c r="XEW852"/>
      <c r="XEX852"/>
      <c r="XEY852"/>
      <c r="XEZ852"/>
      <c r="XFA852"/>
      <c r="XFB852"/>
      <c r="XFC852"/>
      <c r="XFD852"/>
    </row>
    <row r="853" spans="1:18 16327:16384" s="26" customFormat="1" ht="29.1" customHeight="1" outlineLevel="3" x14ac:dyDescent="0.25">
      <c r="A853" s="42" t="s">
        <v>1446</v>
      </c>
      <c r="B853" s="43"/>
      <c r="C853" s="66" t="s">
        <v>1447</v>
      </c>
      <c r="D853" s="66"/>
      <c r="E853" s="43" t="s">
        <v>34</v>
      </c>
      <c r="F853" s="44"/>
      <c r="G853" s="43" t="s">
        <v>31</v>
      </c>
      <c r="H853" s="45">
        <v>1</v>
      </c>
      <c r="I853" s="46">
        <f>186</f>
        <v>186</v>
      </c>
      <c r="J853" s="23"/>
      <c r="K853" s="47"/>
      <c r="L853" s="48"/>
      <c r="M853" s="49"/>
      <c r="N853" s="49">
        <f t="shared" si="27"/>
        <v>0</v>
      </c>
      <c r="O853" s="49"/>
      <c r="P853" s="49"/>
      <c r="Q853" s="49"/>
      <c r="R853" s="23"/>
      <c r="XCY853"/>
      <c r="XCZ853"/>
      <c r="XDA853"/>
      <c r="XDB853"/>
      <c r="XDC853"/>
      <c r="XDD853"/>
      <c r="XDE853"/>
      <c r="XDF853"/>
      <c r="XDG853"/>
      <c r="XDH853"/>
      <c r="XDI853"/>
      <c r="XDJ853"/>
      <c r="XDK853"/>
      <c r="XDL853"/>
      <c r="XDM853"/>
      <c r="XDN853"/>
      <c r="XDO853"/>
      <c r="XDP853"/>
      <c r="XDQ853"/>
      <c r="XDR853"/>
      <c r="XDS853"/>
      <c r="XDT853"/>
      <c r="XDU853"/>
      <c r="XDV853"/>
      <c r="XDW853"/>
      <c r="XDX853"/>
      <c r="XDY853"/>
      <c r="XDZ853"/>
      <c r="XEA853"/>
      <c r="XEB853"/>
      <c r="XEC853"/>
      <c r="XED853"/>
      <c r="XEE853"/>
      <c r="XEF853"/>
      <c r="XEG853"/>
      <c r="XEH853"/>
      <c r="XEI853"/>
      <c r="XEJ853"/>
      <c r="XEK853"/>
      <c r="XEL853"/>
      <c r="XEM853"/>
      <c r="XEN853"/>
      <c r="XEO853"/>
      <c r="XEP853"/>
      <c r="XEQ853"/>
      <c r="XER853"/>
      <c r="XES853"/>
      <c r="XET853"/>
      <c r="XEU853"/>
      <c r="XEV853"/>
      <c r="XEW853"/>
      <c r="XEX853"/>
      <c r="XEY853"/>
      <c r="XEZ853"/>
      <c r="XFA853"/>
      <c r="XFB853"/>
      <c r="XFC853"/>
      <c r="XFD853"/>
    </row>
    <row r="854" spans="1:18 16327:16384" s="26" customFormat="1" ht="29.1" customHeight="1" outlineLevel="2" x14ac:dyDescent="0.25">
      <c r="A854" s="34" t="s">
        <v>1448</v>
      </c>
      <c r="B854" s="35"/>
      <c r="C854" s="65" t="s">
        <v>1449</v>
      </c>
      <c r="D854" s="65"/>
      <c r="E854" s="35"/>
      <c r="F854" s="36" t="s">
        <v>1398</v>
      </c>
      <c r="G854" s="35" t="s">
        <v>31</v>
      </c>
      <c r="H854" s="37"/>
      <c r="I854" s="38">
        <f>91</f>
        <v>91</v>
      </c>
      <c r="J854" s="23"/>
      <c r="K854" s="39"/>
      <c r="L854" s="40"/>
      <c r="M854" s="41">
        <f>K854+L854</f>
        <v>0</v>
      </c>
      <c r="N854" s="41">
        <f t="shared" si="27"/>
        <v>0</v>
      </c>
      <c r="O854" s="41">
        <f>ROUND((I854*L854),2)</f>
        <v>0</v>
      </c>
      <c r="P854" s="41">
        <f>ROUND((I854*M854),2)</f>
        <v>0</v>
      </c>
      <c r="Q854" s="41"/>
      <c r="R854" s="23"/>
      <c r="XCY854"/>
      <c r="XCZ854"/>
      <c r="XDA854"/>
      <c r="XDB854"/>
      <c r="XDC854"/>
      <c r="XDD854"/>
      <c r="XDE854"/>
      <c r="XDF854"/>
      <c r="XDG854"/>
      <c r="XDH854"/>
      <c r="XDI854"/>
      <c r="XDJ854"/>
      <c r="XDK854"/>
      <c r="XDL854"/>
      <c r="XDM854"/>
      <c r="XDN854"/>
      <c r="XDO854"/>
      <c r="XDP854"/>
      <c r="XDQ854"/>
      <c r="XDR854"/>
      <c r="XDS854"/>
      <c r="XDT854"/>
      <c r="XDU854"/>
      <c r="XDV854"/>
      <c r="XDW854"/>
      <c r="XDX854"/>
      <c r="XDY854"/>
      <c r="XDZ854"/>
      <c r="XEA854"/>
      <c r="XEB854"/>
      <c r="XEC854"/>
      <c r="XED854"/>
      <c r="XEE854"/>
      <c r="XEF854"/>
      <c r="XEG854"/>
      <c r="XEH854"/>
      <c r="XEI854"/>
      <c r="XEJ854"/>
      <c r="XEK854"/>
      <c r="XEL854"/>
      <c r="XEM854"/>
      <c r="XEN854"/>
      <c r="XEO854"/>
      <c r="XEP854"/>
      <c r="XEQ854"/>
      <c r="XER854"/>
      <c r="XES854"/>
      <c r="XET854"/>
      <c r="XEU854"/>
      <c r="XEV854"/>
      <c r="XEW854"/>
      <c r="XEX854"/>
      <c r="XEY854"/>
      <c r="XEZ854"/>
      <c r="XFA854"/>
      <c r="XFB854"/>
      <c r="XFC854"/>
      <c r="XFD854"/>
    </row>
    <row r="855" spans="1:18 16327:16384" s="26" customFormat="1" ht="29.1" customHeight="1" outlineLevel="3" x14ac:dyDescent="0.25">
      <c r="A855" s="42" t="s">
        <v>1450</v>
      </c>
      <c r="B855" s="43"/>
      <c r="C855" s="66" t="s">
        <v>1451</v>
      </c>
      <c r="D855" s="66"/>
      <c r="E855" s="43" t="s">
        <v>34</v>
      </c>
      <c r="F855" s="44"/>
      <c r="G855" s="43" t="s">
        <v>31</v>
      </c>
      <c r="H855" s="45">
        <v>1</v>
      </c>
      <c r="I855" s="46">
        <f>91</f>
        <v>91</v>
      </c>
      <c r="J855" s="23"/>
      <c r="K855" s="47"/>
      <c r="L855" s="48"/>
      <c r="M855" s="49"/>
      <c r="N855" s="49">
        <f t="shared" si="27"/>
        <v>0</v>
      </c>
      <c r="O855" s="49"/>
      <c r="P855" s="49"/>
      <c r="Q855" s="49"/>
      <c r="R855" s="23"/>
      <c r="XCY855"/>
      <c r="XCZ855"/>
      <c r="XDA855"/>
      <c r="XDB855"/>
      <c r="XDC855"/>
      <c r="XDD855"/>
      <c r="XDE855"/>
      <c r="XDF855"/>
      <c r="XDG855"/>
      <c r="XDH855"/>
      <c r="XDI855"/>
      <c r="XDJ855"/>
      <c r="XDK855"/>
      <c r="XDL855"/>
      <c r="XDM855"/>
      <c r="XDN855"/>
      <c r="XDO855"/>
      <c r="XDP855"/>
      <c r="XDQ855"/>
      <c r="XDR855"/>
      <c r="XDS855"/>
      <c r="XDT855"/>
      <c r="XDU855"/>
      <c r="XDV855"/>
      <c r="XDW855"/>
      <c r="XDX855"/>
      <c r="XDY855"/>
      <c r="XDZ855"/>
      <c r="XEA855"/>
      <c r="XEB855"/>
      <c r="XEC855"/>
      <c r="XED855"/>
      <c r="XEE855"/>
      <c r="XEF855"/>
      <c r="XEG855"/>
      <c r="XEH855"/>
      <c r="XEI855"/>
      <c r="XEJ855"/>
      <c r="XEK855"/>
      <c r="XEL855"/>
      <c r="XEM855"/>
      <c r="XEN855"/>
      <c r="XEO855"/>
      <c r="XEP855"/>
      <c r="XEQ855"/>
      <c r="XER855"/>
      <c r="XES855"/>
      <c r="XET855"/>
      <c r="XEU855"/>
      <c r="XEV855"/>
      <c r="XEW855"/>
      <c r="XEX855"/>
      <c r="XEY855"/>
      <c r="XEZ855"/>
      <c r="XFA855"/>
      <c r="XFB855"/>
      <c r="XFC855"/>
      <c r="XFD855"/>
    </row>
    <row r="856" spans="1:18 16327:16384" s="26" customFormat="1" ht="29.1" customHeight="1" outlineLevel="2" x14ac:dyDescent="0.25">
      <c r="A856" s="34" t="s">
        <v>1452</v>
      </c>
      <c r="B856" s="35"/>
      <c r="C856" s="65" t="s">
        <v>1449</v>
      </c>
      <c r="D856" s="65"/>
      <c r="E856" s="35"/>
      <c r="F856" s="36" t="s">
        <v>1398</v>
      </c>
      <c r="G856" s="35" t="s">
        <v>31</v>
      </c>
      <c r="H856" s="37"/>
      <c r="I856" s="38">
        <f>60</f>
        <v>60</v>
      </c>
      <c r="J856" s="23"/>
      <c r="K856" s="39"/>
      <c r="L856" s="40"/>
      <c r="M856" s="41">
        <f>K856+L856</f>
        <v>0</v>
      </c>
      <c r="N856" s="41">
        <f t="shared" ref="N856:N886" si="28">ROUND((I856*K856),2)</f>
        <v>0</v>
      </c>
      <c r="O856" s="41">
        <f>ROUND((I856*L856),2)</f>
        <v>0</v>
      </c>
      <c r="P856" s="41">
        <f>ROUND((I856*M856),2)</f>
        <v>0</v>
      </c>
      <c r="Q856" s="41"/>
      <c r="R856" s="23"/>
      <c r="XCY856"/>
      <c r="XCZ856"/>
      <c r="XDA856"/>
      <c r="XDB856"/>
      <c r="XDC856"/>
      <c r="XDD856"/>
      <c r="XDE856"/>
      <c r="XDF856"/>
      <c r="XDG856"/>
      <c r="XDH856"/>
      <c r="XDI856"/>
      <c r="XDJ856"/>
      <c r="XDK856"/>
      <c r="XDL856"/>
      <c r="XDM856"/>
      <c r="XDN856"/>
      <c r="XDO856"/>
      <c r="XDP856"/>
      <c r="XDQ856"/>
      <c r="XDR856"/>
      <c r="XDS856"/>
      <c r="XDT856"/>
      <c r="XDU856"/>
      <c r="XDV856"/>
      <c r="XDW856"/>
      <c r="XDX856"/>
      <c r="XDY856"/>
      <c r="XDZ856"/>
      <c r="XEA856"/>
      <c r="XEB856"/>
      <c r="XEC856"/>
      <c r="XED856"/>
      <c r="XEE856"/>
      <c r="XEF856"/>
      <c r="XEG856"/>
      <c r="XEH856"/>
      <c r="XEI856"/>
      <c r="XEJ856"/>
      <c r="XEK856"/>
      <c r="XEL856"/>
      <c r="XEM856"/>
      <c r="XEN856"/>
      <c r="XEO856"/>
      <c r="XEP856"/>
      <c r="XEQ856"/>
      <c r="XER856"/>
      <c r="XES856"/>
      <c r="XET856"/>
      <c r="XEU856"/>
      <c r="XEV856"/>
      <c r="XEW856"/>
      <c r="XEX856"/>
      <c r="XEY856"/>
      <c r="XEZ856"/>
      <c r="XFA856"/>
      <c r="XFB856"/>
      <c r="XFC856"/>
      <c r="XFD856"/>
    </row>
    <row r="857" spans="1:18 16327:16384" s="26" customFormat="1" ht="29.1" customHeight="1" outlineLevel="3" x14ac:dyDescent="0.25">
      <c r="A857" s="42" t="s">
        <v>1453</v>
      </c>
      <c r="B857" s="43"/>
      <c r="C857" s="66" t="s">
        <v>1454</v>
      </c>
      <c r="D857" s="66"/>
      <c r="E857" s="43" t="s">
        <v>34</v>
      </c>
      <c r="F857" s="44"/>
      <c r="G857" s="43" t="s">
        <v>31</v>
      </c>
      <c r="H857" s="45">
        <v>1</v>
      </c>
      <c r="I857" s="46">
        <f>60</f>
        <v>60</v>
      </c>
      <c r="J857" s="23"/>
      <c r="K857" s="47"/>
      <c r="L857" s="48"/>
      <c r="M857" s="49"/>
      <c r="N857" s="49">
        <f t="shared" si="28"/>
        <v>0</v>
      </c>
      <c r="O857" s="49"/>
      <c r="P857" s="49"/>
      <c r="Q857" s="49"/>
      <c r="R857" s="23"/>
      <c r="XCY857"/>
      <c r="XCZ857"/>
      <c r="XDA857"/>
      <c r="XDB857"/>
      <c r="XDC857"/>
      <c r="XDD857"/>
      <c r="XDE857"/>
      <c r="XDF857"/>
      <c r="XDG857"/>
      <c r="XDH857"/>
      <c r="XDI857"/>
      <c r="XDJ857"/>
      <c r="XDK857"/>
      <c r="XDL857"/>
      <c r="XDM857"/>
      <c r="XDN857"/>
      <c r="XDO857"/>
      <c r="XDP857"/>
      <c r="XDQ857"/>
      <c r="XDR857"/>
      <c r="XDS857"/>
      <c r="XDT857"/>
      <c r="XDU857"/>
      <c r="XDV857"/>
      <c r="XDW857"/>
      <c r="XDX857"/>
      <c r="XDY857"/>
      <c r="XDZ857"/>
      <c r="XEA857"/>
      <c r="XEB857"/>
      <c r="XEC857"/>
      <c r="XED857"/>
      <c r="XEE857"/>
      <c r="XEF857"/>
      <c r="XEG857"/>
      <c r="XEH857"/>
      <c r="XEI857"/>
      <c r="XEJ857"/>
      <c r="XEK857"/>
      <c r="XEL857"/>
      <c r="XEM857"/>
      <c r="XEN857"/>
      <c r="XEO857"/>
      <c r="XEP857"/>
      <c r="XEQ857"/>
      <c r="XER857"/>
      <c r="XES857"/>
      <c r="XET857"/>
      <c r="XEU857"/>
      <c r="XEV857"/>
      <c r="XEW857"/>
      <c r="XEX857"/>
      <c r="XEY857"/>
      <c r="XEZ857"/>
      <c r="XFA857"/>
      <c r="XFB857"/>
      <c r="XFC857"/>
      <c r="XFD857"/>
    </row>
    <row r="858" spans="1:18 16327:16384" s="26" customFormat="1" ht="29.1" customHeight="1" outlineLevel="2" x14ac:dyDescent="0.25">
      <c r="A858" s="34" t="s">
        <v>1455</v>
      </c>
      <c r="B858" s="35"/>
      <c r="C858" s="65" t="s">
        <v>1456</v>
      </c>
      <c r="D858" s="65"/>
      <c r="E858" s="35"/>
      <c r="F858" s="36" t="s">
        <v>1398</v>
      </c>
      <c r="G858" s="35" t="s">
        <v>31</v>
      </c>
      <c r="H858" s="37"/>
      <c r="I858" s="38">
        <f>665</f>
        <v>665</v>
      </c>
      <c r="J858" s="23"/>
      <c r="K858" s="39"/>
      <c r="L858" s="40"/>
      <c r="M858" s="41">
        <f>K858+L858</f>
        <v>0</v>
      </c>
      <c r="N858" s="41">
        <f t="shared" si="28"/>
        <v>0</v>
      </c>
      <c r="O858" s="41">
        <f>ROUND((I858*L858),2)</f>
        <v>0</v>
      </c>
      <c r="P858" s="41">
        <f>ROUND((I858*M858),2)</f>
        <v>0</v>
      </c>
      <c r="Q858" s="41"/>
      <c r="R858" s="23"/>
      <c r="XCY858"/>
      <c r="XCZ858"/>
      <c r="XDA858"/>
      <c r="XDB858"/>
      <c r="XDC858"/>
      <c r="XDD858"/>
      <c r="XDE858"/>
      <c r="XDF858"/>
      <c r="XDG858"/>
      <c r="XDH858"/>
      <c r="XDI858"/>
      <c r="XDJ858"/>
      <c r="XDK858"/>
      <c r="XDL858"/>
      <c r="XDM858"/>
      <c r="XDN858"/>
      <c r="XDO858"/>
      <c r="XDP858"/>
      <c r="XDQ858"/>
      <c r="XDR858"/>
      <c r="XDS858"/>
      <c r="XDT858"/>
      <c r="XDU858"/>
      <c r="XDV858"/>
      <c r="XDW858"/>
      <c r="XDX858"/>
      <c r="XDY858"/>
      <c r="XDZ858"/>
      <c r="XEA858"/>
      <c r="XEB858"/>
      <c r="XEC858"/>
      <c r="XED858"/>
      <c r="XEE858"/>
      <c r="XEF858"/>
      <c r="XEG858"/>
      <c r="XEH858"/>
      <c r="XEI858"/>
      <c r="XEJ858"/>
      <c r="XEK858"/>
      <c r="XEL858"/>
      <c r="XEM858"/>
      <c r="XEN858"/>
      <c r="XEO858"/>
      <c r="XEP858"/>
      <c r="XEQ858"/>
      <c r="XER858"/>
      <c r="XES858"/>
      <c r="XET858"/>
      <c r="XEU858"/>
      <c r="XEV858"/>
      <c r="XEW858"/>
      <c r="XEX858"/>
      <c r="XEY858"/>
      <c r="XEZ858"/>
      <c r="XFA858"/>
      <c r="XFB858"/>
      <c r="XFC858"/>
      <c r="XFD858"/>
    </row>
    <row r="859" spans="1:18 16327:16384" s="26" customFormat="1" ht="29.1" customHeight="1" outlineLevel="3" x14ac:dyDescent="0.25">
      <c r="A859" s="42" t="s">
        <v>1457</v>
      </c>
      <c r="B859" s="43"/>
      <c r="C859" s="66" t="s">
        <v>1458</v>
      </c>
      <c r="D859" s="66"/>
      <c r="E859" s="43" t="s">
        <v>34</v>
      </c>
      <c r="F859" s="44"/>
      <c r="G859" s="43" t="s">
        <v>31</v>
      </c>
      <c r="H859" s="45">
        <v>1</v>
      </c>
      <c r="I859" s="46">
        <f>665</f>
        <v>665</v>
      </c>
      <c r="J859" s="23"/>
      <c r="K859" s="47"/>
      <c r="L859" s="48"/>
      <c r="M859" s="49"/>
      <c r="N859" s="49">
        <f t="shared" si="28"/>
        <v>0</v>
      </c>
      <c r="O859" s="49"/>
      <c r="P859" s="49"/>
      <c r="Q859" s="49"/>
      <c r="R859" s="23"/>
      <c r="XCY859"/>
      <c r="XCZ859"/>
      <c r="XDA859"/>
      <c r="XDB859"/>
      <c r="XDC859"/>
      <c r="XDD859"/>
      <c r="XDE859"/>
      <c r="XDF859"/>
      <c r="XDG859"/>
      <c r="XDH859"/>
      <c r="XDI859"/>
      <c r="XDJ859"/>
      <c r="XDK859"/>
      <c r="XDL859"/>
      <c r="XDM859"/>
      <c r="XDN859"/>
      <c r="XDO859"/>
      <c r="XDP859"/>
      <c r="XDQ859"/>
      <c r="XDR859"/>
      <c r="XDS859"/>
      <c r="XDT859"/>
      <c r="XDU859"/>
      <c r="XDV859"/>
      <c r="XDW859"/>
      <c r="XDX859"/>
      <c r="XDY859"/>
      <c r="XDZ859"/>
      <c r="XEA859"/>
      <c r="XEB859"/>
      <c r="XEC859"/>
      <c r="XED859"/>
      <c r="XEE859"/>
      <c r="XEF859"/>
      <c r="XEG859"/>
      <c r="XEH859"/>
      <c r="XEI859"/>
      <c r="XEJ859"/>
      <c r="XEK859"/>
      <c r="XEL859"/>
      <c r="XEM859"/>
      <c r="XEN859"/>
      <c r="XEO859"/>
      <c r="XEP859"/>
      <c r="XEQ859"/>
      <c r="XER859"/>
      <c r="XES859"/>
      <c r="XET859"/>
      <c r="XEU859"/>
      <c r="XEV859"/>
      <c r="XEW859"/>
      <c r="XEX859"/>
      <c r="XEY859"/>
      <c r="XEZ859"/>
      <c r="XFA859"/>
      <c r="XFB859"/>
      <c r="XFC859"/>
      <c r="XFD859"/>
    </row>
    <row r="860" spans="1:18 16327:16384" s="26" customFormat="1" ht="29.1" customHeight="1" outlineLevel="2" x14ac:dyDescent="0.25">
      <c r="A860" s="34" t="s">
        <v>1459</v>
      </c>
      <c r="B860" s="35"/>
      <c r="C860" s="65" t="s">
        <v>1460</v>
      </c>
      <c r="D860" s="65"/>
      <c r="E860" s="35"/>
      <c r="F860" s="36" t="s">
        <v>1398</v>
      </c>
      <c r="G860" s="35" t="s">
        <v>31</v>
      </c>
      <c r="H860" s="37"/>
      <c r="I860" s="38">
        <f>103</f>
        <v>103</v>
      </c>
      <c r="J860" s="23"/>
      <c r="K860" s="39"/>
      <c r="L860" s="40"/>
      <c r="M860" s="41">
        <f>K860+L860</f>
        <v>0</v>
      </c>
      <c r="N860" s="41">
        <f t="shared" si="28"/>
        <v>0</v>
      </c>
      <c r="O860" s="41">
        <f>ROUND((I860*L860),2)</f>
        <v>0</v>
      </c>
      <c r="P860" s="41">
        <f>ROUND((I860*M860),2)</f>
        <v>0</v>
      </c>
      <c r="Q860" s="41"/>
      <c r="R860" s="23"/>
      <c r="XCY860"/>
      <c r="XCZ860"/>
      <c r="XDA860"/>
      <c r="XDB860"/>
      <c r="XDC860"/>
      <c r="XDD860"/>
      <c r="XDE860"/>
      <c r="XDF860"/>
      <c r="XDG860"/>
      <c r="XDH860"/>
      <c r="XDI860"/>
      <c r="XDJ860"/>
      <c r="XDK860"/>
      <c r="XDL860"/>
      <c r="XDM860"/>
      <c r="XDN860"/>
      <c r="XDO860"/>
      <c r="XDP860"/>
      <c r="XDQ860"/>
      <c r="XDR860"/>
      <c r="XDS860"/>
      <c r="XDT860"/>
      <c r="XDU860"/>
      <c r="XDV860"/>
      <c r="XDW860"/>
      <c r="XDX860"/>
      <c r="XDY860"/>
      <c r="XDZ860"/>
      <c r="XEA860"/>
      <c r="XEB860"/>
      <c r="XEC860"/>
      <c r="XED860"/>
      <c r="XEE860"/>
      <c r="XEF860"/>
      <c r="XEG860"/>
      <c r="XEH860"/>
      <c r="XEI860"/>
      <c r="XEJ860"/>
      <c r="XEK860"/>
      <c r="XEL860"/>
      <c r="XEM860"/>
      <c r="XEN860"/>
      <c r="XEO860"/>
      <c r="XEP860"/>
      <c r="XEQ860"/>
      <c r="XER860"/>
      <c r="XES860"/>
      <c r="XET860"/>
      <c r="XEU860"/>
      <c r="XEV860"/>
      <c r="XEW860"/>
      <c r="XEX860"/>
      <c r="XEY860"/>
      <c r="XEZ860"/>
      <c r="XFA860"/>
      <c r="XFB860"/>
      <c r="XFC860"/>
      <c r="XFD860"/>
    </row>
    <row r="861" spans="1:18 16327:16384" s="26" customFormat="1" ht="29.1" customHeight="1" outlineLevel="3" x14ac:dyDescent="0.25">
      <c r="A861" s="42" t="s">
        <v>1461</v>
      </c>
      <c r="B861" s="43"/>
      <c r="C861" s="66" t="s">
        <v>1462</v>
      </c>
      <c r="D861" s="66"/>
      <c r="E861" s="43" t="s">
        <v>34</v>
      </c>
      <c r="F861" s="44"/>
      <c r="G861" s="43" t="s">
        <v>31</v>
      </c>
      <c r="H861" s="45">
        <v>1</v>
      </c>
      <c r="I861" s="46">
        <f>103</f>
        <v>103</v>
      </c>
      <c r="J861" s="23"/>
      <c r="K861" s="47"/>
      <c r="L861" s="48"/>
      <c r="M861" s="49"/>
      <c r="N861" s="49">
        <f t="shared" si="28"/>
        <v>0</v>
      </c>
      <c r="O861" s="49"/>
      <c r="P861" s="49"/>
      <c r="Q861" s="49"/>
      <c r="R861" s="23"/>
      <c r="XCY861"/>
      <c r="XCZ861"/>
      <c r="XDA861"/>
      <c r="XDB861"/>
      <c r="XDC861"/>
      <c r="XDD861"/>
      <c r="XDE861"/>
      <c r="XDF861"/>
      <c r="XDG861"/>
      <c r="XDH861"/>
      <c r="XDI861"/>
      <c r="XDJ861"/>
      <c r="XDK861"/>
      <c r="XDL861"/>
      <c r="XDM861"/>
      <c r="XDN861"/>
      <c r="XDO861"/>
      <c r="XDP861"/>
      <c r="XDQ861"/>
      <c r="XDR861"/>
      <c r="XDS861"/>
      <c r="XDT861"/>
      <c r="XDU861"/>
      <c r="XDV861"/>
      <c r="XDW861"/>
      <c r="XDX861"/>
      <c r="XDY861"/>
      <c r="XDZ861"/>
      <c r="XEA861"/>
      <c r="XEB861"/>
      <c r="XEC861"/>
      <c r="XED861"/>
      <c r="XEE861"/>
      <c r="XEF861"/>
      <c r="XEG861"/>
      <c r="XEH861"/>
      <c r="XEI861"/>
      <c r="XEJ861"/>
      <c r="XEK861"/>
      <c r="XEL861"/>
      <c r="XEM861"/>
      <c r="XEN861"/>
      <c r="XEO861"/>
      <c r="XEP861"/>
      <c r="XEQ861"/>
      <c r="XER861"/>
      <c r="XES861"/>
      <c r="XET861"/>
      <c r="XEU861"/>
      <c r="XEV861"/>
      <c r="XEW861"/>
      <c r="XEX861"/>
      <c r="XEY861"/>
      <c r="XEZ861"/>
      <c r="XFA861"/>
      <c r="XFB861"/>
      <c r="XFC861"/>
      <c r="XFD861"/>
    </row>
    <row r="862" spans="1:18 16327:16384" s="26" customFormat="1" ht="29.1" customHeight="1" outlineLevel="2" x14ac:dyDescent="0.25">
      <c r="A862" s="34" t="s">
        <v>1463</v>
      </c>
      <c r="B862" s="35"/>
      <c r="C862" s="65" t="s">
        <v>1460</v>
      </c>
      <c r="D862" s="65"/>
      <c r="E862" s="35"/>
      <c r="F862" s="36" t="s">
        <v>1398</v>
      </c>
      <c r="G862" s="35" t="s">
        <v>31</v>
      </c>
      <c r="H862" s="37"/>
      <c r="I862" s="38">
        <f>103</f>
        <v>103</v>
      </c>
      <c r="J862" s="23"/>
      <c r="K862" s="39"/>
      <c r="L862" s="40"/>
      <c r="M862" s="41">
        <f>K862+L862</f>
        <v>0</v>
      </c>
      <c r="N862" s="41">
        <f t="shared" si="28"/>
        <v>0</v>
      </c>
      <c r="O862" s="41">
        <f>ROUND((I862*L862),2)</f>
        <v>0</v>
      </c>
      <c r="P862" s="41">
        <f>ROUND((I862*M862),2)</f>
        <v>0</v>
      </c>
      <c r="Q862" s="41"/>
      <c r="R862" s="23"/>
      <c r="XCY862"/>
      <c r="XCZ862"/>
      <c r="XDA862"/>
      <c r="XDB862"/>
      <c r="XDC862"/>
      <c r="XDD862"/>
      <c r="XDE862"/>
      <c r="XDF862"/>
      <c r="XDG862"/>
      <c r="XDH862"/>
      <c r="XDI862"/>
      <c r="XDJ862"/>
      <c r="XDK862"/>
      <c r="XDL862"/>
      <c r="XDM862"/>
      <c r="XDN862"/>
      <c r="XDO862"/>
      <c r="XDP862"/>
      <c r="XDQ862"/>
      <c r="XDR862"/>
      <c r="XDS862"/>
      <c r="XDT862"/>
      <c r="XDU862"/>
      <c r="XDV862"/>
      <c r="XDW862"/>
      <c r="XDX862"/>
      <c r="XDY862"/>
      <c r="XDZ862"/>
      <c r="XEA862"/>
      <c r="XEB862"/>
      <c r="XEC862"/>
      <c r="XED862"/>
      <c r="XEE862"/>
      <c r="XEF862"/>
      <c r="XEG862"/>
      <c r="XEH862"/>
      <c r="XEI862"/>
      <c r="XEJ862"/>
      <c r="XEK862"/>
      <c r="XEL862"/>
      <c r="XEM862"/>
      <c r="XEN862"/>
      <c r="XEO862"/>
      <c r="XEP862"/>
      <c r="XEQ862"/>
      <c r="XER862"/>
      <c r="XES862"/>
      <c r="XET862"/>
      <c r="XEU862"/>
      <c r="XEV862"/>
      <c r="XEW862"/>
      <c r="XEX862"/>
      <c r="XEY862"/>
      <c r="XEZ862"/>
      <c r="XFA862"/>
      <c r="XFB862"/>
      <c r="XFC862"/>
      <c r="XFD862"/>
    </row>
    <row r="863" spans="1:18 16327:16384" s="26" customFormat="1" ht="29.1" customHeight="1" outlineLevel="3" x14ac:dyDescent="0.25">
      <c r="A863" s="42" t="s">
        <v>1464</v>
      </c>
      <c r="B863" s="43"/>
      <c r="C863" s="66" t="s">
        <v>1465</v>
      </c>
      <c r="D863" s="66"/>
      <c r="E863" s="43" t="s">
        <v>34</v>
      </c>
      <c r="F863" s="44"/>
      <c r="G863" s="43" t="s">
        <v>31</v>
      </c>
      <c r="H863" s="45">
        <v>1</v>
      </c>
      <c r="I863" s="46">
        <f>103</f>
        <v>103</v>
      </c>
      <c r="J863" s="23"/>
      <c r="K863" s="47"/>
      <c r="L863" s="48"/>
      <c r="M863" s="49"/>
      <c r="N863" s="49">
        <f t="shared" si="28"/>
        <v>0</v>
      </c>
      <c r="O863" s="49"/>
      <c r="P863" s="49"/>
      <c r="Q863" s="49"/>
      <c r="R863" s="23"/>
      <c r="XCY863"/>
      <c r="XCZ863"/>
      <c r="XDA863"/>
      <c r="XDB863"/>
      <c r="XDC863"/>
      <c r="XDD863"/>
      <c r="XDE863"/>
      <c r="XDF863"/>
      <c r="XDG863"/>
      <c r="XDH863"/>
      <c r="XDI863"/>
      <c r="XDJ863"/>
      <c r="XDK863"/>
      <c r="XDL863"/>
      <c r="XDM863"/>
      <c r="XDN863"/>
      <c r="XDO863"/>
      <c r="XDP863"/>
      <c r="XDQ863"/>
      <c r="XDR863"/>
      <c r="XDS863"/>
      <c r="XDT863"/>
      <c r="XDU863"/>
      <c r="XDV863"/>
      <c r="XDW863"/>
      <c r="XDX863"/>
      <c r="XDY863"/>
      <c r="XDZ863"/>
      <c r="XEA863"/>
      <c r="XEB863"/>
      <c r="XEC863"/>
      <c r="XED863"/>
      <c r="XEE863"/>
      <c r="XEF863"/>
      <c r="XEG863"/>
      <c r="XEH863"/>
      <c r="XEI863"/>
      <c r="XEJ863"/>
      <c r="XEK863"/>
      <c r="XEL863"/>
      <c r="XEM863"/>
      <c r="XEN863"/>
      <c r="XEO863"/>
      <c r="XEP863"/>
      <c r="XEQ863"/>
      <c r="XER863"/>
      <c r="XES863"/>
      <c r="XET863"/>
      <c r="XEU863"/>
      <c r="XEV863"/>
      <c r="XEW863"/>
      <c r="XEX863"/>
      <c r="XEY863"/>
      <c r="XEZ863"/>
      <c r="XFA863"/>
      <c r="XFB863"/>
      <c r="XFC863"/>
      <c r="XFD863"/>
    </row>
    <row r="864" spans="1:18 16327:16384" s="26" customFormat="1" ht="29.1" customHeight="1" outlineLevel="2" x14ac:dyDescent="0.25">
      <c r="A864" s="34" t="s">
        <v>1466</v>
      </c>
      <c r="B864" s="35"/>
      <c r="C864" s="65" t="s">
        <v>1467</v>
      </c>
      <c r="D864" s="65"/>
      <c r="E864" s="35"/>
      <c r="F864" s="36" t="s">
        <v>1398</v>
      </c>
      <c r="G864" s="35" t="s">
        <v>31</v>
      </c>
      <c r="H864" s="37"/>
      <c r="I864" s="38">
        <f>165</f>
        <v>165</v>
      </c>
      <c r="J864" s="23"/>
      <c r="K864" s="39"/>
      <c r="L864" s="40"/>
      <c r="M864" s="41">
        <f>K864+L864</f>
        <v>0</v>
      </c>
      <c r="N864" s="41">
        <f t="shared" si="28"/>
        <v>0</v>
      </c>
      <c r="O864" s="41">
        <f>ROUND((I864*L864),2)</f>
        <v>0</v>
      </c>
      <c r="P864" s="41">
        <f>ROUND((I864*M864),2)</f>
        <v>0</v>
      </c>
      <c r="Q864" s="41"/>
      <c r="R864" s="23"/>
      <c r="XCY864"/>
      <c r="XCZ864"/>
      <c r="XDA864"/>
      <c r="XDB864"/>
      <c r="XDC864"/>
      <c r="XDD864"/>
      <c r="XDE864"/>
      <c r="XDF864"/>
      <c r="XDG864"/>
      <c r="XDH864"/>
      <c r="XDI864"/>
      <c r="XDJ864"/>
      <c r="XDK864"/>
      <c r="XDL864"/>
      <c r="XDM864"/>
      <c r="XDN864"/>
      <c r="XDO864"/>
      <c r="XDP864"/>
      <c r="XDQ864"/>
      <c r="XDR864"/>
      <c r="XDS864"/>
      <c r="XDT864"/>
      <c r="XDU864"/>
      <c r="XDV864"/>
      <c r="XDW864"/>
      <c r="XDX864"/>
      <c r="XDY864"/>
      <c r="XDZ864"/>
      <c r="XEA864"/>
      <c r="XEB864"/>
      <c r="XEC864"/>
      <c r="XED864"/>
      <c r="XEE864"/>
      <c r="XEF864"/>
      <c r="XEG864"/>
      <c r="XEH864"/>
      <c r="XEI864"/>
      <c r="XEJ864"/>
      <c r="XEK864"/>
      <c r="XEL864"/>
      <c r="XEM864"/>
      <c r="XEN864"/>
      <c r="XEO864"/>
      <c r="XEP864"/>
      <c r="XEQ864"/>
      <c r="XER864"/>
      <c r="XES864"/>
      <c r="XET864"/>
      <c r="XEU864"/>
      <c r="XEV864"/>
      <c r="XEW864"/>
      <c r="XEX864"/>
      <c r="XEY864"/>
      <c r="XEZ864"/>
      <c r="XFA864"/>
      <c r="XFB864"/>
      <c r="XFC864"/>
      <c r="XFD864"/>
    </row>
    <row r="865" spans="1:18 16327:16384" s="26" customFormat="1" ht="29.1" customHeight="1" outlineLevel="3" x14ac:dyDescent="0.25">
      <c r="A865" s="42" t="s">
        <v>1468</v>
      </c>
      <c r="B865" s="43"/>
      <c r="C865" s="66" t="s">
        <v>1469</v>
      </c>
      <c r="D865" s="66"/>
      <c r="E865" s="43" t="s">
        <v>34</v>
      </c>
      <c r="F865" s="44"/>
      <c r="G865" s="43" t="s">
        <v>31</v>
      </c>
      <c r="H865" s="45">
        <v>1</v>
      </c>
      <c r="I865" s="46">
        <f>41</f>
        <v>41</v>
      </c>
      <c r="J865" s="23"/>
      <c r="K865" s="47"/>
      <c r="L865" s="48"/>
      <c r="M865" s="49"/>
      <c r="N865" s="49">
        <f t="shared" si="28"/>
        <v>0</v>
      </c>
      <c r="O865" s="49"/>
      <c r="P865" s="49"/>
      <c r="Q865" s="49"/>
      <c r="R865" s="23"/>
      <c r="XCY865"/>
      <c r="XCZ865"/>
      <c r="XDA865"/>
      <c r="XDB865"/>
      <c r="XDC865"/>
      <c r="XDD865"/>
      <c r="XDE865"/>
      <c r="XDF865"/>
      <c r="XDG865"/>
      <c r="XDH865"/>
      <c r="XDI865"/>
      <c r="XDJ865"/>
      <c r="XDK865"/>
      <c r="XDL865"/>
      <c r="XDM865"/>
      <c r="XDN865"/>
      <c r="XDO865"/>
      <c r="XDP865"/>
      <c r="XDQ865"/>
      <c r="XDR865"/>
      <c r="XDS865"/>
      <c r="XDT865"/>
      <c r="XDU865"/>
      <c r="XDV865"/>
      <c r="XDW865"/>
      <c r="XDX865"/>
      <c r="XDY865"/>
      <c r="XDZ865"/>
      <c r="XEA865"/>
      <c r="XEB865"/>
      <c r="XEC865"/>
      <c r="XED865"/>
      <c r="XEE865"/>
      <c r="XEF865"/>
      <c r="XEG865"/>
      <c r="XEH865"/>
      <c r="XEI865"/>
      <c r="XEJ865"/>
      <c r="XEK865"/>
      <c r="XEL865"/>
      <c r="XEM865"/>
      <c r="XEN865"/>
      <c r="XEO865"/>
      <c r="XEP865"/>
      <c r="XEQ865"/>
      <c r="XER865"/>
      <c r="XES865"/>
      <c r="XET865"/>
      <c r="XEU865"/>
      <c r="XEV865"/>
      <c r="XEW865"/>
      <c r="XEX865"/>
      <c r="XEY865"/>
      <c r="XEZ865"/>
      <c r="XFA865"/>
      <c r="XFB865"/>
      <c r="XFC865"/>
      <c r="XFD865"/>
    </row>
    <row r="866" spans="1:18 16327:16384" s="26" customFormat="1" ht="29.1" customHeight="1" outlineLevel="3" x14ac:dyDescent="0.25">
      <c r="A866" s="42" t="s">
        <v>1470</v>
      </c>
      <c r="B866" s="43"/>
      <c r="C866" s="66" t="s">
        <v>1471</v>
      </c>
      <c r="D866" s="66"/>
      <c r="E866" s="43" t="s">
        <v>34</v>
      </c>
      <c r="F866" s="44"/>
      <c r="G866" s="43" t="s">
        <v>31</v>
      </c>
      <c r="H866" s="45">
        <v>1</v>
      </c>
      <c r="I866" s="46">
        <f>18</f>
        <v>18</v>
      </c>
      <c r="J866" s="23"/>
      <c r="K866" s="47"/>
      <c r="L866" s="48"/>
      <c r="M866" s="49"/>
      <c r="N866" s="49">
        <f t="shared" si="28"/>
        <v>0</v>
      </c>
      <c r="O866" s="49"/>
      <c r="P866" s="49"/>
      <c r="Q866" s="49"/>
      <c r="R866" s="23"/>
      <c r="XCY866"/>
      <c r="XCZ866"/>
      <c r="XDA866"/>
      <c r="XDB866"/>
      <c r="XDC866"/>
      <c r="XDD866"/>
      <c r="XDE866"/>
      <c r="XDF866"/>
      <c r="XDG866"/>
      <c r="XDH866"/>
      <c r="XDI866"/>
      <c r="XDJ866"/>
      <c r="XDK866"/>
      <c r="XDL866"/>
      <c r="XDM866"/>
      <c r="XDN866"/>
      <c r="XDO866"/>
      <c r="XDP866"/>
      <c r="XDQ866"/>
      <c r="XDR866"/>
      <c r="XDS866"/>
      <c r="XDT866"/>
      <c r="XDU866"/>
      <c r="XDV866"/>
      <c r="XDW866"/>
      <c r="XDX866"/>
      <c r="XDY866"/>
      <c r="XDZ866"/>
      <c r="XEA866"/>
      <c r="XEB866"/>
      <c r="XEC866"/>
      <c r="XED866"/>
      <c r="XEE866"/>
      <c r="XEF866"/>
      <c r="XEG866"/>
      <c r="XEH866"/>
      <c r="XEI866"/>
      <c r="XEJ866"/>
      <c r="XEK866"/>
      <c r="XEL866"/>
      <c r="XEM866"/>
      <c r="XEN866"/>
      <c r="XEO866"/>
      <c r="XEP866"/>
      <c r="XEQ866"/>
      <c r="XER866"/>
      <c r="XES866"/>
      <c r="XET866"/>
      <c r="XEU866"/>
      <c r="XEV866"/>
      <c r="XEW866"/>
      <c r="XEX866"/>
      <c r="XEY866"/>
      <c r="XEZ866"/>
      <c r="XFA866"/>
      <c r="XFB866"/>
      <c r="XFC866"/>
      <c r="XFD866"/>
    </row>
    <row r="867" spans="1:18 16327:16384" s="26" customFormat="1" ht="29.1" customHeight="1" outlineLevel="3" x14ac:dyDescent="0.25">
      <c r="A867" s="42" t="s">
        <v>1472</v>
      </c>
      <c r="B867" s="43"/>
      <c r="C867" s="66" t="s">
        <v>1473</v>
      </c>
      <c r="D867" s="66"/>
      <c r="E867" s="43" t="s">
        <v>34</v>
      </c>
      <c r="F867" s="44"/>
      <c r="G867" s="43" t="s">
        <v>31</v>
      </c>
      <c r="H867" s="45">
        <v>1</v>
      </c>
      <c r="I867" s="46">
        <f>97</f>
        <v>97</v>
      </c>
      <c r="J867" s="23"/>
      <c r="K867" s="47"/>
      <c r="L867" s="48"/>
      <c r="M867" s="49"/>
      <c r="N867" s="49">
        <f t="shared" si="28"/>
        <v>0</v>
      </c>
      <c r="O867" s="49"/>
      <c r="P867" s="49"/>
      <c r="Q867" s="49"/>
      <c r="R867" s="23"/>
      <c r="XCY867"/>
      <c r="XCZ867"/>
      <c r="XDA867"/>
      <c r="XDB867"/>
      <c r="XDC867"/>
      <c r="XDD867"/>
      <c r="XDE867"/>
      <c r="XDF867"/>
      <c r="XDG867"/>
      <c r="XDH867"/>
      <c r="XDI867"/>
      <c r="XDJ867"/>
      <c r="XDK867"/>
      <c r="XDL867"/>
      <c r="XDM867"/>
      <c r="XDN867"/>
      <c r="XDO867"/>
      <c r="XDP867"/>
      <c r="XDQ867"/>
      <c r="XDR867"/>
      <c r="XDS867"/>
      <c r="XDT867"/>
      <c r="XDU867"/>
      <c r="XDV867"/>
      <c r="XDW867"/>
      <c r="XDX867"/>
      <c r="XDY867"/>
      <c r="XDZ867"/>
      <c r="XEA867"/>
      <c r="XEB867"/>
      <c r="XEC867"/>
      <c r="XED867"/>
      <c r="XEE867"/>
      <c r="XEF867"/>
      <c r="XEG867"/>
      <c r="XEH867"/>
      <c r="XEI867"/>
      <c r="XEJ867"/>
      <c r="XEK867"/>
      <c r="XEL867"/>
      <c r="XEM867"/>
      <c r="XEN867"/>
      <c r="XEO867"/>
      <c r="XEP867"/>
      <c r="XEQ867"/>
      <c r="XER867"/>
      <c r="XES867"/>
      <c r="XET867"/>
      <c r="XEU867"/>
      <c r="XEV867"/>
      <c r="XEW867"/>
      <c r="XEX867"/>
      <c r="XEY867"/>
      <c r="XEZ867"/>
      <c r="XFA867"/>
      <c r="XFB867"/>
      <c r="XFC867"/>
      <c r="XFD867"/>
    </row>
    <row r="868" spans="1:18 16327:16384" s="26" customFormat="1" ht="29.1" customHeight="1" outlineLevel="3" x14ac:dyDescent="0.25">
      <c r="A868" s="42" t="s">
        <v>1474</v>
      </c>
      <c r="B868" s="43"/>
      <c r="C868" s="66" t="s">
        <v>1475</v>
      </c>
      <c r="D868" s="66"/>
      <c r="E868" s="43" t="s">
        <v>34</v>
      </c>
      <c r="F868" s="44"/>
      <c r="G868" s="43" t="s">
        <v>31</v>
      </c>
      <c r="H868" s="45">
        <v>1</v>
      </c>
      <c r="I868" s="46">
        <f>9</f>
        <v>9</v>
      </c>
      <c r="J868" s="23"/>
      <c r="K868" s="47"/>
      <c r="L868" s="48"/>
      <c r="M868" s="49"/>
      <c r="N868" s="49">
        <f t="shared" si="28"/>
        <v>0</v>
      </c>
      <c r="O868" s="49"/>
      <c r="P868" s="49"/>
      <c r="Q868" s="49"/>
      <c r="R868" s="23"/>
      <c r="XCY868"/>
      <c r="XCZ868"/>
      <c r="XDA868"/>
      <c r="XDB868"/>
      <c r="XDC868"/>
      <c r="XDD868"/>
      <c r="XDE868"/>
      <c r="XDF868"/>
      <c r="XDG868"/>
      <c r="XDH868"/>
      <c r="XDI868"/>
      <c r="XDJ868"/>
      <c r="XDK868"/>
      <c r="XDL868"/>
      <c r="XDM868"/>
      <c r="XDN868"/>
      <c r="XDO868"/>
      <c r="XDP868"/>
      <c r="XDQ868"/>
      <c r="XDR868"/>
      <c r="XDS868"/>
      <c r="XDT868"/>
      <c r="XDU868"/>
      <c r="XDV868"/>
      <c r="XDW868"/>
      <c r="XDX868"/>
      <c r="XDY868"/>
      <c r="XDZ868"/>
      <c r="XEA868"/>
      <c r="XEB868"/>
      <c r="XEC868"/>
      <c r="XED868"/>
      <c r="XEE868"/>
      <c r="XEF868"/>
      <c r="XEG868"/>
      <c r="XEH868"/>
      <c r="XEI868"/>
      <c r="XEJ868"/>
      <c r="XEK868"/>
      <c r="XEL868"/>
      <c r="XEM868"/>
      <c r="XEN868"/>
      <c r="XEO868"/>
      <c r="XEP868"/>
      <c r="XEQ868"/>
      <c r="XER868"/>
      <c r="XES868"/>
      <c r="XET868"/>
      <c r="XEU868"/>
      <c r="XEV868"/>
      <c r="XEW868"/>
      <c r="XEX868"/>
      <c r="XEY868"/>
      <c r="XEZ868"/>
      <c r="XFA868"/>
      <c r="XFB868"/>
      <c r="XFC868"/>
      <c r="XFD868"/>
    </row>
    <row r="869" spans="1:18 16327:16384" s="26" customFormat="1" ht="29.1" customHeight="1" outlineLevel="2" x14ac:dyDescent="0.25">
      <c r="A869" s="34" t="s">
        <v>1476</v>
      </c>
      <c r="B869" s="35"/>
      <c r="C869" s="65" t="s">
        <v>1477</v>
      </c>
      <c r="D869" s="65"/>
      <c r="E869" s="35"/>
      <c r="F869" s="36" t="s">
        <v>1398</v>
      </c>
      <c r="G869" s="35" t="s">
        <v>31</v>
      </c>
      <c r="H869" s="37"/>
      <c r="I869" s="38">
        <f>158</f>
        <v>158</v>
      </c>
      <c r="J869" s="23"/>
      <c r="K869" s="39"/>
      <c r="L869" s="40"/>
      <c r="M869" s="41">
        <f>K869+L869</f>
        <v>0</v>
      </c>
      <c r="N869" s="41">
        <f t="shared" si="28"/>
        <v>0</v>
      </c>
      <c r="O869" s="41">
        <f>ROUND((I869*L869),2)</f>
        <v>0</v>
      </c>
      <c r="P869" s="41">
        <f>ROUND((I869*M869),2)</f>
        <v>0</v>
      </c>
      <c r="Q869" s="41"/>
      <c r="R869" s="23"/>
      <c r="XCY869"/>
      <c r="XCZ869"/>
      <c r="XDA869"/>
      <c r="XDB869"/>
      <c r="XDC869"/>
      <c r="XDD869"/>
      <c r="XDE869"/>
      <c r="XDF869"/>
      <c r="XDG869"/>
      <c r="XDH869"/>
      <c r="XDI869"/>
      <c r="XDJ869"/>
      <c r="XDK869"/>
      <c r="XDL869"/>
      <c r="XDM869"/>
      <c r="XDN869"/>
      <c r="XDO869"/>
      <c r="XDP869"/>
      <c r="XDQ869"/>
      <c r="XDR869"/>
      <c r="XDS869"/>
      <c r="XDT869"/>
      <c r="XDU869"/>
      <c r="XDV869"/>
      <c r="XDW869"/>
      <c r="XDX869"/>
      <c r="XDY869"/>
      <c r="XDZ869"/>
      <c r="XEA869"/>
      <c r="XEB869"/>
      <c r="XEC869"/>
      <c r="XED869"/>
      <c r="XEE869"/>
      <c r="XEF869"/>
      <c r="XEG869"/>
      <c r="XEH869"/>
      <c r="XEI869"/>
      <c r="XEJ869"/>
      <c r="XEK869"/>
      <c r="XEL869"/>
      <c r="XEM869"/>
      <c r="XEN869"/>
      <c r="XEO869"/>
      <c r="XEP869"/>
      <c r="XEQ869"/>
      <c r="XER869"/>
      <c r="XES869"/>
      <c r="XET869"/>
      <c r="XEU869"/>
      <c r="XEV869"/>
      <c r="XEW869"/>
      <c r="XEX869"/>
      <c r="XEY869"/>
      <c r="XEZ869"/>
      <c r="XFA869"/>
      <c r="XFB869"/>
      <c r="XFC869"/>
      <c r="XFD869"/>
    </row>
    <row r="870" spans="1:18 16327:16384" s="26" customFormat="1" ht="29.1" customHeight="1" outlineLevel="3" x14ac:dyDescent="0.25">
      <c r="A870" s="42" t="s">
        <v>1478</v>
      </c>
      <c r="B870" s="43"/>
      <c r="C870" s="66" t="s">
        <v>1479</v>
      </c>
      <c r="D870" s="66"/>
      <c r="E870" s="43" t="s">
        <v>34</v>
      </c>
      <c r="F870" s="44"/>
      <c r="G870" s="43" t="s">
        <v>31</v>
      </c>
      <c r="H870" s="45">
        <v>1</v>
      </c>
      <c r="I870" s="46">
        <f>158</f>
        <v>158</v>
      </c>
      <c r="J870" s="23"/>
      <c r="K870" s="47"/>
      <c r="L870" s="48"/>
      <c r="M870" s="49"/>
      <c r="N870" s="49">
        <f t="shared" si="28"/>
        <v>0</v>
      </c>
      <c r="O870" s="49"/>
      <c r="P870" s="49"/>
      <c r="Q870" s="49"/>
      <c r="R870" s="23"/>
      <c r="XCY870"/>
      <c r="XCZ870"/>
      <c r="XDA870"/>
      <c r="XDB870"/>
      <c r="XDC870"/>
      <c r="XDD870"/>
      <c r="XDE870"/>
      <c r="XDF870"/>
      <c r="XDG870"/>
      <c r="XDH870"/>
      <c r="XDI870"/>
      <c r="XDJ870"/>
      <c r="XDK870"/>
      <c r="XDL870"/>
      <c r="XDM870"/>
      <c r="XDN870"/>
      <c r="XDO870"/>
      <c r="XDP870"/>
      <c r="XDQ870"/>
      <c r="XDR870"/>
      <c r="XDS870"/>
      <c r="XDT870"/>
      <c r="XDU870"/>
      <c r="XDV870"/>
      <c r="XDW870"/>
      <c r="XDX870"/>
      <c r="XDY870"/>
      <c r="XDZ870"/>
      <c r="XEA870"/>
      <c r="XEB870"/>
      <c r="XEC870"/>
      <c r="XED870"/>
      <c r="XEE870"/>
      <c r="XEF870"/>
      <c r="XEG870"/>
      <c r="XEH870"/>
      <c r="XEI870"/>
      <c r="XEJ870"/>
      <c r="XEK870"/>
      <c r="XEL870"/>
      <c r="XEM870"/>
      <c r="XEN870"/>
      <c r="XEO870"/>
      <c r="XEP870"/>
      <c r="XEQ870"/>
      <c r="XER870"/>
      <c r="XES870"/>
      <c r="XET870"/>
      <c r="XEU870"/>
      <c r="XEV870"/>
      <c r="XEW870"/>
      <c r="XEX870"/>
      <c r="XEY870"/>
      <c r="XEZ870"/>
      <c r="XFA870"/>
      <c r="XFB870"/>
      <c r="XFC870"/>
      <c r="XFD870"/>
    </row>
    <row r="871" spans="1:18 16327:16384" s="26" customFormat="1" ht="16.5" customHeight="1" outlineLevel="2" x14ac:dyDescent="0.25">
      <c r="A871" s="34" t="s">
        <v>1480</v>
      </c>
      <c r="B871" s="35"/>
      <c r="C871" s="65" t="s">
        <v>1477</v>
      </c>
      <c r="D871" s="65"/>
      <c r="E871" s="35"/>
      <c r="F871" s="36" t="s">
        <v>1398</v>
      </c>
      <c r="G871" s="35" t="s">
        <v>31</v>
      </c>
      <c r="H871" s="37"/>
      <c r="I871" s="38">
        <f>42</f>
        <v>42</v>
      </c>
      <c r="J871" s="23"/>
      <c r="K871" s="39"/>
      <c r="L871" s="40"/>
      <c r="M871" s="41">
        <f>K871+L871</f>
        <v>0</v>
      </c>
      <c r="N871" s="41">
        <f t="shared" si="28"/>
        <v>0</v>
      </c>
      <c r="O871" s="41">
        <f>ROUND((I871*L871),2)</f>
        <v>0</v>
      </c>
      <c r="P871" s="41">
        <f>ROUND((I871*M871),2)</f>
        <v>0</v>
      </c>
      <c r="Q871" s="41"/>
      <c r="R871" s="23"/>
      <c r="XCY871"/>
      <c r="XCZ871"/>
      <c r="XDA871"/>
      <c r="XDB871"/>
      <c r="XDC871"/>
      <c r="XDD871"/>
      <c r="XDE871"/>
      <c r="XDF871"/>
      <c r="XDG871"/>
      <c r="XDH871"/>
      <c r="XDI871"/>
      <c r="XDJ871"/>
      <c r="XDK871"/>
      <c r="XDL871"/>
      <c r="XDM871"/>
      <c r="XDN871"/>
      <c r="XDO871"/>
      <c r="XDP871"/>
      <c r="XDQ871"/>
      <c r="XDR871"/>
      <c r="XDS871"/>
      <c r="XDT871"/>
      <c r="XDU871"/>
      <c r="XDV871"/>
      <c r="XDW871"/>
      <c r="XDX871"/>
      <c r="XDY871"/>
      <c r="XDZ871"/>
      <c r="XEA871"/>
      <c r="XEB871"/>
      <c r="XEC871"/>
      <c r="XED871"/>
      <c r="XEE871"/>
      <c r="XEF871"/>
      <c r="XEG871"/>
      <c r="XEH871"/>
      <c r="XEI871"/>
      <c r="XEJ871"/>
      <c r="XEK871"/>
      <c r="XEL871"/>
      <c r="XEM871"/>
      <c r="XEN871"/>
      <c r="XEO871"/>
      <c r="XEP871"/>
      <c r="XEQ871"/>
      <c r="XER871"/>
      <c r="XES871"/>
      <c r="XET871"/>
      <c r="XEU871"/>
      <c r="XEV871"/>
      <c r="XEW871"/>
      <c r="XEX871"/>
      <c r="XEY871"/>
      <c r="XEZ871"/>
      <c r="XFA871"/>
      <c r="XFB871"/>
      <c r="XFC871"/>
      <c r="XFD871"/>
    </row>
    <row r="872" spans="1:18 16327:16384" s="26" customFormat="1" ht="29.1" customHeight="1" outlineLevel="3" x14ac:dyDescent="0.25">
      <c r="A872" s="42" t="s">
        <v>1481</v>
      </c>
      <c r="B872" s="43"/>
      <c r="C872" s="66" t="s">
        <v>1482</v>
      </c>
      <c r="D872" s="66"/>
      <c r="E872" s="43" t="s">
        <v>34</v>
      </c>
      <c r="F872" s="44"/>
      <c r="G872" s="43" t="s">
        <v>31</v>
      </c>
      <c r="H872" s="45">
        <v>1</v>
      </c>
      <c r="I872" s="46">
        <f>42</f>
        <v>42</v>
      </c>
      <c r="J872" s="23"/>
      <c r="K872" s="47"/>
      <c r="L872" s="48"/>
      <c r="M872" s="49"/>
      <c r="N872" s="49">
        <f t="shared" si="28"/>
        <v>0</v>
      </c>
      <c r="O872" s="49"/>
      <c r="P872" s="49"/>
      <c r="Q872" s="49"/>
      <c r="R872" s="23"/>
      <c r="XCY872"/>
      <c r="XCZ872"/>
      <c r="XDA872"/>
      <c r="XDB872"/>
      <c r="XDC872"/>
      <c r="XDD872"/>
      <c r="XDE872"/>
      <c r="XDF872"/>
      <c r="XDG872"/>
      <c r="XDH872"/>
      <c r="XDI872"/>
      <c r="XDJ872"/>
      <c r="XDK872"/>
      <c r="XDL872"/>
      <c r="XDM872"/>
      <c r="XDN872"/>
      <c r="XDO872"/>
      <c r="XDP872"/>
      <c r="XDQ872"/>
      <c r="XDR872"/>
      <c r="XDS872"/>
      <c r="XDT872"/>
      <c r="XDU872"/>
      <c r="XDV872"/>
      <c r="XDW872"/>
      <c r="XDX872"/>
      <c r="XDY872"/>
      <c r="XDZ872"/>
      <c r="XEA872"/>
      <c r="XEB872"/>
      <c r="XEC872"/>
      <c r="XED872"/>
      <c r="XEE872"/>
      <c r="XEF872"/>
      <c r="XEG872"/>
      <c r="XEH872"/>
      <c r="XEI872"/>
      <c r="XEJ872"/>
      <c r="XEK872"/>
      <c r="XEL872"/>
      <c r="XEM872"/>
      <c r="XEN872"/>
      <c r="XEO872"/>
      <c r="XEP872"/>
      <c r="XEQ872"/>
      <c r="XER872"/>
      <c r="XES872"/>
      <c r="XET872"/>
      <c r="XEU872"/>
      <c r="XEV872"/>
      <c r="XEW872"/>
      <c r="XEX872"/>
      <c r="XEY872"/>
      <c r="XEZ872"/>
      <c r="XFA872"/>
      <c r="XFB872"/>
      <c r="XFC872"/>
      <c r="XFD872"/>
    </row>
    <row r="873" spans="1:18 16327:16384" s="26" customFormat="1" ht="18.75" customHeight="1" outlineLevel="2" x14ac:dyDescent="0.25">
      <c r="A873" s="34" t="s">
        <v>1483</v>
      </c>
      <c r="B873" s="35"/>
      <c r="C873" s="65" t="s">
        <v>1285</v>
      </c>
      <c r="D873" s="65"/>
      <c r="E873" s="35"/>
      <c r="F873" s="36" t="s">
        <v>1398</v>
      </c>
      <c r="G873" s="35" t="s">
        <v>31</v>
      </c>
      <c r="H873" s="37"/>
      <c r="I873" s="38">
        <f>582</f>
        <v>582</v>
      </c>
      <c r="J873" s="23"/>
      <c r="K873" s="39"/>
      <c r="L873" s="40"/>
      <c r="M873" s="41">
        <f>K873+L873</f>
        <v>0</v>
      </c>
      <c r="N873" s="41">
        <f t="shared" si="28"/>
        <v>0</v>
      </c>
      <c r="O873" s="41">
        <f>ROUND((I873*L873),2)</f>
        <v>0</v>
      </c>
      <c r="P873" s="41">
        <f>ROUND((I873*M873),2)</f>
        <v>0</v>
      </c>
      <c r="Q873" s="41"/>
      <c r="R873" s="23"/>
      <c r="XCY873"/>
      <c r="XCZ873"/>
      <c r="XDA873"/>
      <c r="XDB873"/>
      <c r="XDC873"/>
      <c r="XDD873"/>
      <c r="XDE873"/>
      <c r="XDF873"/>
      <c r="XDG873"/>
      <c r="XDH873"/>
      <c r="XDI873"/>
      <c r="XDJ873"/>
      <c r="XDK873"/>
      <c r="XDL873"/>
      <c r="XDM873"/>
      <c r="XDN873"/>
      <c r="XDO873"/>
      <c r="XDP873"/>
      <c r="XDQ873"/>
      <c r="XDR873"/>
      <c r="XDS873"/>
      <c r="XDT873"/>
      <c r="XDU873"/>
      <c r="XDV873"/>
      <c r="XDW873"/>
      <c r="XDX873"/>
      <c r="XDY873"/>
      <c r="XDZ873"/>
      <c r="XEA873"/>
      <c r="XEB873"/>
      <c r="XEC873"/>
      <c r="XED873"/>
      <c r="XEE873"/>
      <c r="XEF873"/>
      <c r="XEG873"/>
      <c r="XEH873"/>
      <c r="XEI873"/>
      <c r="XEJ873"/>
      <c r="XEK873"/>
      <c r="XEL873"/>
      <c r="XEM873"/>
      <c r="XEN873"/>
      <c r="XEO873"/>
      <c r="XEP873"/>
      <c r="XEQ873"/>
      <c r="XER873"/>
      <c r="XES873"/>
      <c r="XET873"/>
      <c r="XEU873"/>
      <c r="XEV873"/>
      <c r="XEW873"/>
      <c r="XEX873"/>
      <c r="XEY873"/>
      <c r="XEZ873"/>
      <c r="XFA873"/>
      <c r="XFB873"/>
      <c r="XFC873"/>
      <c r="XFD873"/>
    </row>
    <row r="874" spans="1:18 16327:16384" s="26" customFormat="1" ht="29.1" customHeight="1" outlineLevel="3" x14ac:dyDescent="0.25">
      <c r="A874" s="42" t="s">
        <v>1484</v>
      </c>
      <c r="B874" s="43"/>
      <c r="C874" s="66" t="s">
        <v>1485</v>
      </c>
      <c r="D874" s="66"/>
      <c r="E874" s="43" t="s">
        <v>34</v>
      </c>
      <c r="F874" s="44"/>
      <c r="G874" s="43" t="s">
        <v>31</v>
      </c>
      <c r="H874" s="45">
        <v>1</v>
      </c>
      <c r="I874" s="46">
        <f>582</f>
        <v>582</v>
      </c>
      <c r="J874" s="23"/>
      <c r="K874" s="47"/>
      <c r="L874" s="48"/>
      <c r="M874" s="49"/>
      <c r="N874" s="49">
        <f t="shared" si="28"/>
        <v>0</v>
      </c>
      <c r="O874" s="49"/>
      <c r="P874" s="49"/>
      <c r="Q874" s="49"/>
      <c r="R874" s="23"/>
      <c r="XCY874"/>
      <c r="XCZ874"/>
      <c r="XDA874"/>
      <c r="XDB874"/>
      <c r="XDC874"/>
      <c r="XDD874"/>
      <c r="XDE874"/>
      <c r="XDF874"/>
      <c r="XDG874"/>
      <c r="XDH874"/>
      <c r="XDI874"/>
      <c r="XDJ874"/>
      <c r="XDK874"/>
      <c r="XDL874"/>
      <c r="XDM874"/>
      <c r="XDN874"/>
      <c r="XDO874"/>
      <c r="XDP874"/>
      <c r="XDQ874"/>
      <c r="XDR874"/>
      <c r="XDS874"/>
      <c r="XDT874"/>
      <c r="XDU874"/>
      <c r="XDV874"/>
      <c r="XDW874"/>
      <c r="XDX874"/>
      <c r="XDY874"/>
      <c r="XDZ874"/>
      <c r="XEA874"/>
      <c r="XEB874"/>
      <c r="XEC874"/>
      <c r="XED874"/>
      <c r="XEE874"/>
      <c r="XEF874"/>
      <c r="XEG874"/>
      <c r="XEH874"/>
      <c r="XEI874"/>
      <c r="XEJ874"/>
      <c r="XEK874"/>
      <c r="XEL874"/>
      <c r="XEM874"/>
      <c r="XEN874"/>
      <c r="XEO874"/>
      <c r="XEP874"/>
      <c r="XEQ874"/>
      <c r="XER874"/>
      <c r="XES874"/>
      <c r="XET874"/>
      <c r="XEU874"/>
      <c r="XEV874"/>
      <c r="XEW874"/>
      <c r="XEX874"/>
      <c r="XEY874"/>
      <c r="XEZ874"/>
      <c r="XFA874"/>
      <c r="XFB874"/>
      <c r="XFC874"/>
      <c r="XFD874"/>
    </row>
    <row r="875" spans="1:18 16327:16384" s="26" customFormat="1" ht="16.5" customHeight="1" outlineLevel="2" x14ac:dyDescent="0.25">
      <c r="A875" s="34" t="s">
        <v>1486</v>
      </c>
      <c r="B875" s="35"/>
      <c r="C875" s="65" t="s">
        <v>50</v>
      </c>
      <c r="D875" s="65"/>
      <c r="E875" s="35"/>
      <c r="F875" s="36" t="s">
        <v>1398</v>
      </c>
      <c r="G875" s="35" t="s">
        <v>31</v>
      </c>
      <c r="H875" s="37"/>
      <c r="I875" s="38">
        <f>228</f>
        <v>228</v>
      </c>
      <c r="J875" s="23"/>
      <c r="K875" s="39"/>
      <c r="L875" s="40"/>
      <c r="M875" s="41">
        <f>K875+L875</f>
        <v>0</v>
      </c>
      <c r="N875" s="41">
        <f t="shared" si="28"/>
        <v>0</v>
      </c>
      <c r="O875" s="41">
        <f>ROUND((I875*L875),2)</f>
        <v>0</v>
      </c>
      <c r="P875" s="41">
        <f>ROUND((I875*M875),2)</f>
        <v>0</v>
      </c>
      <c r="Q875" s="41"/>
      <c r="R875" s="23"/>
      <c r="XCY875"/>
      <c r="XCZ875"/>
      <c r="XDA875"/>
      <c r="XDB875"/>
      <c r="XDC875"/>
      <c r="XDD875"/>
      <c r="XDE875"/>
      <c r="XDF875"/>
      <c r="XDG875"/>
      <c r="XDH875"/>
      <c r="XDI875"/>
      <c r="XDJ875"/>
      <c r="XDK875"/>
      <c r="XDL875"/>
      <c r="XDM875"/>
      <c r="XDN875"/>
      <c r="XDO875"/>
      <c r="XDP875"/>
      <c r="XDQ875"/>
      <c r="XDR875"/>
      <c r="XDS875"/>
      <c r="XDT875"/>
      <c r="XDU875"/>
      <c r="XDV875"/>
      <c r="XDW875"/>
      <c r="XDX875"/>
      <c r="XDY875"/>
      <c r="XDZ875"/>
      <c r="XEA875"/>
      <c r="XEB875"/>
      <c r="XEC875"/>
      <c r="XED875"/>
      <c r="XEE875"/>
      <c r="XEF875"/>
      <c r="XEG875"/>
      <c r="XEH875"/>
      <c r="XEI875"/>
      <c r="XEJ875"/>
      <c r="XEK875"/>
      <c r="XEL875"/>
      <c r="XEM875"/>
      <c r="XEN875"/>
      <c r="XEO875"/>
      <c r="XEP875"/>
      <c r="XEQ875"/>
      <c r="XER875"/>
      <c r="XES875"/>
      <c r="XET875"/>
      <c r="XEU875"/>
      <c r="XEV875"/>
      <c r="XEW875"/>
      <c r="XEX875"/>
      <c r="XEY875"/>
      <c r="XEZ875"/>
      <c r="XFA875"/>
      <c r="XFB875"/>
      <c r="XFC875"/>
      <c r="XFD875"/>
    </row>
    <row r="876" spans="1:18 16327:16384" s="26" customFormat="1" ht="29.1" customHeight="1" outlineLevel="3" x14ac:dyDescent="0.25">
      <c r="A876" s="42" t="s">
        <v>1487</v>
      </c>
      <c r="B876" s="43"/>
      <c r="C876" s="66" t="s">
        <v>1350</v>
      </c>
      <c r="D876" s="66"/>
      <c r="E876" s="43" t="s">
        <v>34</v>
      </c>
      <c r="F876" s="44" t="s">
        <v>1488</v>
      </c>
      <c r="G876" s="43" t="s">
        <v>31</v>
      </c>
      <c r="H876" s="45">
        <v>1</v>
      </c>
      <c r="I876" s="46">
        <f>228</f>
        <v>228</v>
      </c>
      <c r="J876" s="23"/>
      <c r="K876" s="47"/>
      <c r="L876" s="48"/>
      <c r="M876" s="49"/>
      <c r="N876" s="49">
        <f t="shared" si="28"/>
        <v>0</v>
      </c>
      <c r="O876" s="49"/>
      <c r="P876" s="49"/>
      <c r="Q876" s="49"/>
      <c r="R876" s="23"/>
      <c r="XCY876"/>
      <c r="XCZ876"/>
      <c r="XDA876"/>
      <c r="XDB876"/>
      <c r="XDC876"/>
      <c r="XDD876"/>
      <c r="XDE876"/>
      <c r="XDF876"/>
      <c r="XDG876"/>
      <c r="XDH876"/>
      <c r="XDI876"/>
      <c r="XDJ876"/>
      <c r="XDK876"/>
      <c r="XDL876"/>
      <c r="XDM876"/>
      <c r="XDN876"/>
      <c r="XDO876"/>
      <c r="XDP876"/>
      <c r="XDQ876"/>
      <c r="XDR876"/>
      <c r="XDS876"/>
      <c r="XDT876"/>
      <c r="XDU876"/>
      <c r="XDV876"/>
      <c r="XDW876"/>
      <c r="XDX876"/>
      <c r="XDY876"/>
      <c r="XDZ876"/>
      <c r="XEA876"/>
      <c r="XEB876"/>
      <c r="XEC876"/>
      <c r="XED876"/>
      <c r="XEE876"/>
      <c r="XEF876"/>
      <c r="XEG876"/>
      <c r="XEH876"/>
      <c r="XEI876"/>
      <c r="XEJ876"/>
      <c r="XEK876"/>
      <c r="XEL876"/>
      <c r="XEM876"/>
      <c r="XEN876"/>
      <c r="XEO876"/>
      <c r="XEP876"/>
      <c r="XEQ876"/>
      <c r="XER876"/>
      <c r="XES876"/>
      <c r="XET876"/>
      <c r="XEU876"/>
      <c r="XEV876"/>
      <c r="XEW876"/>
      <c r="XEX876"/>
      <c r="XEY876"/>
      <c r="XEZ876"/>
      <c r="XFA876"/>
      <c r="XFB876"/>
      <c r="XFC876"/>
      <c r="XFD876"/>
    </row>
    <row r="877" spans="1:18 16327:16384" s="26" customFormat="1" ht="20.25" customHeight="1" outlineLevel="2" x14ac:dyDescent="0.25">
      <c r="A877" s="34" t="s">
        <v>1489</v>
      </c>
      <c r="B877" s="35"/>
      <c r="C877" s="65" t="s">
        <v>69</v>
      </c>
      <c r="D877" s="65"/>
      <c r="E877" s="35"/>
      <c r="F877" s="36" t="s">
        <v>1490</v>
      </c>
      <c r="G877" s="35" t="s">
        <v>65</v>
      </c>
      <c r="H877" s="37"/>
      <c r="I877" s="38">
        <f>406</f>
        <v>406</v>
      </c>
      <c r="J877" s="23"/>
      <c r="K877" s="39"/>
      <c r="L877" s="40"/>
      <c r="M877" s="41"/>
      <c r="N877" s="41"/>
      <c r="O877" s="41"/>
      <c r="P877" s="41"/>
      <c r="Q877" s="41"/>
      <c r="R877" s="23"/>
      <c r="XCY877"/>
      <c r="XCZ877"/>
      <c r="XDA877"/>
      <c r="XDB877"/>
      <c r="XDC877"/>
      <c r="XDD877"/>
      <c r="XDE877"/>
      <c r="XDF877"/>
      <c r="XDG877"/>
      <c r="XDH877"/>
      <c r="XDI877"/>
      <c r="XDJ877"/>
      <c r="XDK877"/>
      <c r="XDL877"/>
      <c r="XDM877"/>
      <c r="XDN877"/>
      <c r="XDO877"/>
      <c r="XDP877"/>
      <c r="XDQ877"/>
      <c r="XDR877"/>
      <c r="XDS877"/>
      <c r="XDT877"/>
      <c r="XDU877"/>
      <c r="XDV877"/>
      <c r="XDW877"/>
      <c r="XDX877"/>
      <c r="XDY877"/>
      <c r="XDZ877"/>
      <c r="XEA877"/>
      <c r="XEB877"/>
      <c r="XEC877"/>
      <c r="XED877"/>
      <c r="XEE877"/>
      <c r="XEF877"/>
      <c r="XEG877"/>
      <c r="XEH877"/>
      <c r="XEI877"/>
      <c r="XEJ877"/>
      <c r="XEK877"/>
      <c r="XEL877"/>
      <c r="XEM877"/>
      <c r="XEN877"/>
      <c r="XEO877"/>
      <c r="XEP877"/>
      <c r="XEQ877"/>
      <c r="XER877"/>
      <c r="XES877"/>
      <c r="XET877"/>
      <c r="XEU877"/>
      <c r="XEV877"/>
      <c r="XEW877"/>
      <c r="XEX877"/>
      <c r="XEY877"/>
      <c r="XEZ877"/>
      <c r="XFA877"/>
      <c r="XFB877"/>
      <c r="XFC877"/>
      <c r="XFD877"/>
    </row>
    <row r="878" spans="1:18 16327:16384" s="26" customFormat="1" ht="29.1" customHeight="1" outlineLevel="3" x14ac:dyDescent="0.25">
      <c r="A878" s="42" t="s">
        <v>1491</v>
      </c>
      <c r="B878" s="43"/>
      <c r="C878" s="66" t="s">
        <v>1492</v>
      </c>
      <c r="D878" s="66"/>
      <c r="E878" s="43" t="s">
        <v>34</v>
      </c>
      <c r="F878" s="44" t="s">
        <v>1493</v>
      </c>
      <c r="G878" s="43" t="s">
        <v>65</v>
      </c>
      <c r="H878" s="45">
        <v>1.02</v>
      </c>
      <c r="I878" s="46">
        <f>414.12</f>
        <v>414.12</v>
      </c>
      <c r="J878" s="23"/>
      <c r="K878" s="47"/>
      <c r="L878" s="48"/>
      <c r="M878" s="49"/>
      <c r="N878" s="49">
        <f t="shared" si="28"/>
        <v>0</v>
      </c>
      <c r="O878" s="49"/>
      <c r="P878" s="49"/>
      <c r="Q878" s="49"/>
      <c r="R878" s="23"/>
      <c r="XCY878"/>
      <c r="XCZ878"/>
      <c r="XDA878"/>
      <c r="XDB878"/>
      <c r="XDC878"/>
      <c r="XDD878"/>
      <c r="XDE878"/>
      <c r="XDF878"/>
      <c r="XDG878"/>
      <c r="XDH878"/>
      <c r="XDI878"/>
      <c r="XDJ878"/>
      <c r="XDK878"/>
      <c r="XDL878"/>
      <c r="XDM878"/>
      <c r="XDN878"/>
      <c r="XDO878"/>
      <c r="XDP878"/>
      <c r="XDQ878"/>
      <c r="XDR878"/>
      <c r="XDS878"/>
      <c r="XDT878"/>
      <c r="XDU878"/>
      <c r="XDV878"/>
      <c r="XDW878"/>
      <c r="XDX878"/>
      <c r="XDY878"/>
      <c r="XDZ878"/>
      <c r="XEA878"/>
      <c r="XEB878"/>
      <c r="XEC878"/>
      <c r="XED878"/>
      <c r="XEE878"/>
      <c r="XEF878"/>
      <c r="XEG878"/>
      <c r="XEH878"/>
      <c r="XEI878"/>
      <c r="XEJ878"/>
      <c r="XEK878"/>
      <c r="XEL878"/>
      <c r="XEM878"/>
      <c r="XEN878"/>
      <c r="XEO878"/>
      <c r="XEP878"/>
      <c r="XEQ878"/>
      <c r="XER878"/>
      <c r="XES878"/>
      <c r="XET878"/>
      <c r="XEU878"/>
      <c r="XEV878"/>
      <c r="XEW878"/>
      <c r="XEX878"/>
      <c r="XEY878"/>
      <c r="XEZ878"/>
      <c r="XFA878"/>
      <c r="XFB878"/>
      <c r="XFC878"/>
      <c r="XFD878"/>
    </row>
    <row r="879" spans="1:18 16327:16384" s="26" customFormat="1" ht="15.75" customHeight="1" outlineLevel="2" x14ac:dyDescent="0.25">
      <c r="A879" s="34" t="s">
        <v>1494</v>
      </c>
      <c r="B879" s="35"/>
      <c r="C879" s="65" t="s">
        <v>69</v>
      </c>
      <c r="D879" s="65"/>
      <c r="E879" s="35"/>
      <c r="F879" s="36" t="s">
        <v>1490</v>
      </c>
      <c r="G879" s="35" t="s">
        <v>65</v>
      </c>
      <c r="H879" s="37"/>
      <c r="I879" s="38">
        <f>10886</f>
        <v>10886</v>
      </c>
      <c r="J879" s="23"/>
      <c r="K879" s="39"/>
      <c r="L879" s="40"/>
      <c r="M879" s="41"/>
      <c r="N879" s="41"/>
      <c r="O879" s="41"/>
      <c r="P879" s="41"/>
      <c r="Q879" s="41"/>
      <c r="R879" s="23"/>
      <c r="XCY879"/>
      <c r="XCZ879"/>
      <c r="XDA879"/>
      <c r="XDB879"/>
      <c r="XDC879"/>
      <c r="XDD879"/>
      <c r="XDE879"/>
      <c r="XDF879"/>
      <c r="XDG879"/>
      <c r="XDH879"/>
      <c r="XDI879"/>
      <c r="XDJ879"/>
      <c r="XDK879"/>
      <c r="XDL879"/>
      <c r="XDM879"/>
      <c r="XDN879"/>
      <c r="XDO879"/>
      <c r="XDP879"/>
      <c r="XDQ879"/>
      <c r="XDR879"/>
      <c r="XDS879"/>
      <c r="XDT879"/>
      <c r="XDU879"/>
      <c r="XDV879"/>
      <c r="XDW879"/>
      <c r="XDX879"/>
      <c r="XDY879"/>
      <c r="XDZ879"/>
      <c r="XEA879"/>
      <c r="XEB879"/>
      <c r="XEC879"/>
      <c r="XED879"/>
      <c r="XEE879"/>
      <c r="XEF879"/>
      <c r="XEG879"/>
      <c r="XEH879"/>
      <c r="XEI879"/>
      <c r="XEJ879"/>
      <c r="XEK879"/>
      <c r="XEL879"/>
      <c r="XEM879"/>
      <c r="XEN879"/>
      <c r="XEO879"/>
      <c r="XEP879"/>
      <c r="XEQ879"/>
      <c r="XER879"/>
      <c r="XES879"/>
      <c r="XET879"/>
      <c r="XEU879"/>
      <c r="XEV879"/>
      <c r="XEW879"/>
      <c r="XEX879"/>
      <c r="XEY879"/>
      <c r="XEZ879"/>
      <c r="XFA879"/>
      <c r="XFB879"/>
      <c r="XFC879"/>
      <c r="XFD879"/>
    </row>
    <row r="880" spans="1:18 16327:16384" s="26" customFormat="1" ht="29.1" customHeight="1" outlineLevel="3" x14ac:dyDescent="0.25">
      <c r="A880" s="42" t="s">
        <v>1495</v>
      </c>
      <c r="B880" s="43"/>
      <c r="C880" s="66" t="s">
        <v>1362</v>
      </c>
      <c r="D880" s="66"/>
      <c r="E880" s="43" t="s">
        <v>34</v>
      </c>
      <c r="F880" s="44" t="s">
        <v>1496</v>
      </c>
      <c r="G880" s="43" t="s">
        <v>65</v>
      </c>
      <c r="H880" s="45">
        <v>1.02</v>
      </c>
      <c r="I880" s="46">
        <f>11103.72</f>
        <v>11103.72</v>
      </c>
      <c r="J880" s="23"/>
      <c r="K880" s="47"/>
      <c r="L880" s="48"/>
      <c r="M880" s="49"/>
      <c r="N880" s="49">
        <f t="shared" si="28"/>
        <v>0</v>
      </c>
      <c r="O880" s="49"/>
      <c r="P880" s="49"/>
      <c r="Q880" s="49"/>
      <c r="R880" s="23"/>
      <c r="XCY880"/>
      <c r="XCZ880"/>
      <c r="XDA880"/>
      <c r="XDB880"/>
      <c r="XDC880"/>
      <c r="XDD880"/>
      <c r="XDE880"/>
      <c r="XDF880"/>
      <c r="XDG880"/>
      <c r="XDH880"/>
      <c r="XDI880"/>
      <c r="XDJ880"/>
      <c r="XDK880"/>
      <c r="XDL880"/>
      <c r="XDM880"/>
      <c r="XDN880"/>
      <c r="XDO880"/>
      <c r="XDP880"/>
      <c r="XDQ880"/>
      <c r="XDR880"/>
      <c r="XDS880"/>
      <c r="XDT880"/>
      <c r="XDU880"/>
      <c r="XDV880"/>
      <c r="XDW880"/>
      <c r="XDX880"/>
      <c r="XDY880"/>
      <c r="XDZ880"/>
      <c r="XEA880"/>
      <c r="XEB880"/>
      <c r="XEC880"/>
      <c r="XED880"/>
      <c r="XEE880"/>
      <c r="XEF880"/>
      <c r="XEG880"/>
      <c r="XEH880"/>
      <c r="XEI880"/>
      <c r="XEJ880"/>
      <c r="XEK880"/>
      <c r="XEL880"/>
      <c r="XEM880"/>
      <c r="XEN880"/>
      <c r="XEO880"/>
      <c r="XEP880"/>
      <c r="XEQ880"/>
      <c r="XER880"/>
      <c r="XES880"/>
      <c r="XET880"/>
      <c r="XEU880"/>
      <c r="XEV880"/>
      <c r="XEW880"/>
      <c r="XEX880"/>
      <c r="XEY880"/>
      <c r="XEZ880"/>
      <c r="XFA880"/>
      <c r="XFB880"/>
      <c r="XFC880"/>
      <c r="XFD880"/>
    </row>
    <row r="881" spans="1:18 16327:16384" s="26" customFormat="1" ht="16.5" customHeight="1" outlineLevel="2" x14ac:dyDescent="0.25">
      <c r="A881" s="34" t="s">
        <v>1497</v>
      </c>
      <c r="B881" s="35"/>
      <c r="C881" s="65" t="s">
        <v>69</v>
      </c>
      <c r="D881" s="65"/>
      <c r="E881" s="35"/>
      <c r="F881" s="36" t="s">
        <v>1490</v>
      </c>
      <c r="G881" s="35" t="s">
        <v>65</v>
      </c>
      <c r="H881" s="37"/>
      <c r="I881" s="38">
        <f>180</f>
        <v>180</v>
      </c>
      <c r="J881" s="23"/>
      <c r="K881" s="39"/>
      <c r="L881" s="40"/>
      <c r="M881" s="41"/>
      <c r="N881" s="41"/>
      <c r="O881" s="41"/>
      <c r="P881" s="41"/>
      <c r="Q881" s="41"/>
      <c r="R881" s="23"/>
      <c r="XCY881"/>
      <c r="XCZ881"/>
      <c r="XDA881"/>
      <c r="XDB881"/>
      <c r="XDC881"/>
      <c r="XDD881"/>
      <c r="XDE881"/>
      <c r="XDF881"/>
      <c r="XDG881"/>
      <c r="XDH881"/>
      <c r="XDI881"/>
      <c r="XDJ881"/>
      <c r="XDK881"/>
      <c r="XDL881"/>
      <c r="XDM881"/>
      <c r="XDN881"/>
      <c r="XDO881"/>
      <c r="XDP881"/>
      <c r="XDQ881"/>
      <c r="XDR881"/>
      <c r="XDS881"/>
      <c r="XDT881"/>
      <c r="XDU881"/>
      <c r="XDV881"/>
      <c r="XDW881"/>
      <c r="XDX881"/>
      <c r="XDY881"/>
      <c r="XDZ881"/>
      <c r="XEA881"/>
      <c r="XEB881"/>
      <c r="XEC881"/>
      <c r="XED881"/>
      <c r="XEE881"/>
      <c r="XEF881"/>
      <c r="XEG881"/>
      <c r="XEH881"/>
      <c r="XEI881"/>
      <c r="XEJ881"/>
      <c r="XEK881"/>
      <c r="XEL881"/>
      <c r="XEM881"/>
      <c r="XEN881"/>
      <c r="XEO881"/>
      <c r="XEP881"/>
      <c r="XEQ881"/>
      <c r="XER881"/>
      <c r="XES881"/>
      <c r="XET881"/>
      <c r="XEU881"/>
      <c r="XEV881"/>
      <c r="XEW881"/>
      <c r="XEX881"/>
      <c r="XEY881"/>
      <c r="XEZ881"/>
      <c r="XFA881"/>
      <c r="XFB881"/>
      <c r="XFC881"/>
      <c r="XFD881"/>
    </row>
    <row r="882" spans="1:18 16327:16384" s="26" customFormat="1" ht="29.1" customHeight="1" outlineLevel="3" x14ac:dyDescent="0.25">
      <c r="A882" s="42" t="s">
        <v>1498</v>
      </c>
      <c r="B882" s="43"/>
      <c r="C882" s="66" t="s">
        <v>1499</v>
      </c>
      <c r="D882" s="66"/>
      <c r="E882" s="43" t="s">
        <v>34</v>
      </c>
      <c r="F882" s="44" t="s">
        <v>1500</v>
      </c>
      <c r="G882" s="43" t="s">
        <v>65</v>
      </c>
      <c r="H882" s="45">
        <v>1.02</v>
      </c>
      <c r="I882" s="46">
        <f>183.6</f>
        <v>183.6</v>
      </c>
      <c r="J882" s="23"/>
      <c r="K882" s="47"/>
      <c r="L882" s="48"/>
      <c r="M882" s="49"/>
      <c r="N882" s="49">
        <f t="shared" si="28"/>
        <v>0</v>
      </c>
      <c r="O882" s="49"/>
      <c r="P882" s="49"/>
      <c r="Q882" s="49"/>
      <c r="R882" s="23"/>
      <c r="XCY882"/>
      <c r="XCZ882"/>
      <c r="XDA882"/>
      <c r="XDB882"/>
      <c r="XDC882"/>
      <c r="XDD882"/>
      <c r="XDE882"/>
      <c r="XDF882"/>
      <c r="XDG882"/>
      <c r="XDH882"/>
      <c r="XDI882"/>
      <c r="XDJ882"/>
      <c r="XDK882"/>
      <c r="XDL882"/>
      <c r="XDM882"/>
      <c r="XDN882"/>
      <c r="XDO882"/>
      <c r="XDP882"/>
      <c r="XDQ882"/>
      <c r="XDR882"/>
      <c r="XDS882"/>
      <c r="XDT882"/>
      <c r="XDU882"/>
      <c r="XDV882"/>
      <c r="XDW882"/>
      <c r="XDX882"/>
      <c r="XDY882"/>
      <c r="XDZ882"/>
      <c r="XEA882"/>
      <c r="XEB882"/>
      <c r="XEC882"/>
      <c r="XED882"/>
      <c r="XEE882"/>
      <c r="XEF882"/>
      <c r="XEG882"/>
      <c r="XEH882"/>
      <c r="XEI882"/>
      <c r="XEJ882"/>
      <c r="XEK882"/>
      <c r="XEL882"/>
      <c r="XEM882"/>
      <c r="XEN882"/>
      <c r="XEO882"/>
      <c r="XEP882"/>
      <c r="XEQ882"/>
      <c r="XER882"/>
      <c r="XES882"/>
      <c r="XET882"/>
      <c r="XEU882"/>
      <c r="XEV882"/>
      <c r="XEW882"/>
      <c r="XEX882"/>
      <c r="XEY882"/>
      <c r="XEZ882"/>
      <c r="XFA882"/>
      <c r="XFB882"/>
      <c r="XFC882"/>
      <c r="XFD882"/>
    </row>
    <row r="883" spans="1:18 16327:16384" s="26" customFormat="1" ht="15" customHeight="1" outlineLevel="2" x14ac:dyDescent="0.25">
      <c r="A883" s="34" t="s">
        <v>1501</v>
      </c>
      <c r="B883" s="35"/>
      <c r="C883" s="65" t="s">
        <v>69</v>
      </c>
      <c r="D883" s="65"/>
      <c r="E883" s="35"/>
      <c r="F883" s="36" t="s">
        <v>1490</v>
      </c>
      <c r="G883" s="35" t="s">
        <v>65</v>
      </c>
      <c r="H883" s="37"/>
      <c r="I883" s="38">
        <f>336</f>
        <v>336</v>
      </c>
      <c r="J883" s="23"/>
      <c r="K883" s="39"/>
      <c r="L883" s="40"/>
      <c r="M883" s="41"/>
      <c r="N883" s="41"/>
      <c r="O883" s="41"/>
      <c r="P883" s="41"/>
      <c r="Q883" s="41"/>
      <c r="R883" s="23"/>
      <c r="XCY883"/>
      <c r="XCZ883"/>
      <c r="XDA883"/>
      <c r="XDB883"/>
      <c r="XDC883"/>
      <c r="XDD883"/>
      <c r="XDE883"/>
      <c r="XDF883"/>
      <c r="XDG883"/>
      <c r="XDH883"/>
      <c r="XDI883"/>
      <c r="XDJ883"/>
      <c r="XDK883"/>
      <c r="XDL883"/>
      <c r="XDM883"/>
      <c r="XDN883"/>
      <c r="XDO883"/>
      <c r="XDP883"/>
      <c r="XDQ883"/>
      <c r="XDR883"/>
      <c r="XDS883"/>
      <c r="XDT883"/>
      <c r="XDU883"/>
      <c r="XDV883"/>
      <c r="XDW883"/>
      <c r="XDX883"/>
      <c r="XDY883"/>
      <c r="XDZ883"/>
      <c r="XEA883"/>
      <c r="XEB883"/>
      <c r="XEC883"/>
      <c r="XED883"/>
      <c r="XEE883"/>
      <c r="XEF883"/>
      <c r="XEG883"/>
      <c r="XEH883"/>
      <c r="XEI883"/>
      <c r="XEJ883"/>
      <c r="XEK883"/>
      <c r="XEL883"/>
      <c r="XEM883"/>
      <c r="XEN883"/>
      <c r="XEO883"/>
      <c r="XEP883"/>
      <c r="XEQ883"/>
      <c r="XER883"/>
      <c r="XES883"/>
      <c r="XET883"/>
      <c r="XEU883"/>
      <c r="XEV883"/>
      <c r="XEW883"/>
      <c r="XEX883"/>
      <c r="XEY883"/>
      <c r="XEZ883"/>
      <c r="XFA883"/>
      <c r="XFB883"/>
      <c r="XFC883"/>
      <c r="XFD883"/>
    </row>
    <row r="884" spans="1:18 16327:16384" s="26" customFormat="1" ht="29.1" customHeight="1" outlineLevel="3" x14ac:dyDescent="0.25">
      <c r="A884" s="42" t="s">
        <v>1502</v>
      </c>
      <c r="B884" s="43"/>
      <c r="C884" s="66" t="s">
        <v>1503</v>
      </c>
      <c r="D884" s="66"/>
      <c r="E884" s="43" t="s">
        <v>34</v>
      </c>
      <c r="F884" s="44" t="s">
        <v>1504</v>
      </c>
      <c r="G884" s="43" t="s">
        <v>65</v>
      </c>
      <c r="H884" s="45">
        <v>1.02</v>
      </c>
      <c r="I884" s="46">
        <f>342.72</f>
        <v>342.72</v>
      </c>
      <c r="J884" s="23"/>
      <c r="K884" s="47"/>
      <c r="L884" s="48"/>
      <c r="M884" s="49"/>
      <c r="N884" s="49">
        <f t="shared" si="28"/>
        <v>0</v>
      </c>
      <c r="O884" s="49"/>
      <c r="P884" s="49"/>
      <c r="Q884" s="49"/>
      <c r="R884" s="23"/>
      <c r="XCY884"/>
      <c r="XCZ884"/>
      <c r="XDA884"/>
      <c r="XDB884"/>
      <c r="XDC884"/>
      <c r="XDD884"/>
      <c r="XDE884"/>
      <c r="XDF884"/>
      <c r="XDG884"/>
      <c r="XDH884"/>
      <c r="XDI884"/>
      <c r="XDJ884"/>
      <c r="XDK884"/>
      <c r="XDL884"/>
      <c r="XDM884"/>
      <c r="XDN884"/>
      <c r="XDO884"/>
      <c r="XDP884"/>
      <c r="XDQ884"/>
      <c r="XDR884"/>
      <c r="XDS884"/>
      <c r="XDT884"/>
      <c r="XDU884"/>
      <c r="XDV884"/>
      <c r="XDW884"/>
      <c r="XDX884"/>
      <c r="XDY884"/>
      <c r="XDZ884"/>
      <c r="XEA884"/>
      <c r="XEB884"/>
      <c r="XEC884"/>
      <c r="XED884"/>
      <c r="XEE884"/>
      <c r="XEF884"/>
      <c r="XEG884"/>
      <c r="XEH884"/>
      <c r="XEI884"/>
      <c r="XEJ884"/>
      <c r="XEK884"/>
      <c r="XEL884"/>
      <c r="XEM884"/>
      <c r="XEN884"/>
      <c r="XEO884"/>
      <c r="XEP884"/>
      <c r="XEQ884"/>
      <c r="XER884"/>
      <c r="XES884"/>
      <c r="XET884"/>
      <c r="XEU884"/>
      <c r="XEV884"/>
      <c r="XEW884"/>
      <c r="XEX884"/>
      <c r="XEY884"/>
      <c r="XEZ884"/>
      <c r="XFA884"/>
      <c r="XFB884"/>
      <c r="XFC884"/>
      <c r="XFD884"/>
    </row>
    <row r="885" spans="1:18 16327:16384" s="26" customFormat="1" ht="13.5" customHeight="1" outlineLevel="2" x14ac:dyDescent="0.25">
      <c r="A885" s="34" t="s">
        <v>1505</v>
      </c>
      <c r="B885" s="35"/>
      <c r="C885" s="65" t="s">
        <v>69</v>
      </c>
      <c r="D885" s="65"/>
      <c r="E885" s="35"/>
      <c r="F885" s="36" t="s">
        <v>1490</v>
      </c>
      <c r="G885" s="35" t="s">
        <v>65</v>
      </c>
      <c r="H885" s="37"/>
      <c r="I885" s="38">
        <f>1984</f>
        <v>1984</v>
      </c>
      <c r="J885" s="23"/>
      <c r="K885" s="39"/>
      <c r="L885" s="40"/>
      <c r="M885" s="41"/>
      <c r="N885" s="41"/>
      <c r="O885" s="41"/>
      <c r="P885" s="41"/>
      <c r="Q885" s="41"/>
      <c r="R885" s="23"/>
      <c r="XCY885"/>
      <c r="XCZ885"/>
      <c r="XDA885"/>
      <c r="XDB885"/>
      <c r="XDC885"/>
      <c r="XDD885"/>
      <c r="XDE885"/>
      <c r="XDF885"/>
      <c r="XDG885"/>
      <c r="XDH885"/>
      <c r="XDI885"/>
      <c r="XDJ885"/>
      <c r="XDK885"/>
      <c r="XDL885"/>
      <c r="XDM885"/>
      <c r="XDN885"/>
      <c r="XDO885"/>
      <c r="XDP885"/>
      <c r="XDQ885"/>
      <c r="XDR885"/>
      <c r="XDS885"/>
      <c r="XDT885"/>
      <c r="XDU885"/>
      <c r="XDV885"/>
      <c r="XDW885"/>
      <c r="XDX885"/>
      <c r="XDY885"/>
      <c r="XDZ885"/>
      <c r="XEA885"/>
      <c r="XEB885"/>
      <c r="XEC885"/>
      <c r="XED885"/>
      <c r="XEE885"/>
      <c r="XEF885"/>
      <c r="XEG885"/>
      <c r="XEH885"/>
      <c r="XEI885"/>
      <c r="XEJ885"/>
      <c r="XEK885"/>
      <c r="XEL885"/>
      <c r="XEM885"/>
      <c r="XEN885"/>
      <c r="XEO885"/>
      <c r="XEP885"/>
      <c r="XEQ885"/>
      <c r="XER885"/>
      <c r="XES885"/>
      <c r="XET885"/>
      <c r="XEU885"/>
      <c r="XEV885"/>
      <c r="XEW885"/>
      <c r="XEX885"/>
      <c r="XEY885"/>
      <c r="XEZ885"/>
      <c r="XFA885"/>
      <c r="XFB885"/>
      <c r="XFC885"/>
      <c r="XFD885"/>
    </row>
    <row r="886" spans="1:18 16327:16384" s="26" customFormat="1" ht="29.1" customHeight="1" outlineLevel="3" x14ac:dyDescent="0.25">
      <c r="A886" s="42" t="s">
        <v>1506</v>
      </c>
      <c r="B886" s="43"/>
      <c r="C886" s="66" t="s">
        <v>1507</v>
      </c>
      <c r="D886" s="66"/>
      <c r="E886" s="43" t="s">
        <v>34</v>
      </c>
      <c r="F886" s="44" t="s">
        <v>1508</v>
      </c>
      <c r="G886" s="43" t="s">
        <v>65</v>
      </c>
      <c r="H886" s="45">
        <v>1.02</v>
      </c>
      <c r="I886" s="46">
        <f>2023.68</f>
        <v>2023.68</v>
      </c>
      <c r="J886" s="23"/>
      <c r="K886" s="47"/>
      <c r="L886" s="48"/>
      <c r="M886" s="49"/>
      <c r="N886" s="49">
        <f t="shared" si="28"/>
        <v>0</v>
      </c>
      <c r="O886" s="49"/>
      <c r="P886" s="49"/>
      <c r="Q886" s="49"/>
      <c r="R886" s="23"/>
      <c r="XCY886"/>
      <c r="XCZ886"/>
      <c r="XDA886"/>
      <c r="XDB886"/>
      <c r="XDC886"/>
      <c r="XDD886"/>
      <c r="XDE886"/>
      <c r="XDF886"/>
      <c r="XDG886"/>
      <c r="XDH886"/>
      <c r="XDI886"/>
      <c r="XDJ886"/>
      <c r="XDK886"/>
      <c r="XDL886"/>
      <c r="XDM886"/>
      <c r="XDN886"/>
      <c r="XDO886"/>
      <c r="XDP886"/>
      <c r="XDQ886"/>
      <c r="XDR886"/>
      <c r="XDS886"/>
      <c r="XDT886"/>
      <c r="XDU886"/>
      <c r="XDV886"/>
      <c r="XDW886"/>
      <c r="XDX886"/>
      <c r="XDY886"/>
      <c r="XDZ886"/>
      <c r="XEA886"/>
      <c r="XEB886"/>
      <c r="XEC886"/>
      <c r="XED886"/>
      <c r="XEE886"/>
      <c r="XEF886"/>
      <c r="XEG886"/>
      <c r="XEH886"/>
      <c r="XEI886"/>
      <c r="XEJ886"/>
      <c r="XEK886"/>
      <c r="XEL886"/>
      <c r="XEM886"/>
      <c r="XEN886"/>
      <c r="XEO886"/>
      <c r="XEP886"/>
      <c r="XEQ886"/>
      <c r="XER886"/>
      <c r="XES886"/>
      <c r="XET886"/>
      <c r="XEU886"/>
      <c r="XEV886"/>
      <c r="XEW886"/>
      <c r="XEX886"/>
      <c r="XEY886"/>
      <c r="XEZ886"/>
      <c r="XFA886"/>
      <c r="XFB886"/>
      <c r="XFC886"/>
      <c r="XFD886"/>
    </row>
    <row r="887" spans="1:18 16327:16384" s="26" customFormat="1" ht="15" customHeight="1" outlineLevel="2" x14ac:dyDescent="0.25">
      <c r="A887" s="34" t="s">
        <v>1509</v>
      </c>
      <c r="B887" s="35"/>
      <c r="C887" s="65" t="s">
        <v>69</v>
      </c>
      <c r="D887" s="65"/>
      <c r="E887" s="35"/>
      <c r="F887" s="36" t="s">
        <v>1490</v>
      </c>
      <c r="G887" s="35" t="s">
        <v>65</v>
      </c>
      <c r="H887" s="37"/>
      <c r="I887" s="38">
        <f>223</f>
        <v>223</v>
      </c>
      <c r="J887" s="23"/>
      <c r="K887" s="39"/>
      <c r="L887" s="40"/>
      <c r="M887" s="41"/>
      <c r="N887" s="41"/>
      <c r="O887" s="41"/>
      <c r="P887" s="41"/>
      <c r="Q887" s="41"/>
      <c r="R887" s="23"/>
      <c r="XCY887"/>
      <c r="XCZ887"/>
      <c r="XDA887"/>
      <c r="XDB887"/>
      <c r="XDC887"/>
      <c r="XDD887"/>
      <c r="XDE887"/>
      <c r="XDF887"/>
      <c r="XDG887"/>
      <c r="XDH887"/>
      <c r="XDI887"/>
      <c r="XDJ887"/>
      <c r="XDK887"/>
      <c r="XDL887"/>
      <c r="XDM887"/>
      <c r="XDN887"/>
      <c r="XDO887"/>
      <c r="XDP887"/>
      <c r="XDQ887"/>
      <c r="XDR887"/>
      <c r="XDS887"/>
      <c r="XDT887"/>
      <c r="XDU887"/>
      <c r="XDV887"/>
      <c r="XDW887"/>
      <c r="XDX887"/>
      <c r="XDY887"/>
      <c r="XDZ887"/>
      <c r="XEA887"/>
      <c r="XEB887"/>
      <c r="XEC887"/>
      <c r="XED887"/>
      <c r="XEE887"/>
      <c r="XEF887"/>
      <c r="XEG887"/>
      <c r="XEH887"/>
      <c r="XEI887"/>
      <c r="XEJ887"/>
      <c r="XEK887"/>
      <c r="XEL887"/>
      <c r="XEM887"/>
      <c r="XEN887"/>
      <c r="XEO887"/>
      <c r="XEP887"/>
      <c r="XEQ887"/>
      <c r="XER887"/>
      <c r="XES887"/>
      <c r="XET887"/>
      <c r="XEU887"/>
      <c r="XEV887"/>
      <c r="XEW887"/>
      <c r="XEX887"/>
      <c r="XEY887"/>
      <c r="XEZ887"/>
      <c r="XFA887"/>
      <c r="XFB887"/>
      <c r="XFC887"/>
      <c r="XFD887"/>
    </row>
    <row r="888" spans="1:18 16327:16384" s="26" customFormat="1" ht="29.1" customHeight="1" outlineLevel="3" x14ac:dyDescent="0.25">
      <c r="A888" s="42" t="s">
        <v>1510</v>
      </c>
      <c r="B888" s="43"/>
      <c r="C888" s="66" t="s">
        <v>1511</v>
      </c>
      <c r="D888" s="66"/>
      <c r="E888" s="43" t="s">
        <v>34</v>
      </c>
      <c r="F888" s="44" t="s">
        <v>1512</v>
      </c>
      <c r="G888" s="43" t="s">
        <v>65</v>
      </c>
      <c r="H888" s="45">
        <v>1.02</v>
      </c>
      <c r="I888" s="46">
        <f>227.46</f>
        <v>227.46</v>
      </c>
      <c r="J888" s="23"/>
      <c r="K888" s="47"/>
      <c r="L888" s="48"/>
      <c r="M888" s="49"/>
      <c r="N888" s="49">
        <f t="shared" ref="N888:N918" si="29">ROUND((I888*K888),2)</f>
        <v>0</v>
      </c>
      <c r="O888" s="49"/>
      <c r="P888" s="49"/>
      <c r="Q888" s="49"/>
      <c r="R888" s="23"/>
      <c r="XCY888"/>
      <c r="XCZ888"/>
      <c r="XDA888"/>
      <c r="XDB888"/>
      <c r="XDC888"/>
      <c r="XDD888"/>
      <c r="XDE888"/>
      <c r="XDF888"/>
      <c r="XDG888"/>
      <c r="XDH888"/>
      <c r="XDI888"/>
      <c r="XDJ888"/>
      <c r="XDK888"/>
      <c r="XDL888"/>
      <c r="XDM888"/>
      <c r="XDN888"/>
      <c r="XDO888"/>
      <c r="XDP888"/>
      <c r="XDQ888"/>
      <c r="XDR888"/>
      <c r="XDS888"/>
      <c r="XDT888"/>
      <c r="XDU888"/>
      <c r="XDV888"/>
      <c r="XDW888"/>
      <c r="XDX888"/>
      <c r="XDY888"/>
      <c r="XDZ888"/>
      <c r="XEA888"/>
      <c r="XEB888"/>
      <c r="XEC888"/>
      <c r="XED888"/>
      <c r="XEE888"/>
      <c r="XEF888"/>
      <c r="XEG888"/>
      <c r="XEH888"/>
      <c r="XEI888"/>
      <c r="XEJ888"/>
      <c r="XEK888"/>
      <c r="XEL888"/>
      <c r="XEM888"/>
      <c r="XEN888"/>
      <c r="XEO888"/>
      <c r="XEP888"/>
      <c r="XEQ888"/>
      <c r="XER888"/>
      <c r="XES888"/>
      <c r="XET888"/>
      <c r="XEU888"/>
      <c r="XEV888"/>
      <c r="XEW888"/>
      <c r="XEX888"/>
      <c r="XEY888"/>
      <c r="XEZ888"/>
      <c r="XFA888"/>
      <c r="XFB888"/>
      <c r="XFC888"/>
      <c r="XFD888"/>
    </row>
    <row r="889" spans="1:18 16327:16384" s="26" customFormat="1" ht="21" customHeight="1" outlineLevel="2" x14ac:dyDescent="0.25">
      <c r="A889" s="34" t="s">
        <v>1513</v>
      </c>
      <c r="B889" s="35"/>
      <c r="C889" s="65" t="s">
        <v>69</v>
      </c>
      <c r="D889" s="65"/>
      <c r="E889" s="35"/>
      <c r="F889" s="36" t="s">
        <v>1514</v>
      </c>
      <c r="G889" s="35" t="s">
        <v>65</v>
      </c>
      <c r="H889" s="37"/>
      <c r="I889" s="38">
        <f>200</f>
        <v>200</v>
      </c>
      <c r="J889" s="23"/>
      <c r="K889" s="39"/>
      <c r="L889" s="40"/>
      <c r="M889" s="41"/>
      <c r="N889" s="41"/>
      <c r="O889" s="41"/>
      <c r="P889" s="41"/>
      <c r="Q889" s="41"/>
      <c r="R889" s="23"/>
      <c r="XCY889"/>
      <c r="XCZ889"/>
      <c r="XDA889"/>
      <c r="XDB889"/>
      <c r="XDC889"/>
      <c r="XDD889"/>
      <c r="XDE889"/>
      <c r="XDF889"/>
      <c r="XDG889"/>
      <c r="XDH889"/>
      <c r="XDI889"/>
      <c r="XDJ889"/>
      <c r="XDK889"/>
      <c r="XDL889"/>
      <c r="XDM889"/>
      <c r="XDN889"/>
      <c r="XDO889"/>
      <c r="XDP889"/>
      <c r="XDQ889"/>
      <c r="XDR889"/>
      <c r="XDS889"/>
      <c r="XDT889"/>
      <c r="XDU889"/>
      <c r="XDV889"/>
      <c r="XDW889"/>
      <c r="XDX889"/>
      <c r="XDY889"/>
      <c r="XDZ889"/>
      <c r="XEA889"/>
      <c r="XEB889"/>
      <c r="XEC889"/>
      <c r="XED889"/>
      <c r="XEE889"/>
      <c r="XEF889"/>
      <c r="XEG889"/>
      <c r="XEH889"/>
      <c r="XEI889"/>
      <c r="XEJ889"/>
      <c r="XEK889"/>
      <c r="XEL889"/>
      <c r="XEM889"/>
      <c r="XEN889"/>
      <c r="XEO889"/>
      <c r="XEP889"/>
      <c r="XEQ889"/>
      <c r="XER889"/>
      <c r="XES889"/>
      <c r="XET889"/>
      <c r="XEU889"/>
      <c r="XEV889"/>
      <c r="XEW889"/>
      <c r="XEX889"/>
      <c r="XEY889"/>
      <c r="XEZ889"/>
      <c r="XFA889"/>
      <c r="XFB889"/>
      <c r="XFC889"/>
      <c r="XFD889"/>
    </row>
    <row r="890" spans="1:18 16327:16384" s="26" customFormat="1" ht="29.1" customHeight="1" outlineLevel="3" x14ac:dyDescent="0.25">
      <c r="A890" s="42" t="s">
        <v>1515</v>
      </c>
      <c r="B890" s="43"/>
      <c r="C890" s="66" t="s">
        <v>1516</v>
      </c>
      <c r="D890" s="66"/>
      <c r="E890" s="43" t="s">
        <v>34</v>
      </c>
      <c r="F890" s="44"/>
      <c r="G890" s="43" t="s">
        <v>65</v>
      </c>
      <c r="H890" s="45">
        <v>1.02</v>
      </c>
      <c r="I890" s="46">
        <f>204</f>
        <v>204</v>
      </c>
      <c r="J890" s="23"/>
      <c r="K890" s="47"/>
      <c r="L890" s="48"/>
      <c r="M890" s="49"/>
      <c r="N890" s="49">
        <f t="shared" si="29"/>
        <v>0</v>
      </c>
      <c r="O890" s="49"/>
      <c r="P890" s="49"/>
      <c r="Q890" s="49"/>
      <c r="R890" s="23"/>
      <c r="XCY890"/>
      <c r="XCZ890"/>
      <c r="XDA890"/>
      <c r="XDB890"/>
      <c r="XDC890"/>
      <c r="XDD890"/>
      <c r="XDE890"/>
      <c r="XDF890"/>
      <c r="XDG890"/>
      <c r="XDH890"/>
      <c r="XDI890"/>
      <c r="XDJ890"/>
      <c r="XDK890"/>
      <c r="XDL890"/>
      <c r="XDM890"/>
      <c r="XDN890"/>
      <c r="XDO890"/>
      <c r="XDP890"/>
      <c r="XDQ890"/>
      <c r="XDR890"/>
      <c r="XDS890"/>
      <c r="XDT890"/>
      <c r="XDU890"/>
      <c r="XDV890"/>
      <c r="XDW890"/>
      <c r="XDX890"/>
      <c r="XDY890"/>
      <c r="XDZ890"/>
      <c r="XEA890"/>
      <c r="XEB890"/>
      <c r="XEC890"/>
      <c r="XED890"/>
      <c r="XEE890"/>
      <c r="XEF890"/>
      <c r="XEG890"/>
      <c r="XEH890"/>
      <c r="XEI890"/>
      <c r="XEJ890"/>
      <c r="XEK890"/>
      <c r="XEL890"/>
      <c r="XEM890"/>
      <c r="XEN890"/>
      <c r="XEO890"/>
      <c r="XEP890"/>
      <c r="XEQ890"/>
      <c r="XER890"/>
      <c r="XES890"/>
      <c r="XET890"/>
      <c r="XEU890"/>
      <c r="XEV890"/>
      <c r="XEW890"/>
      <c r="XEX890"/>
      <c r="XEY890"/>
      <c r="XEZ890"/>
      <c r="XFA890"/>
      <c r="XFB890"/>
      <c r="XFC890"/>
      <c r="XFD890"/>
    </row>
    <row r="891" spans="1:18 16327:16384" s="26" customFormat="1" ht="30" customHeight="1" outlineLevel="2" x14ac:dyDescent="0.25">
      <c r="A891" s="34" t="s">
        <v>1517</v>
      </c>
      <c r="B891" s="35"/>
      <c r="C891" s="65" t="s">
        <v>79</v>
      </c>
      <c r="D891" s="65"/>
      <c r="E891" s="35"/>
      <c r="F891" s="36" t="s">
        <v>1518</v>
      </c>
      <c r="G891" s="35" t="s">
        <v>65</v>
      </c>
      <c r="H891" s="37"/>
      <c r="I891" s="38">
        <f>14215</f>
        <v>14215</v>
      </c>
      <c r="J891" s="23"/>
      <c r="K891" s="39"/>
      <c r="L891" s="40"/>
      <c r="M891" s="41">
        <f>K891+L891</f>
        <v>0</v>
      </c>
      <c r="N891" s="41">
        <f t="shared" si="29"/>
        <v>0</v>
      </c>
      <c r="O891" s="41">
        <f>ROUND((I891*L891),2)</f>
        <v>0</v>
      </c>
      <c r="P891" s="41">
        <f>ROUND((I891*M891),2)</f>
        <v>0</v>
      </c>
      <c r="Q891" s="41"/>
      <c r="R891" s="23"/>
      <c r="XCY891"/>
      <c r="XCZ891"/>
      <c r="XDA891"/>
      <c r="XDB891"/>
      <c r="XDC891"/>
      <c r="XDD891"/>
      <c r="XDE891"/>
      <c r="XDF891"/>
      <c r="XDG891"/>
      <c r="XDH891"/>
      <c r="XDI891"/>
      <c r="XDJ891"/>
      <c r="XDK891"/>
      <c r="XDL891"/>
      <c r="XDM891"/>
      <c r="XDN891"/>
      <c r="XDO891"/>
      <c r="XDP891"/>
      <c r="XDQ891"/>
      <c r="XDR891"/>
      <c r="XDS891"/>
      <c r="XDT891"/>
      <c r="XDU891"/>
      <c r="XDV891"/>
      <c r="XDW891"/>
      <c r="XDX891"/>
      <c r="XDY891"/>
      <c r="XDZ891"/>
      <c r="XEA891"/>
      <c r="XEB891"/>
      <c r="XEC891"/>
      <c r="XED891"/>
      <c r="XEE891"/>
      <c r="XEF891"/>
      <c r="XEG891"/>
      <c r="XEH891"/>
      <c r="XEI891"/>
      <c r="XEJ891"/>
      <c r="XEK891"/>
      <c r="XEL891"/>
      <c r="XEM891"/>
      <c r="XEN891"/>
      <c r="XEO891"/>
      <c r="XEP891"/>
      <c r="XEQ891"/>
      <c r="XER891"/>
      <c r="XES891"/>
      <c r="XET891"/>
      <c r="XEU891"/>
      <c r="XEV891"/>
      <c r="XEW891"/>
      <c r="XEX891"/>
      <c r="XEY891"/>
      <c r="XEZ891"/>
      <c r="XFA891"/>
      <c r="XFB891"/>
      <c r="XFC891"/>
      <c r="XFD891"/>
    </row>
    <row r="892" spans="1:18 16327:16384" s="26" customFormat="1" ht="34.5" customHeight="1" outlineLevel="3" x14ac:dyDescent="0.25">
      <c r="A892" s="42" t="s">
        <v>1519</v>
      </c>
      <c r="B892" s="43"/>
      <c r="C892" s="66" t="s">
        <v>1377</v>
      </c>
      <c r="D892" s="66"/>
      <c r="E892" s="43" t="s">
        <v>34</v>
      </c>
      <c r="F892" s="44"/>
      <c r="G892" s="43" t="s">
        <v>65</v>
      </c>
      <c r="H892" s="45">
        <v>1.012</v>
      </c>
      <c r="I892" s="46">
        <f>14385.58</f>
        <v>14385.58</v>
      </c>
      <c r="J892" s="23"/>
      <c r="K892" s="47"/>
      <c r="L892" s="48"/>
      <c r="M892" s="49"/>
      <c r="N892" s="49">
        <f t="shared" si="29"/>
        <v>0</v>
      </c>
      <c r="O892" s="49"/>
      <c r="P892" s="49"/>
      <c r="Q892" s="49"/>
      <c r="R892" s="23"/>
      <c r="XCY892"/>
      <c r="XCZ892"/>
      <c r="XDA892"/>
      <c r="XDB892"/>
      <c r="XDC892"/>
      <c r="XDD892"/>
      <c r="XDE892"/>
      <c r="XDF892"/>
      <c r="XDG892"/>
      <c r="XDH892"/>
      <c r="XDI892"/>
      <c r="XDJ892"/>
      <c r="XDK892"/>
      <c r="XDL892"/>
      <c r="XDM892"/>
      <c r="XDN892"/>
      <c r="XDO892"/>
      <c r="XDP892"/>
      <c r="XDQ892"/>
      <c r="XDR892"/>
      <c r="XDS892"/>
      <c r="XDT892"/>
      <c r="XDU892"/>
      <c r="XDV892"/>
      <c r="XDW892"/>
      <c r="XDX892"/>
      <c r="XDY892"/>
      <c r="XDZ892"/>
      <c r="XEA892"/>
      <c r="XEB892"/>
      <c r="XEC892"/>
      <c r="XED892"/>
      <c r="XEE892"/>
      <c r="XEF892"/>
      <c r="XEG892"/>
      <c r="XEH892"/>
      <c r="XEI892"/>
      <c r="XEJ892"/>
      <c r="XEK892"/>
      <c r="XEL892"/>
      <c r="XEM892"/>
      <c r="XEN892"/>
      <c r="XEO892"/>
      <c r="XEP892"/>
      <c r="XEQ892"/>
      <c r="XER892"/>
      <c r="XES892"/>
      <c r="XET892"/>
      <c r="XEU892"/>
      <c r="XEV892"/>
      <c r="XEW892"/>
      <c r="XEX892"/>
      <c r="XEY892"/>
      <c r="XEZ892"/>
      <c r="XFA892"/>
      <c r="XFB892"/>
      <c r="XFC892"/>
      <c r="XFD892"/>
    </row>
    <row r="893" spans="1:18 16327:16384" s="26" customFormat="1" ht="29.1" customHeight="1" outlineLevel="3" x14ac:dyDescent="0.25">
      <c r="A893" s="42" t="s">
        <v>1520</v>
      </c>
      <c r="B893" s="43"/>
      <c r="C893" s="66" t="s">
        <v>1379</v>
      </c>
      <c r="D893" s="66"/>
      <c r="E893" s="43" t="s">
        <v>34</v>
      </c>
      <c r="F893" s="44" t="s">
        <v>1521</v>
      </c>
      <c r="G893" s="43" t="s">
        <v>31</v>
      </c>
      <c r="H893" s="45">
        <v>1</v>
      </c>
      <c r="I893" s="46">
        <f>311</f>
        <v>311</v>
      </c>
      <c r="J893" s="23"/>
      <c r="K893" s="47"/>
      <c r="L893" s="48"/>
      <c r="M893" s="49"/>
      <c r="N893" s="49">
        <f t="shared" si="29"/>
        <v>0</v>
      </c>
      <c r="O893" s="49"/>
      <c r="P893" s="49"/>
      <c r="Q893" s="49"/>
      <c r="R893" s="23"/>
      <c r="XCY893"/>
      <c r="XCZ893"/>
      <c r="XDA893"/>
      <c r="XDB893"/>
      <c r="XDC893"/>
      <c r="XDD893"/>
      <c r="XDE893"/>
      <c r="XDF893"/>
      <c r="XDG893"/>
      <c r="XDH893"/>
      <c r="XDI893"/>
      <c r="XDJ893"/>
      <c r="XDK893"/>
      <c r="XDL893"/>
      <c r="XDM893"/>
      <c r="XDN893"/>
      <c r="XDO893"/>
      <c r="XDP893"/>
      <c r="XDQ893"/>
      <c r="XDR893"/>
      <c r="XDS893"/>
      <c r="XDT893"/>
      <c r="XDU893"/>
      <c r="XDV893"/>
      <c r="XDW893"/>
      <c r="XDX893"/>
      <c r="XDY893"/>
      <c r="XDZ893"/>
      <c r="XEA893"/>
      <c r="XEB893"/>
      <c r="XEC893"/>
      <c r="XED893"/>
      <c r="XEE893"/>
      <c r="XEF893"/>
      <c r="XEG893"/>
      <c r="XEH893"/>
      <c r="XEI893"/>
      <c r="XEJ893"/>
      <c r="XEK893"/>
      <c r="XEL893"/>
      <c r="XEM893"/>
      <c r="XEN893"/>
      <c r="XEO893"/>
      <c r="XEP893"/>
      <c r="XEQ893"/>
      <c r="XER893"/>
      <c r="XES893"/>
      <c r="XET893"/>
      <c r="XEU893"/>
      <c r="XEV893"/>
      <c r="XEW893"/>
      <c r="XEX893"/>
      <c r="XEY893"/>
      <c r="XEZ893"/>
      <c r="XFA893"/>
      <c r="XFB893"/>
      <c r="XFC893"/>
      <c r="XFD893"/>
    </row>
    <row r="894" spans="1:18 16327:16384" s="26" customFormat="1" ht="29.1" customHeight="1" outlineLevel="3" x14ac:dyDescent="0.25">
      <c r="A894" s="42" t="s">
        <v>1522</v>
      </c>
      <c r="B894" s="43"/>
      <c r="C894" s="66" t="s">
        <v>1381</v>
      </c>
      <c r="D894" s="66"/>
      <c r="E894" s="43" t="s">
        <v>34</v>
      </c>
      <c r="F894" s="44" t="s">
        <v>1521</v>
      </c>
      <c r="G894" s="43" t="s">
        <v>31</v>
      </c>
      <c r="H894" s="45">
        <v>1</v>
      </c>
      <c r="I894" s="46">
        <f>667</f>
        <v>667</v>
      </c>
      <c r="J894" s="23"/>
      <c r="K894" s="47"/>
      <c r="L894" s="48"/>
      <c r="M894" s="49"/>
      <c r="N894" s="49">
        <f t="shared" si="29"/>
        <v>0</v>
      </c>
      <c r="O894" s="49"/>
      <c r="P894" s="49"/>
      <c r="Q894" s="49"/>
      <c r="R894" s="23"/>
      <c r="XCY894"/>
      <c r="XCZ894"/>
      <c r="XDA894"/>
      <c r="XDB894"/>
      <c r="XDC894"/>
      <c r="XDD894"/>
      <c r="XDE894"/>
      <c r="XDF894"/>
      <c r="XDG894"/>
      <c r="XDH894"/>
      <c r="XDI894"/>
      <c r="XDJ894"/>
      <c r="XDK894"/>
      <c r="XDL894"/>
      <c r="XDM894"/>
      <c r="XDN894"/>
      <c r="XDO894"/>
      <c r="XDP894"/>
      <c r="XDQ894"/>
      <c r="XDR894"/>
      <c r="XDS894"/>
      <c r="XDT894"/>
      <c r="XDU894"/>
      <c r="XDV894"/>
      <c r="XDW894"/>
      <c r="XDX894"/>
      <c r="XDY894"/>
      <c r="XDZ894"/>
      <c r="XEA894"/>
      <c r="XEB894"/>
      <c r="XEC894"/>
      <c r="XED894"/>
      <c r="XEE894"/>
      <c r="XEF894"/>
      <c r="XEG894"/>
      <c r="XEH894"/>
      <c r="XEI894"/>
      <c r="XEJ894"/>
      <c r="XEK894"/>
      <c r="XEL894"/>
      <c r="XEM894"/>
      <c r="XEN894"/>
      <c r="XEO894"/>
      <c r="XEP894"/>
      <c r="XEQ894"/>
      <c r="XER894"/>
      <c r="XES894"/>
      <c r="XET894"/>
      <c r="XEU894"/>
      <c r="XEV894"/>
      <c r="XEW894"/>
      <c r="XEX894"/>
      <c r="XEY894"/>
      <c r="XEZ894"/>
      <c r="XFA894"/>
      <c r="XFB894"/>
      <c r="XFC894"/>
      <c r="XFD894"/>
    </row>
    <row r="895" spans="1:18 16327:16384" s="26" customFormat="1" ht="24" customHeight="1" outlineLevel="2" x14ac:dyDescent="0.25">
      <c r="A895" s="34" t="s">
        <v>1523</v>
      </c>
      <c r="B895" s="35"/>
      <c r="C895" s="65" t="s">
        <v>600</v>
      </c>
      <c r="D895" s="65"/>
      <c r="E895" s="35"/>
      <c r="F895" s="36"/>
      <c r="G895" s="35" t="s">
        <v>31</v>
      </c>
      <c r="H895" s="37"/>
      <c r="I895" s="38">
        <f>800</f>
        <v>800</v>
      </c>
      <c r="J895" s="23"/>
      <c r="K895" s="39"/>
      <c r="L895" s="40"/>
      <c r="M895" s="41">
        <f>K895+L895</f>
        <v>0</v>
      </c>
      <c r="N895" s="41">
        <f t="shared" si="29"/>
        <v>0</v>
      </c>
      <c r="O895" s="41">
        <f>ROUND((I895*L895),2)</f>
        <v>0</v>
      </c>
      <c r="P895" s="41">
        <f>ROUND((I895*M895),2)</f>
        <v>0</v>
      </c>
      <c r="Q895" s="41"/>
      <c r="R895" s="23"/>
      <c r="XCY895"/>
      <c r="XCZ895"/>
      <c r="XDA895"/>
      <c r="XDB895"/>
      <c r="XDC895"/>
      <c r="XDD895"/>
      <c r="XDE895"/>
      <c r="XDF895"/>
      <c r="XDG895"/>
      <c r="XDH895"/>
      <c r="XDI895"/>
      <c r="XDJ895"/>
      <c r="XDK895"/>
      <c r="XDL895"/>
      <c r="XDM895"/>
      <c r="XDN895"/>
      <c r="XDO895"/>
      <c r="XDP895"/>
      <c r="XDQ895"/>
      <c r="XDR895"/>
      <c r="XDS895"/>
      <c r="XDT895"/>
      <c r="XDU895"/>
      <c r="XDV895"/>
      <c r="XDW895"/>
      <c r="XDX895"/>
      <c r="XDY895"/>
      <c r="XDZ895"/>
      <c r="XEA895"/>
      <c r="XEB895"/>
      <c r="XEC895"/>
      <c r="XED895"/>
      <c r="XEE895"/>
      <c r="XEF895"/>
      <c r="XEG895"/>
      <c r="XEH895"/>
      <c r="XEI895"/>
      <c r="XEJ895"/>
      <c r="XEK895"/>
      <c r="XEL895"/>
      <c r="XEM895"/>
      <c r="XEN895"/>
      <c r="XEO895"/>
      <c r="XEP895"/>
      <c r="XEQ895"/>
      <c r="XER895"/>
      <c r="XES895"/>
      <c r="XET895"/>
      <c r="XEU895"/>
      <c r="XEV895"/>
      <c r="XEW895"/>
      <c r="XEX895"/>
      <c r="XEY895"/>
      <c r="XEZ895"/>
      <c r="XFA895"/>
      <c r="XFB895"/>
      <c r="XFC895"/>
      <c r="XFD895"/>
    </row>
    <row r="896" spans="1:18 16327:16384" s="26" customFormat="1" ht="29.1" customHeight="1" outlineLevel="3" x14ac:dyDescent="0.25">
      <c r="A896" s="42" t="s">
        <v>1524</v>
      </c>
      <c r="B896" s="43"/>
      <c r="C896" s="66" t="s">
        <v>425</v>
      </c>
      <c r="D896" s="66"/>
      <c r="E896" s="43" t="s">
        <v>34</v>
      </c>
      <c r="F896" s="44"/>
      <c r="G896" s="43" t="s">
        <v>65</v>
      </c>
      <c r="H896" s="45">
        <v>1</v>
      </c>
      <c r="I896" s="46">
        <f>200</f>
        <v>200</v>
      </c>
      <c r="J896" s="23"/>
      <c r="K896" s="47"/>
      <c r="L896" s="48"/>
      <c r="M896" s="49"/>
      <c r="N896" s="49">
        <f t="shared" si="29"/>
        <v>0</v>
      </c>
      <c r="O896" s="49"/>
      <c r="P896" s="49"/>
      <c r="Q896" s="49"/>
      <c r="R896" s="23"/>
      <c r="XCY896"/>
      <c r="XCZ896"/>
      <c r="XDA896"/>
      <c r="XDB896"/>
      <c r="XDC896"/>
      <c r="XDD896"/>
      <c r="XDE896"/>
      <c r="XDF896"/>
      <c r="XDG896"/>
      <c r="XDH896"/>
      <c r="XDI896"/>
      <c r="XDJ896"/>
      <c r="XDK896"/>
      <c r="XDL896"/>
      <c r="XDM896"/>
      <c r="XDN896"/>
      <c r="XDO896"/>
      <c r="XDP896"/>
      <c r="XDQ896"/>
      <c r="XDR896"/>
      <c r="XDS896"/>
      <c r="XDT896"/>
      <c r="XDU896"/>
      <c r="XDV896"/>
      <c r="XDW896"/>
      <c r="XDX896"/>
      <c r="XDY896"/>
      <c r="XDZ896"/>
      <c r="XEA896"/>
      <c r="XEB896"/>
      <c r="XEC896"/>
      <c r="XED896"/>
      <c r="XEE896"/>
      <c r="XEF896"/>
      <c r="XEG896"/>
      <c r="XEH896"/>
      <c r="XEI896"/>
      <c r="XEJ896"/>
      <c r="XEK896"/>
      <c r="XEL896"/>
      <c r="XEM896"/>
      <c r="XEN896"/>
      <c r="XEO896"/>
      <c r="XEP896"/>
      <c r="XEQ896"/>
      <c r="XER896"/>
      <c r="XES896"/>
      <c r="XET896"/>
      <c r="XEU896"/>
      <c r="XEV896"/>
      <c r="XEW896"/>
      <c r="XEX896"/>
      <c r="XEY896"/>
      <c r="XEZ896"/>
      <c r="XFA896"/>
      <c r="XFB896"/>
      <c r="XFC896"/>
      <c r="XFD896"/>
    </row>
    <row r="897" spans="1:18 16327:16384" s="26" customFormat="1" ht="29.1" customHeight="1" outlineLevel="3" x14ac:dyDescent="0.25">
      <c r="A897" s="42" t="s">
        <v>1525</v>
      </c>
      <c r="B897" s="43"/>
      <c r="C897" s="66" t="s">
        <v>1526</v>
      </c>
      <c r="D897" s="66"/>
      <c r="E897" s="43" t="s">
        <v>34</v>
      </c>
      <c r="F897" s="44"/>
      <c r="G897" s="43" t="s">
        <v>31</v>
      </c>
      <c r="H897" s="45">
        <v>1</v>
      </c>
      <c r="I897" s="46">
        <f>250</f>
        <v>250</v>
      </c>
      <c r="J897" s="23"/>
      <c r="K897" s="47"/>
      <c r="L897" s="48"/>
      <c r="M897" s="49"/>
      <c r="N897" s="49">
        <f t="shared" si="29"/>
        <v>0</v>
      </c>
      <c r="O897" s="49"/>
      <c r="P897" s="49"/>
      <c r="Q897" s="49"/>
      <c r="R897" s="23"/>
      <c r="XCY897"/>
      <c r="XCZ897"/>
      <c r="XDA897"/>
      <c r="XDB897"/>
      <c r="XDC897"/>
      <c r="XDD897"/>
      <c r="XDE897"/>
      <c r="XDF897"/>
      <c r="XDG897"/>
      <c r="XDH897"/>
      <c r="XDI897"/>
      <c r="XDJ897"/>
      <c r="XDK897"/>
      <c r="XDL897"/>
      <c r="XDM897"/>
      <c r="XDN897"/>
      <c r="XDO897"/>
      <c r="XDP897"/>
      <c r="XDQ897"/>
      <c r="XDR897"/>
      <c r="XDS897"/>
      <c r="XDT897"/>
      <c r="XDU897"/>
      <c r="XDV897"/>
      <c r="XDW897"/>
      <c r="XDX897"/>
      <c r="XDY897"/>
      <c r="XDZ897"/>
      <c r="XEA897"/>
      <c r="XEB897"/>
      <c r="XEC897"/>
      <c r="XED897"/>
      <c r="XEE897"/>
      <c r="XEF897"/>
      <c r="XEG897"/>
      <c r="XEH897"/>
      <c r="XEI897"/>
      <c r="XEJ897"/>
      <c r="XEK897"/>
      <c r="XEL897"/>
      <c r="XEM897"/>
      <c r="XEN897"/>
      <c r="XEO897"/>
      <c r="XEP897"/>
      <c r="XEQ897"/>
      <c r="XER897"/>
      <c r="XES897"/>
      <c r="XET897"/>
      <c r="XEU897"/>
      <c r="XEV897"/>
      <c r="XEW897"/>
      <c r="XEX897"/>
      <c r="XEY897"/>
      <c r="XEZ897"/>
      <c r="XFA897"/>
      <c r="XFB897"/>
      <c r="XFC897"/>
      <c r="XFD897"/>
    </row>
    <row r="898" spans="1:18 16327:16384" s="26" customFormat="1" ht="29.1" customHeight="1" outlineLevel="2" x14ac:dyDescent="0.25">
      <c r="A898" s="34" t="s">
        <v>1527</v>
      </c>
      <c r="B898" s="35"/>
      <c r="C898" s="65" t="s">
        <v>1528</v>
      </c>
      <c r="D898" s="65"/>
      <c r="E898" s="35"/>
      <c r="F898" s="36" t="s">
        <v>1529</v>
      </c>
      <c r="G898" s="35" t="s">
        <v>31</v>
      </c>
      <c r="H898" s="37"/>
      <c r="I898" s="38">
        <f>50</f>
        <v>50</v>
      </c>
      <c r="J898" s="23"/>
      <c r="K898" s="39"/>
      <c r="L898" s="40"/>
      <c r="M898" s="41">
        <f>K898+L898</f>
        <v>0</v>
      </c>
      <c r="N898" s="41">
        <f t="shared" si="29"/>
        <v>0</v>
      </c>
      <c r="O898" s="41">
        <f>ROUND((I898*L898),2)</f>
        <v>0</v>
      </c>
      <c r="P898" s="41">
        <f>ROUND((I898*M898),2)</f>
        <v>0</v>
      </c>
      <c r="Q898" s="41"/>
      <c r="R898" s="23"/>
      <c r="XCY898"/>
      <c r="XCZ898"/>
      <c r="XDA898"/>
      <c r="XDB898"/>
      <c r="XDC898"/>
      <c r="XDD898"/>
      <c r="XDE898"/>
      <c r="XDF898"/>
      <c r="XDG898"/>
      <c r="XDH898"/>
      <c r="XDI898"/>
      <c r="XDJ898"/>
      <c r="XDK898"/>
      <c r="XDL898"/>
      <c r="XDM898"/>
      <c r="XDN898"/>
      <c r="XDO898"/>
      <c r="XDP898"/>
      <c r="XDQ898"/>
      <c r="XDR898"/>
      <c r="XDS898"/>
      <c r="XDT898"/>
      <c r="XDU898"/>
      <c r="XDV898"/>
      <c r="XDW898"/>
      <c r="XDX898"/>
      <c r="XDY898"/>
      <c r="XDZ898"/>
      <c r="XEA898"/>
      <c r="XEB898"/>
      <c r="XEC898"/>
      <c r="XED898"/>
      <c r="XEE898"/>
      <c r="XEF898"/>
      <c r="XEG898"/>
      <c r="XEH898"/>
      <c r="XEI898"/>
      <c r="XEJ898"/>
      <c r="XEK898"/>
      <c r="XEL898"/>
      <c r="XEM898"/>
      <c r="XEN898"/>
      <c r="XEO898"/>
      <c r="XEP898"/>
      <c r="XEQ898"/>
      <c r="XER898"/>
      <c r="XES898"/>
      <c r="XET898"/>
      <c r="XEU898"/>
      <c r="XEV898"/>
      <c r="XEW898"/>
      <c r="XEX898"/>
      <c r="XEY898"/>
      <c r="XEZ898"/>
      <c r="XFA898"/>
      <c r="XFB898"/>
      <c r="XFC898"/>
      <c r="XFD898"/>
    </row>
    <row r="899" spans="1:18 16327:16384" s="26" customFormat="1" ht="29.1" customHeight="1" outlineLevel="3" x14ac:dyDescent="0.25">
      <c r="A899" s="42" t="s">
        <v>1530</v>
      </c>
      <c r="B899" s="43"/>
      <c r="C899" s="66" t="s">
        <v>1531</v>
      </c>
      <c r="D899" s="66"/>
      <c r="E899" s="43" t="s">
        <v>34</v>
      </c>
      <c r="F899" s="44"/>
      <c r="G899" s="43" t="s">
        <v>31</v>
      </c>
      <c r="H899" s="45">
        <v>1</v>
      </c>
      <c r="I899" s="46">
        <f>50</f>
        <v>50</v>
      </c>
      <c r="J899" s="23"/>
      <c r="K899" s="47"/>
      <c r="L899" s="48"/>
      <c r="M899" s="49"/>
      <c r="N899" s="49">
        <f t="shared" si="29"/>
        <v>0</v>
      </c>
      <c r="O899" s="49"/>
      <c r="P899" s="49"/>
      <c r="Q899" s="49"/>
      <c r="R899" s="23"/>
      <c r="XCY899"/>
      <c r="XCZ899"/>
      <c r="XDA899"/>
      <c r="XDB899"/>
      <c r="XDC899"/>
      <c r="XDD899"/>
      <c r="XDE899"/>
      <c r="XDF899"/>
      <c r="XDG899"/>
      <c r="XDH899"/>
      <c r="XDI899"/>
      <c r="XDJ899"/>
      <c r="XDK899"/>
      <c r="XDL899"/>
      <c r="XDM899"/>
      <c r="XDN899"/>
      <c r="XDO899"/>
      <c r="XDP899"/>
      <c r="XDQ899"/>
      <c r="XDR899"/>
      <c r="XDS899"/>
      <c r="XDT899"/>
      <c r="XDU899"/>
      <c r="XDV899"/>
      <c r="XDW899"/>
      <c r="XDX899"/>
      <c r="XDY899"/>
      <c r="XDZ899"/>
      <c r="XEA899"/>
      <c r="XEB899"/>
      <c r="XEC899"/>
      <c r="XED899"/>
      <c r="XEE899"/>
      <c r="XEF899"/>
      <c r="XEG899"/>
      <c r="XEH899"/>
      <c r="XEI899"/>
      <c r="XEJ899"/>
      <c r="XEK899"/>
      <c r="XEL899"/>
      <c r="XEM899"/>
      <c r="XEN899"/>
      <c r="XEO899"/>
      <c r="XEP899"/>
      <c r="XEQ899"/>
      <c r="XER899"/>
      <c r="XES899"/>
      <c r="XET899"/>
      <c r="XEU899"/>
      <c r="XEV899"/>
      <c r="XEW899"/>
      <c r="XEX899"/>
      <c r="XEY899"/>
      <c r="XEZ899"/>
      <c r="XFA899"/>
      <c r="XFB899"/>
      <c r="XFC899"/>
      <c r="XFD899"/>
    </row>
    <row r="900" spans="1:18 16327:16384" s="26" customFormat="1" ht="29.1" customHeight="1" outlineLevel="2" x14ac:dyDescent="0.25">
      <c r="A900" s="34" t="s">
        <v>1532</v>
      </c>
      <c r="B900" s="35"/>
      <c r="C900" s="65" t="s">
        <v>491</v>
      </c>
      <c r="D900" s="65"/>
      <c r="E900" s="35"/>
      <c r="F900" s="36" t="s">
        <v>1529</v>
      </c>
      <c r="G900" s="35" t="s">
        <v>31</v>
      </c>
      <c r="H900" s="37"/>
      <c r="I900" s="38">
        <f>6</f>
        <v>6</v>
      </c>
      <c r="J900" s="23"/>
      <c r="K900" s="39"/>
      <c r="L900" s="40"/>
      <c r="M900" s="41">
        <f>K900+L900</f>
        <v>0</v>
      </c>
      <c r="N900" s="41">
        <f t="shared" si="29"/>
        <v>0</v>
      </c>
      <c r="O900" s="41">
        <f>ROUND((I900*L900),2)</f>
        <v>0</v>
      </c>
      <c r="P900" s="41">
        <f>ROUND((I900*M900),2)</f>
        <v>0</v>
      </c>
      <c r="Q900" s="41"/>
      <c r="R900" s="23"/>
      <c r="XCY900"/>
      <c r="XCZ900"/>
      <c r="XDA900"/>
      <c r="XDB900"/>
      <c r="XDC900"/>
      <c r="XDD900"/>
      <c r="XDE900"/>
      <c r="XDF900"/>
      <c r="XDG900"/>
      <c r="XDH900"/>
      <c r="XDI900"/>
      <c r="XDJ900"/>
      <c r="XDK900"/>
      <c r="XDL900"/>
      <c r="XDM900"/>
      <c r="XDN900"/>
      <c r="XDO900"/>
      <c r="XDP900"/>
      <c r="XDQ900"/>
      <c r="XDR900"/>
      <c r="XDS900"/>
      <c r="XDT900"/>
      <c r="XDU900"/>
      <c r="XDV900"/>
      <c r="XDW900"/>
      <c r="XDX900"/>
      <c r="XDY900"/>
      <c r="XDZ900"/>
      <c r="XEA900"/>
      <c r="XEB900"/>
      <c r="XEC900"/>
      <c r="XED900"/>
      <c r="XEE900"/>
      <c r="XEF900"/>
      <c r="XEG900"/>
      <c r="XEH900"/>
      <c r="XEI900"/>
      <c r="XEJ900"/>
      <c r="XEK900"/>
      <c r="XEL900"/>
      <c r="XEM900"/>
      <c r="XEN900"/>
      <c r="XEO900"/>
      <c r="XEP900"/>
      <c r="XEQ900"/>
      <c r="XER900"/>
      <c r="XES900"/>
      <c r="XET900"/>
      <c r="XEU900"/>
      <c r="XEV900"/>
      <c r="XEW900"/>
      <c r="XEX900"/>
      <c r="XEY900"/>
      <c r="XEZ900"/>
      <c r="XFA900"/>
      <c r="XFB900"/>
      <c r="XFC900"/>
      <c r="XFD900"/>
    </row>
    <row r="901" spans="1:18 16327:16384" s="26" customFormat="1" ht="29.1" customHeight="1" outlineLevel="3" x14ac:dyDescent="0.25">
      <c r="A901" s="42" t="s">
        <v>1533</v>
      </c>
      <c r="B901" s="43"/>
      <c r="C901" s="66" t="s">
        <v>1534</v>
      </c>
      <c r="D901" s="66"/>
      <c r="E901" s="43" t="s">
        <v>34</v>
      </c>
      <c r="F901" s="44"/>
      <c r="G901" s="43" t="s">
        <v>31</v>
      </c>
      <c r="H901" s="45">
        <v>1</v>
      </c>
      <c r="I901" s="46">
        <f>6</f>
        <v>6</v>
      </c>
      <c r="J901" s="23"/>
      <c r="K901" s="47"/>
      <c r="L901" s="48"/>
      <c r="M901" s="49"/>
      <c r="N901" s="49">
        <f t="shared" si="29"/>
        <v>0</v>
      </c>
      <c r="O901" s="49"/>
      <c r="P901" s="49"/>
      <c r="Q901" s="49"/>
      <c r="R901" s="23"/>
      <c r="XCY901"/>
      <c r="XCZ901"/>
      <c r="XDA901"/>
      <c r="XDB901"/>
      <c r="XDC901"/>
      <c r="XDD901"/>
      <c r="XDE901"/>
      <c r="XDF901"/>
      <c r="XDG901"/>
      <c r="XDH901"/>
      <c r="XDI901"/>
      <c r="XDJ901"/>
      <c r="XDK901"/>
      <c r="XDL901"/>
      <c r="XDM901"/>
      <c r="XDN901"/>
      <c r="XDO901"/>
      <c r="XDP901"/>
      <c r="XDQ901"/>
      <c r="XDR901"/>
      <c r="XDS901"/>
      <c r="XDT901"/>
      <c r="XDU901"/>
      <c r="XDV901"/>
      <c r="XDW901"/>
      <c r="XDX901"/>
      <c r="XDY901"/>
      <c r="XDZ901"/>
      <c r="XEA901"/>
      <c r="XEB901"/>
      <c r="XEC901"/>
      <c r="XED901"/>
      <c r="XEE901"/>
      <c r="XEF901"/>
      <c r="XEG901"/>
      <c r="XEH901"/>
      <c r="XEI901"/>
      <c r="XEJ901"/>
      <c r="XEK901"/>
      <c r="XEL901"/>
      <c r="XEM901"/>
      <c r="XEN901"/>
      <c r="XEO901"/>
      <c r="XEP901"/>
      <c r="XEQ901"/>
      <c r="XER901"/>
      <c r="XES901"/>
      <c r="XET901"/>
      <c r="XEU901"/>
      <c r="XEV901"/>
      <c r="XEW901"/>
      <c r="XEX901"/>
      <c r="XEY901"/>
      <c r="XEZ901"/>
      <c r="XFA901"/>
      <c r="XFB901"/>
      <c r="XFC901"/>
      <c r="XFD901"/>
    </row>
    <row r="902" spans="1:18 16327:16384" s="26" customFormat="1" ht="29.1" customHeight="1" outlineLevel="2" x14ac:dyDescent="0.25">
      <c r="A902" s="34" t="s">
        <v>1535</v>
      </c>
      <c r="B902" s="35"/>
      <c r="C902" s="65" t="s">
        <v>469</v>
      </c>
      <c r="D902" s="65"/>
      <c r="E902" s="35"/>
      <c r="F902" s="36" t="s">
        <v>1536</v>
      </c>
      <c r="G902" s="35" t="s">
        <v>31</v>
      </c>
      <c r="H902" s="37"/>
      <c r="I902" s="38">
        <f>2</f>
        <v>2</v>
      </c>
      <c r="J902" s="23"/>
      <c r="K902" s="39"/>
      <c r="L902" s="40"/>
      <c r="M902" s="41">
        <f>K902+L902</f>
        <v>0</v>
      </c>
      <c r="N902" s="41">
        <f t="shared" si="29"/>
        <v>0</v>
      </c>
      <c r="O902" s="41">
        <f>ROUND((I902*L902),2)</f>
        <v>0</v>
      </c>
      <c r="P902" s="41">
        <f>ROUND((I902*M902),2)</f>
        <v>0</v>
      </c>
      <c r="Q902" s="41"/>
      <c r="R902" s="23"/>
      <c r="XCY902"/>
      <c r="XCZ902"/>
      <c r="XDA902"/>
      <c r="XDB902"/>
      <c r="XDC902"/>
      <c r="XDD902"/>
      <c r="XDE902"/>
      <c r="XDF902"/>
      <c r="XDG902"/>
      <c r="XDH902"/>
      <c r="XDI902"/>
      <c r="XDJ902"/>
      <c r="XDK902"/>
      <c r="XDL902"/>
      <c r="XDM902"/>
      <c r="XDN902"/>
      <c r="XDO902"/>
      <c r="XDP902"/>
      <c r="XDQ902"/>
      <c r="XDR902"/>
      <c r="XDS902"/>
      <c r="XDT902"/>
      <c r="XDU902"/>
      <c r="XDV902"/>
      <c r="XDW902"/>
      <c r="XDX902"/>
      <c r="XDY902"/>
      <c r="XDZ902"/>
      <c r="XEA902"/>
      <c r="XEB902"/>
      <c r="XEC902"/>
      <c r="XED902"/>
      <c r="XEE902"/>
      <c r="XEF902"/>
      <c r="XEG902"/>
      <c r="XEH902"/>
      <c r="XEI902"/>
      <c r="XEJ902"/>
      <c r="XEK902"/>
      <c r="XEL902"/>
      <c r="XEM902"/>
      <c r="XEN902"/>
      <c r="XEO902"/>
      <c r="XEP902"/>
      <c r="XEQ902"/>
      <c r="XER902"/>
      <c r="XES902"/>
      <c r="XET902"/>
      <c r="XEU902"/>
      <c r="XEV902"/>
      <c r="XEW902"/>
      <c r="XEX902"/>
      <c r="XEY902"/>
      <c r="XEZ902"/>
      <c r="XFA902"/>
      <c r="XFB902"/>
      <c r="XFC902"/>
      <c r="XFD902"/>
    </row>
    <row r="903" spans="1:18 16327:16384" s="26" customFormat="1" ht="29.1" customHeight="1" outlineLevel="3" x14ac:dyDescent="0.25">
      <c r="A903" s="42" t="s">
        <v>1537</v>
      </c>
      <c r="B903" s="43"/>
      <c r="C903" s="66" t="s">
        <v>1538</v>
      </c>
      <c r="D903" s="66"/>
      <c r="E903" s="43" t="s">
        <v>34</v>
      </c>
      <c r="F903" s="44"/>
      <c r="G903" s="43" t="s">
        <v>31</v>
      </c>
      <c r="H903" s="45">
        <v>1</v>
      </c>
      <c r="I903" s="46">
        <f>2</f>
        <v>2</v>
      </c>
      <c r="J903" s="23"/>
      <c r="K903" s="47"/>
      <c r="L903" s="48"/>
      <c r="M903" s="49"/>
      <c r="N903" s="49">
        <f t="shared" si="29"/>
        <v>0</v>
      </c>
      <c r="O903" s="49"/>
      <c r="P903" s="49"/>
      <c r="Q903" s="49"/>
      <c r="R903" s="23"/>
      <c r="XCY903"/>
      <c r="XCZ903"/>
      <c r="XDA903"/>
      <c r="XDB903"/>
      <c r="XDC903"/>
      <c r="XDD903"/>
      <c r="XDE903"/>
      <c r="XDF903"/>
      <c r="XDG903"/>
      <c r="XDH903"/>
      <c r="XDI903"/>
      <c r="XDJ903"/>
      <c r="XDK903"/>
      <c r="XDL903"/>
      <c r="XDM903"/>
      <c r="XDN903"/>
      <c r="XDO903"/>
      <c r="XDP903"/>
      <c r="XDQ903"/>
      <c r="XDR903"/>
      <c r="XDS903"/>
      <c r="XDT903"/>
      <c r="XDU903"/>
      <c r="XDV903"/>
      <c r="XDW903"/>
      <c r="XDX903"/>
      <c r="XDY903"/>
      <c r="XDZ903"/>
      <c r="XEA903"/>
      <c r="XEB903"/>
      <c r="XEC903"/>
      <c r="XED903"/>
      <c r="XEE903"/>
      <c r="XEF903"/>
      <c r="XEG903"/>
      <c r="XEH903"/>
      <c r="XEI903"/>
      <c r="XEJ903"/>
      <c r="XEK903"/>
      <c r="XEL903"/>
      <c r="XEM903"/>
      <c r="XEN903"/>
      <c r="XEO903"/>
      <c r="XEP903"/>
      <c r="XEQ903"/>
      <c r="XER903"/>
      <c r="XES903"/>
      <c r="XET903"/>
      <c r="XEU903"/>
      <c r="XEV903"/>
      <c r="XEW903"/>
      <c r="XEX903"/>
      <c r="XEY903"/>
      <c r="XEZ903"/>
      <c r="XFA903"/>
      <c r="XFB903"/>
      <c r="XFC903"/>
      <c r="XFD903"/>
    </row>
    <row r="904" spans="1:18 16327:16384" s="26" customFormat="1" ht="29.1" customHeight="1" outlineLevel="2" x14ac:dyDescent="0.25">
      <c r="A904" s="34" t="s">
        <v>1539</v>
      </c>
      <c r="B904" s="35"/>
      <c r="C904" s="65" t="s">
        <v>50</v>
      </c>
      <c r="D904" s="65"/>
      <c r="E904" s="35"/>
      <c r="F904" s="36" t="s">
        <v>1540</v>
      </c>
      <c r="G904" s="35" t="s">
        <v>31</v>
      </c>
      <c r="H904" s="37"/>
      <c r="I904" s="38">
        <f>8</f>
        <v>8</v>
      </c>
      <c r="J904" s="23"/>
      <c r="K904" s="39"/>
      <c r="L904" s="40"/>
      <c r="M904" s="41">
        <f>K904+L904</f>
        <v>0</v>
      </c>
      <c r="N904" s="41">
        <f t="shared" si="29"/>
        <v>0</v>
      </c>
      <c r="O904" s="41">
        <f>ROUND((I904*L904),2)</f>
        <v>0</v>
      </c>
      <c r="P904" s="41">
        <f>ROUND((I904*M904),2)</f>
        <v>0</v>
      </c>
      <c r="Q904" s="41"/>
      <c r="R904" s="23"/>
      <c r="XCY904"/>
      <c r="XCZ904"/>
      <c r="XDA904"/>
      <c r="XDB904"/>
      <c r="XDC904"/>
      <c r="XDD904"/>
      <c r="XDE904"/>
      <c r="XDF904"/>
      <c r="XDG904"/>
      <c r="XDH904"/>
      <c r="XDI904"/>
      <c r="XDJ904"/>
      <c r="XDK904"/>
      <c r="XDL904"/>
      <c r="XDM904"/>
      <c r="XDN904"/>
      <c r="XDO904"/>
      <c r="XDP904"/>
      <c r="XDQ904"/>
      <c r="XDR904"/>
      <c r="XDS904"/>
      <c r="XDT904"/>
      <c r="XDU904"/>
      <c r="XDV904"/>
      <c r="XDW904"/>
      <c r="XDX904"/>
      <c r="XDY904"/>
      <c r="XDZ904"/>
      <c r="XEA904"/>
      <c r="XEB904"/>
      <c r="XEC904"/>
      <c r="XED904"/>
      <c r="XEE904"/>
      <c r="XEF904"/>
      <c r="XEG904"/>
      <c r="XEH904"/>
      <c r="XEI904"/>
      <c r="XEJ904"/>
      <c r="XEK904"/>
      <c r="XEL904"/>
      <c r="XEM904"/>
      <c r="XEN904"/>
      <c r="XEO904"/>
      <c r="XEP904"/>
      <c r="XEQ904"/>
      <c r="XER904"/>
      <c r="XES904"/>
      <c r="XET904"/>
      <c r="XEU904"/>
      <c r="XEV904"/>
      <c r="XEW904"/>
      <c r="XEX904"/>
      <c r="XEY904"/>
      <c r="XEZ904"/>
      <c r="XFA904"/>
      <c r="XFB904"/>
      <c r="XFC904"/>
      <c r="XFD904"/>
    </row>
    <row r="905" spans="1:18 16327:16384" s="26" customFormat="1" ht="29.1" customHeight="1" outlineLevel="3" x14ac:dyDescent="0.25">
      <c r="A905" s="42" t="s">
        <v>1541</v>
      </c>
      <c r="B905" s="43"/>
      <c r="C905" s="66" t="s">
        <v>1542</v>
      </c>
      <c r="D905" s="66"/>
      <c r="E905" s="43" t="s">
        <v>34</v>
      </c>
      <c r="F905" s="44" t="s">
        <v>1543</v>
      </c>
      <c r="G905" s="43" t="s">
        <v>31</v>
      </c>
      <c r="H905" s="45">
        <v>1</v>
      </c>
      <c r="I905" s="46">
        <f>8</f>
        <v>8</v>
      </c>
      <c r="J905" s="23"/>
      <c r="K905" s="47"/>
      <c r="L905" s="48"/>
      <c r="M905" s="49"/>
      <c r="N905" s="49">
        <f t="shared" si="29"/>
        <v>0</v>
      </c>
      <c r="O905" s="49"/>
      <c r="P905" s="49"/>
      <c r="Q905" s="49"/>
      <c r="R905" s="23"/>
      <c r="XCY905"/>
      <c r="XCZ905"/>
      <c r="XDA905"/>
      <c r="XDB905"/>
      <c r="XDC905"/>
      <c r="XDD905"/>
      <c r="XDE905"/>
      <c r="XDF905"/>
      <c r="XDG905"/>
      <c r="XDH905"/>
      <c r="XDI905"/>
      <c r="XDJ905"/>
      <c r="XDK905"/>
      <c r="XDL905"/>
      <c r="XDM905"/>
      <c r="XDN905"/>
      <c r="XDO905"/>
      <c r="XDP905"/>
      <c r="XDQ905"/>
      <c r="XDR905"/>
      <c r="XDS905"/>
      <c r="XDT905"/>
      <c r="XDU905"/>
      <c r="XDV905"/>
      <c r="XDW905"/>
      <c r="XDX905"/>
      <c r="XDY905"/>
      <c r="XDZ905"/>
      <c r="XEA905"/>
      <c r="XEB905"/>
      <c r="XEC905"/>
      <c r="XED905"/>
      <c r="XEE905"/>
      <c r="XEF905"/>
      <c r="XEG905"/>
      <c r="XEH905"/>
      <c r="XEI905"/>
      <c r="XEJ905"/>
      <c r="XEK905"/>
      <c r="XEL905"/>
      <c r="XEM905"/>
      <c r="XEN905"/>
      <c r="XEO905"/>
      <c r="XEP905"/>
      <c r="XEQ905"/>
      <c r="XER905"/>
      <c r="XES905"/>
      <c r="XET905"/>
      <c r="XEU905"/>
      <c r="XEV905"/>
      <c r="XEW905"/>
      <c r="XEX905"/>
      <c r="XEY905"/>
      <c r="XEZ905"/>
      <c r="XFA905"/>
      <c r="XFB905"/>
      <c r="XFC905"/>
      <c r="XFD905"/>
    </row>
    <row r="906" spans="1:18 16327:16384" s="26" customFormat="1" ht="29.1" customHeight="1" outlineLevel="2" x14ac:dyDescent="0.25">
      <c r="A906" s="34" t="s">
        <v>1544</v>
      </c>
      <c r="B906" s="35"/>
      <c r="C906" s="65" t="s">
        <v>64</v>
      </c>
      <c r="D906" s="65"/>
      <c r="E906" s="35"/>
      <c r="F906" s="36" t="s">
        <v>1545</v>
      </c>
      <c r="G906" s="35" t="s">
        <v>65</v>
      </c>
      <c r="H906" s="37"/>
      <c r="I906" s="38">
        <f>6891</f>
        <v>6891</v>
      </c>
      <c r="J906" s="23"/>
      <c r="K906" s="39"/>
      <c r="L906" s="40"/>
      <c r="M906" s="41"/>
      <c r="N906" s="41"/>
      <c r="O906" s="41"/>
      <c r="P906" s="41"/>
      <c r="Q906" s="41"/>
      <c r="R906" s="23"/>
      <c r="XCY906"/>
      <c r="XCZ906"/>
      <c r="XDA906"/>
      <c r="XDB906"/>
      <c r="XDC906"/>
      <c r="XDD906"/>
      <c r="XDE906"/>
      <c r="XDF906"/>
      <c r="XDG906"/>
      <c r="XDH906"/>
      <c r="XDI906"/>
      <c r="XDJ906"/>
      <c r="XDK906"/>
      <c r="XDL906"/>
      <c r="XDM906"/>
      <c r="XDN906"/>
      <c r="XDO906"/>
      <c r="XDP906"/>
      <c r="XDQ906"/>
      <c r="XDR906"/>
      <c r="XDS906"/>
      <c r="XDT906"/>
      <c r="XDU906"/>
      <c r="XDV906"/>
      <c r="XDW906"/>
      <c r="XDX906"/>
      <c r="XDY906"/>
      <c r="XDZ906"/>
      <c r="XEA906"/>
      <c r="XEB906"/>
      <c r="XEC906"/>
      <c r="XED906"/>
      <c r="XEE906"/>
      <c r="XEF906"/>
      <c r="XEG906"/>
      <c r="XEH906"/>
      <c r="XEI906"/>
      <c r="XEJ906"/>
      <c r="XEK906"/>
      <c r="XEL906"/>
      <c r="XEM906"/>
      <c r="XEN906"/>
      <c r="XEO906"/>
      <c r="XEP906"/>
      <c r="XEQ906"/>
      <c r="XER906"/>
      <c r="XES906"/>
      <c r="XET906"/>
      <c r="XEU906"/>
      <c r="XEV906"/>
      <c r="XEW906"/>
      <c r="XEX906"/>
      <c r="XEY906"/>
      <c r="XEZ906"/>
      <c r="XFA906"/>
      <c r="XFB906"/>
      <c r="XFC906"/>
      <c r="XFD906"/>
    </row>
    <row r="907" spans="1:18 16327:16384" s="26" customFormat="1" ht="29.1" customHeight="1" outlineLevel="3" x14ac:dyDescent="0.25">
      <c r="A907" s="42" t="s">
        <v>1546</v>
      </c>
      <c r="B907" s="43"/>
      <c r="C907" s="66" t="s">
        <v>1547</v>
      </c>
      <c r="D907" s="66"/>
      <c r="E907" s="43" t="s">
        <v>34</v>
      </c>
      <c r="F907" s="44"/>
      <c r="G907" s="43" t="s">
        <v>65</v>
      </c>
      <c r="H907" s="45">
        <v>1.02</v>
      </c>
      <c r="I907" s="46">
        <f>7028.82</f>
        <v>7028.82</v>
      </c>
      <c r="J907" s="23"/>
      <c r="K907" s="47"/>
      <c r="L907" s="48"/>
      <c r="M907" s="49"/>
      <c r="N907" s="49">
        <f t="shared" si="29"/>
        <v>0</v>
      </c>
      <c r="O907" s="49"/>
      <c r="P907" s="49"/>
      <c r="Q907" s="49"/>
      <c r="R907" s="23"/>
      <c r="XCY907"/>
      <c r="XCZ907"/>
      <c r="XDA907"/>
      <c r="XDB907"/>
      <c r="XDC907"/>
      <c r="XDD907"/>
      <c r="XDE907"/>
      <c r="XDF907"/>
      <c r="XDG907"/>
      <c r="XDH907"/>
      <c r="XDI907"/>
      <c r="XDJ907"/>
      <c r="XDK907"/>
      <c r="XDL907"/>
      <c r="XDM907"/>
      <c r="XDN907"/>
      <c r="XDO907"/>
      <c r="XDP907"/>
      <c r="XDQ907"/>
      <c r="XDR907"/>
      <c r="XDS907"/>
      <c r="XDT907"/>
      <c r="XDU907"/>
      <c r="XDV907"/>
      <c r="XDW907"/>
      <c r="XDX907"/>
      <c r="XDY907"/>
      <c r="XDZ907"/>
      <c r="XEA907"/>
      <c r="XEB907"/>
      <c r="XEC907"/>
      <c r="XED907"/>
      <c r="XEE907"/>
      <c r="XEF907"/>
      <c r="XEG907"/>
      <c r="XEH907"/>
      <c r="XEI907"/>
      <c r="XEJ907"/>
      <c r="XEK907"/>
      <c r="XEL907"/>
      <c r="XEM907"/>
      <c r="XEN907"/>
      <c r="XEO907"/>
      <c r="XEP907"/>
      <c r="XEQ907"/>
      <c r="XER907"/>
      <c r="XES907"/>
      <c r="XET907"/>
      <c r="XEU907"/>
      <c r="XEV907"/>
      <c r="XEW907"/>
      <c r="XEX907"/>
      <c r="XEY907"/>
      <c r="XEZ907"/>
      <c r="XFA907"/>
      <c r="XFB907"/>
      <c r="XFC907"/>
      <c r="XFD907"/>
    </row>
    <row r="908" spans="1:18 16327:16384" s="26" customFormat="1" ht="21" customHeight="1" outlineLevel="2" x14ac:dyDescent="0.25">
      <c r="A908" s="34" t="s">
        <v>1548</v>
      </c>
      <c r="B908" s="35"/>
      <c r="C908" s="65" t="s">
        <v>1364</v>
      </c>
      <c r="D908" s="65"/>
      <c r="E908" s="35"/>
      <c r="F908" s="36" t="s">
        <v>1545</v>
      </c>
      <c r="G908" s="35" t="s">
        <v>65</v>
      </c>
      <c r="H908" s="37"/>
      <c r="I908" s="38">
        <f>280</f>
        <v>280</v>
      </c>
      <c r="J908" s="23"/>
      <c r="K908" s="39"/>
      <c r="L908" s="40"/>
      <c r="M908" s="41"/>
      <c r="N908" s="41"/>
      <c r="O908" s="41"/>
      <c r="P908" s="41"/>
      <c r="Q908" s="41"/>
      <c r="R908" s="23"/>
      <c r="XCY908"/>
      <c r="XCZ908"/>
      <c r="XDA908"/>
      <c r="XDB908"/>
      <c r="XDC908"/>
      <c r="XDD908"/>
      <c r="XDE908"/>
      <c r="XDF908"/>
      <c r="XDG908"/>
      <c r="XDH908"/>
      <c r="XDI908"/>
      <c r="XDJ908"/>
      <c r="XDK908"/>
      <c r="XDL908"/>
      <c r="XDM908"/>
      <c r="XDN908"/>
      <c r="XDO908"/>
      <c r="XDP908"/>
      <c r="XDQ908"/>
      <c r="XDR908"/>
      <c r="XDS908"/>
      <c r="XDT908"/>
      <c r="XDU908"/>
      <c r="XDV908"/>
      <c r="XDW908"/>
      <c r="XDX908"/>
      <c r="XDY908"/>
      <c r="XDZ908"/>
      <c r="XEA908"/>
      <c r="XEB908"/>
      <c r="XEC908"/>
      <c r="XED908"/>
      <c r="XEE908"/>
      <c r="XEF908"/>
      <c r="XEG908"/>
      <c r="XEH908"/>
      <c r="XEI908"/>
      <c r="XEJ908"/>
      <c r="XEK908"/>
      <c r="XEL908"/>
      <c r="XEM908"/>
      <c r="XEN908"/>
      <c r="XEO908"/>
      <c r="XEP908"/>
      <c r="XEQ908"/>
      <c r="XER908"/>
      <c r="XES908"/>
      <c r="XET908"/>
      <c r="XEU908"/>
      <c r="XEV908"/>
      <c r="XEW908"/>
      <c r="XEX908"/>
      <c r="XEY908"/>
      <c r="XEZ908"/>
      <c r="XFA908"/>
      <c r="XFB908"/>
      <c r="XFC908"/>
      <c r="XFD908"/>
    </row>
    <row r="909" spans="1:18 16327:16384" s="26" customFormat="1" ht="29.1" customHeight="1" outlineLevel="3" x14ac:dyDescent="0.25">
      <c r="A909" s="42" t="s">
        <v>1549</v>
      </c>
      <c r="B909" s="43"/>
      <c r="C909" s="66" t="s">
        <v>1547</v>
      </c>
      <c r="D909" s="66"/>
      <c r="E909" s="43" t="s">
        <v>34</v>
      </c>
      <c r="F909" s="44"/>
      <c r="G909" s="43" t="s">
        <v>65</v>
      </c>
      <c r="H909" s="45">
        <v>1.02</v>
      </c>
      <c r="I909" s="46">
        <f>285.6</f>
        <v>285.60000000000002</v>
      </c>
      <c r="J909" s="23"/>
      <c r="K909" s="47"/>
      <c r="L909" s="48"/>
      <c r="M909" s="49"/>
      <c r="N909" s="49">
        <f t="shared" si="29"/>
        <v>0</v>
      </c>
      <c r="O909" s="49"/>
      <c r="P909" s="49"/>
      <c r="Q909" s="49"/>
      <c r="R909" s="23"/>
      <c r="XCY909"/>
      <c r="XCZ909"/>
      <c r="XDA909"/>
      <c r="XDB909"/>
      <c r="XDC909"/>
      <c r="XDD909"/>
      <c r="XDE909"/>
      <c r="XDF909"/>
      <c r="XDG909"/>
      <c r="XDH909"/>
      <c r="XDI909"/>
      <c r="XDJ909"/>
      <c r="XDK909"/>
      <c r="XDL909"/>
      <c r="XDM909"/>
      <c r="XDN909"/>
      <c r="XDO909"/>
      <c r="XDP909"/>
      <c r="XDQ909"/>
      <c r="XDR909"/>
      <c r="XDS909"/>
      <c r="XDT909"/>
      <c r="XDU909"/>
      <c r="XDV909"/>
      <c r="XDW909"/>
      <c r="XDX909"/>
      <c r="XDY909"/>
      <c r="XDZ909"/>
      <c r="XEA909"/>
      <c r="XEB909"/>
      <c r="XEC909"/>
      <c r="XED909"/>
      <c r="XEE909"/>
      <c r="XEF909"/>
      <c r="XEG909"/>
      <c r="XEH909"/>
      <c r="XEI909"/>
      <c r="XEJ909"/>
      <c r="XEK909"/>
      <c r="XEL909"/>
      <c r="XEM909"/>
      <c r="XEN909"/>
      <c r="XEO909"/>
      <c r="XEP909"/>
      <c r="XEQ909"/>
      <c r="XER909"/>
      <c r="XES909"/>
      <c r="XET909"/>
      <c r="XEU909"/>
      <c r="XEV909"/>
      <c r="XEW909"/>
      <c r="XEX909"/>
      <c r="XEY909"/>
      <c r="XEZ909"/>
      <c r="XFA909"/>
      <c r="XFB909"/>
      <c r="XFC909"/>
      <c r="XFD909"/>
    </row>
    <row r="910" spans="1:18 16327:16384" s="26" customFormat="1" ht="42" customHeight="1" outlineLevel="2" x14ac:dyDescent="0.25">
      <c r="A910" s="34" t="s">
        <v>1550</v>
      </c>
      <c r="B910" s="35"/>
      <c r="C910" s="65" t="s">
        <v>69</v>
      </c>
      <c r="D910" s="65"/>
      <c r="E910" s="35"/>
      <c r="F910" s="36" t="s">
        <v>1551</v>
      </c>
      <c r="G910" s="35" t="s">
        <v>65</v>
      </c>
      <c r="H910" s="37"/>
      <c r="I910" s="38">
        <f>6915</f>
        <v>6915</v>
      </c>
      <c r="J910" s="23"/>
      <c r="K910" s="39"/>
      <c r="L910" s="40"/>
      <c r="M910" s="41"/>
      <c r="N910" s="41"/>
      <c r="O910" s="41"/>
      <c r="P910" s="41"/>
      <c r="Q910" s="41"/>
      <c r="R910" s="23"/>
      <c r="XCY910"/>
      <c r="XCZ910"/>
      <c r="XDA910"/>
      <c r="XDB910"/>
      <c r="XDC910"/>
      <c r="XDD910"/>
      <c r="XDE910"/>
      <c r="XDF910"/>
      <c r="XDG910"/>
      <c r="XDH910"/>
      <c r="XDI910"/>
      <c r="XDJ910"/>
      <c r="XDK910"/>
      <c r="XDL910"/>
      <c r="XDM910"/>
      <c r="XDN910"/>
      <c r="XDO910"/>
      <c r="XDP910"/>
      <c r="XDQ910"/>
      <c r="XDR910"/>
      <c r="XDS910"/>
      <c r="XDT910"/>
      <c r="XDU910"/>
      <c r="XDV910"/>
      <c r="XDW910"/>
      <c r="XDX910"/>
      <c r="XDY910"/>
      <c r="XDZ910"/>
      <c r="XEA910"/>
      <c r="XEB910"/>
      <c r="XEC910"/>
      <c r="XED910"/>
      <c r="XEE910"/>
      <c r="XEF910"/>
      <c r="XEG910"/>
      <c r="XEH910"/>
      <c r="XEI910"/>
      <c r="XEJ910"/>
      <c r="XEK910"/>
      <c r="XEL910"/>
      <c r="XEM910"/>
      <c r="XEN910"/>
      <c r="XEO910"/>
      <c r="XEP910"/>
      <c r="XEQ910"/>
      <c r="XER910"/>
      <c r="XES910"/>
      <c r="XET910"/>
      <c r="XEU910"/>
      <c r="XEV910"/>
      <c r="XEW910"/>
      <c r="XEX910"/>
      <c r="XEY910"/>
      <c r="XEZ910"/>
      <c r="XFA910"/>
      <c r="XFB910"/>
      <c r="XFC910"/>
      <c r="XFD910"/>
    </row>
    <row r="911" spans="1:18 16327:16384" s="26" customFormat="1" ht="29.1" customHeight="1" outlineLevel="3" x14ac:dyDescent="0.25">
      <c r="A911" s="42" t="s">
        <v>1552</v>
      </c>
      <c r="B911" s="43"/>
      <c r="C911" s="66" t="s">
        <v>1553</v>
      </c>
      <c r="D911" s="66"/>
      <c r="E911" s="43" t="s">
        <v>34</v>
      </c>
      <c r="F911" s="44"/>
      <c r="G911" s="43" t="s">
        <v>65</v>
      </c>
      <c r="H911" s="45">
        <v>1.02</v>
      </c>
      <c r="I911" s="46">
        <f>7053.3</f>
        <v>7053.3</v>
      </c>
      <c r="J911" s="23"/>
      <c r="K911" s="47"/>
      <c r="L911" s="48"/>
      <c r="M911" s="49"/>
      <c r="N911" s="49">
        <f t="shared" si="29"/>
        <v>0</v>
      </c>
      <c r="O911" s="49"/>
      <c r="P911" s="49"/>
      <c r="Q911" s="49"/>
      <c r="R911" s="23"/>
      <c r="XCY911"/>
      <c r="XCZ911"/>
      <c r="XDA911"/>
      <c r="XDB911"/>
      <c r="XDC911"/>
      <c r="XDD911"/>
      <c r="XDE911"/>
      <c r="XDF911"/>
      <c r="XDG911"/>
      <c r="XDH911"/>
      <c r="XDI911"/>
      <c r="XDJ911"/>
      <c r="XDK911"/>
      <c r="XDL911"/>
      <c r="XDM911"/>
      <c r="XDN911"/>
      <c r="XDO911"/>
      <c r="XDP911"/>
      <c r="XDQ911"/>
      <c r="XDR911"/>
      <c r="XDS911"/>
      <c r="XDT911"/>
      <c r="XDU911"/>
      <c r="XDV911"/>
      <c r="XDW911"/>
      <c r="XDX911"/>
      <c r="XDY911"/>
      <c r="XDZ911"/>
      <c r="XEA911"/>
      <c r="XEB911"/>
      <c r="XEC911"/>
      <c r="XED911"/>
      <c r="XEE911"/>
      <c r="XEF911"/>
      <c r="XEG911"/>
      <c r="XEH911"/>
      <c r="XEI911"/>
      <c r="XEJ911"/>
      <c r="XEK911"/>
      <c r="XEL911"/>
      <c r="XEM911"/>
      <c r="XEN911"/>
      <c r="XEO911"/>
      <c r="XEP911"/>
      <c r="XEQ911"/>
      <c r="XER911"/>
      <c r="XES911"/>
      <c r="XET911"/>
      <c r="XEU911"/>
      <c r="XEV911"/>
      <c r="XEW911"/>
      <c r="XEX911"/>
      <c r="XEY911"/>
      <c r="XEZ911"/>
      <c r="XFA911"/>
      <c r="XFB911"/>
      <c r="XFC911"/>
      <c r="XFD911"/>
    </row>
    <row r="912" spans="1:18 16327:16384" s="26" customFormat="1" ht="15.75" customHeight="1" outlineLevel="2" x14ac:dyDescent="0.25">
      <c r="A912" s="34" t="s">
        <v>1554</v>
      </c>
      <c r="B912" s="35"/>
      <c r="C912" s="65" t="s">
        <v>79</v>
      </c>
      <c r="D912" s="65"/>
      <c r="E912" s="35"/>
      <c r="F912" s="36" t="s">
        <v>1518</v>
      </c>
      <c r="G912" s="35" t="s">
        <v>65</v>
      </c>
      <c r="H912" s="37"/>
      <c r="I912" s="38">
        <f>6915</f>
        <v>6915</v>
      </c>
      <c r="J912" s="23"/>
      <c r="K912" s="39"/>
      <c r="L912" s="40"/>
      <c r="M912" s="41">
        <f>K912+L912</f>
        <v>0</v>
      </c>
      <c r="N912" s="41">
        <f t="shared" si="29"/>
        <v>0</v>
      </c>
      <c r="O912" s="41">
        <f>ROUND((I912*L912),2)</f>
        <v>0</v>
      </c>
      <c r="P912" s="41">
        <f>ROUND((I912*M912),2)</f>
        <v>0</v>
      </c>
      <c r="Q912" s="41"/>
      <c r="R912" s="23"/>
      <c r="XCY912"/>
      <c r="XCZ912"/>
      <c r="XDA912"/>
      <c r="XDB912"/>
      <c r="XDC912"/>
      <c r="XDD912"/>
      <c r="XDE912"/>
      <c r="XDF912"/>
      <c r="XDG912"/>
      <c r="XDH912"/>
      <c r="XDI912"/>
      <c r="XDJ912"/>
      <c r="XDK912"/>
      <c r="XDL912"/>
      <c r="XDM912"/>
      <c r="XDN912"/>
      <c r="XDO912"/>
      <c r="XDP912"/>
      <c r="XDQ912"/>
      <c r="XDR912"/>
      <c r="XDS912"/>
      <c r="XDT912"/>
      <c r="XDU912"/>
      <c r="XDV912"/>
      <c r="XDW912"/>
      <c r="XDX912"/>
      <c r="XDY912"/>
      <c r="XDZ912"/>
      <c r="XEA912"/>
      <c r="XEB912"/>
      <c r="XEC912"/>
      <c r="XED912"/>
      <c r="XEE912"/>
      <c r="XEF912"/>
      <c r="XEG912"/>
      <c r="XEH912"/>
      <c r="XEI912"/>
      <c r="XEJ912"/>
      <c r="XEK912"/>
      <c r="XEL912"/>
      <c r="XEM912"/>
      <c r="XEN912"/>
      <c r="XEO912"/>
      <c r="XEP912"/>
      <c r="XEQ912"/>
      <c r="XER912"/>
      <c r="XES912"/>
      <c r="XET912"/>
      <c r="XEU912"/>
      <c r="XEV912"/>
      <c r="XEW912"/>
      <c r="XEX912"/>
      <c r="XEY912"/>
      <c r="XEZ912"/>
      <c r="XFA912"/>
      <c r="XFB912"/>
      <c r="XFC912"/>
      <c r="XFD912"/>
    </row>
    <row r="913" spans="1:20 16327:16384" s="26" customFormat="1" ht="15.75" outlineLevel="3" x14ac:dyDescent="0.25">
      <c r="A913" s="42" t="s">
        <v>1555</v>
      </c>
      <c r="B913" s="43"/>
      <c r="C913" s="66" t="s">
        <v>1377</v>
      </c>
      <c r="D913" s="66"/>
      <c r="E913" s="43" t="s">
        <v>34</v>
      </c>
      <c r="F913" s="44"/>
      <c r="G913" s="43" t="s">
        <v>65</v>
      </c>
      <c r="H913" s="45">
        <v>1.012</v>
      </c>
      <c r="I913" s="46">
        <f>6997.98</f>
        <v>6997.98</v>
      </c>
      <c r="J913" s="23"/>
      <c r="K913" s="47"/>
      <c r="L913" s="48"/>
      <c r="M913" s="49"/>
      <c r="N913" s="49">
        <f t="shared" si="29"/>
        <v>0</v>
      </c>
      <c r="O913" s="49"/>
      <c r="P913" s="49"/>
      <c r="Q913" s="49"/>
      <c r="R913" s="23"/>
      <c r="XCY913"/>
      <c r="XCZ913"/>
      <c r="XDA913"/>
      <c r="XDB913"/>
      <c r="XDC913"/>
      <c r="XDD913"/>
      <c r="XDE913"/>
      <c r="XDF913"/>
      <c r="XDG913"/>
      <c r="XDH913"/>
      <c r="XDI913"/>
      <c r="XDJ913"/>
      <c r="XDK913"/>
      <c r="XDL913"/>
      <c r="XDM913"/>
      <c r="XDN913"/>
      <c r="XDO913"/>
      <c r="XDP913"/>
      <c r="XDQ913"/>
      <c r="XDR913"/>
      <c r="XDS913"/>
      <c r="XDT913"/>
      <c r="XDU913"/>
      <c r="XDV913"/>
      <c r="XDW913"/>
      <c r="XDX913"/>
      <c r="XDY913"/>
      <c r="XDZ913"/>
      <c r="XEA913"/>
      <c r="XEB913"/>
      <c r="XEC913"/>
      <c r="XED913"/>
      <c r="XEE913"/>
      <c r="XEF913"/>
      <c r="XEG913"/>
      <c r="XEH913"/>
      <c r="XEI913"/>
      <c r="XEJ913"/>
      <c r="XEK913"/>
      <c r="XEL913"/>
      <c r="XEM913"/>
      <c r="XEN913"/>
      <c r="XEO913"/>
      <c r="XEP913"/>
      <c r="XEQ913"/>
      <c r="XER913"/>
      <c r="XES913"/>
      <c r="XET913"/>
      <c r="XEU913"/>
      <c r="XEV913"/>
      <c r="XEW913"/>
      <c r="XEX913"/>
      <c r="XEY913"/>
      <c r="XEZ913"/>
      <c r="XFA913"/>
      <c r="XFB913"/>
      <c r="XFC913"/>
      <c r="XFD913"/>
    </row>
    <row r="914" spans="1:20 16327:16384" s="26" customFormat="1" ht="33" customHeight="1" outlineLevel="3" x14ac:dyDescent="0.25">
      <c r="A914" s="42" t="s">
        <v>1556</v>
      </c>
      <c r="B914" s="43"/>
      <c r="C914" s="66" t="s">
        <v>1381</v>
      </c>
      <c r="D914" s="66"/>
      <c r="E914" s="43" t="s">
        <v>34</v>
      </c>
      <c r="F914" s="44"/>
      <c r="G914" s="43" t="s">
        <v>31</v>
      </c>
      <c r="H914" s="45">
        <v>1</v>
      </c>
      <c r="I914" s="46">
        <f>13830</f>
        <v>13830</v>
      </c>
      <c r="J914" s="23"/>
      <c r="K914" s="47"/>
      <c r="L914" s="48"/>
      <c r="M914" s="49"/>
      <c r="N914" s="49">
        <f t="shared" si="29"/>
        <v>0</v>
      </c>
      <c r="O914" s="49"/>
      <c r="P914" s="49"/>
      <c r="Q914" s="49"/>
      <c r="R914" s="23"/>
      <c r="XCY914"/>
      <c r="XCZ914"/>
      <c r="XDA914"/>
      <c r="XDB914"/>
      <c r="XDC914"/>
      <c r="XDD914"/>
      <c r="XDE914"/>
      <c r="XDF914"/>
      <c r="XDG914"/>
      <c r="XDH914"/>
      <c r="XDI914"/>
      <c r="XDJ914"/>
      <c r="XDK914"/>
      <c r="XDL914"/>
      <c r="XDM914"/>
      <c r="XDN914"/>
      <c r="XDO914"/>
      <c r="XDP914"/>
      <c r="XDQ914"/>
      <c r="XDR914"/>
      <c r="XDS914"/>
      <c r="XDT914"/>
      <c r="XDU914"/>
      <c r="XDV914"/>
      <c r="XDW914"/>
      <c r="XDX914"/>
      <c r="XDY914"/>
      <c r="XDZ914"/>
      <c r="XEA914"/>
      <c r="XEB914"/>
      <c r="XEC914"/>
      <c r="XED914"/>
      <c r="XEE914"/>
      <c r="XEF914"/>
      <c r="XEG914"/>
      <c r="XEH914"/>
      <c r="XEI914"/>
      <c r="XEJ914"/>
      <c r="XEK914"/>
      <c r="XEL914"/>
      <c r="XEM914"/>
      <c r="XEN914"/>
      <c r="XEO914"/>
      <c r="XEP914"/>
      <c r="XEQ914"/>
      <c r="XER914"/>
      <c r="XES914"/>
      <c r="XET914"/>
      <c r="XEU914"/>
      <c r="XEV914"/>
      <c r="XEW914"/>
      <c r="XEX914"/>
      <c r="XEY914"/>
      <c r="XEZ914"/>
      <c r="XFA914"/>
      <c r="XFB914"/>
      <c r="XFC914"/>
      <c r="XFD914"/>
    </row>
    <row r="915" spans="1:20 16327:16384" s="26" customFormat="1" ht="24" customHeight="1" outlineLevel="2" x14ac:dyDescent="0.25">
      <c r="A915" s="34" t="s">
        <v>1557</v>
      </c>
      <c r="B915" s="35"/>
      <c r="C915" s="65" t="s">
        <v>1383</v>
      </c>
      <c r="D915" s="65"/>
      <c r="E915" s="35"/>
      <c r="F915" s="36" t="s">
        <v>1536</v>
      </c>
      <c r="G915" s="35" t="s">
        <v>65</v>
      </c>
      <c r="H915" s="37"/>
      <c r="I915" s="38">
        <f>280</f>
        <v>280</v>
      </c>
      <c r="J915" s="23"/>
      <c r="K915" s="39"/>
      <c r="L915" s="40"/>
      <c r="M915" s="41">
        <f>K915+L915</f>
        <v>0</v>
      </c>
      <c r="N915" s="41">
        <f t="shared" si="29"/>
        <v>0</v>
      </c>
      <c r="O915" s="41">
        <f>ROUND((I915*L915),2)</f>
        <v>0</v>
      </c>
      <c r="P915" s="41">
        <f>ROUND((I915*M915),2)</f>
        <v>0</v>
      </c>
      <c r="Q915" s="41"/>
      <c r="R915" s="23"/>
      <c r="XCY915"/>
      <c r="XCZ915"/>
      <c r="XDA915"/>
      <c r="XDB915"/>
      <c r="XDC915"/>
      <c r="XDD915"/>
      <c r="XDE915"/>
      <c r="XDF915"/>
      <c r="XDG915"/>
      <c r="XDH915"/>
      <c r="XDI915"/>
      <c r="XDJ915"/>
      <c r="XDK915"/>
      <c r="XDL915"/>
      <c r="XDM915"/>
      <c r="XDN915"/>
      <c r="XDO915"/>
      <c r="XDP915"/>
      <c r="XDQ915"/>
      <c r="XDR915"/>
      <c r="XDS915"/>
      <c r="XDT915"/>
      <c r="XDU915"/>
      <c r="XDV915"/>
      <c r="XDW915"/>
      <c r="XDX915"/>
      <c r="XDY915"/>
      <c r="XDZ915"/>
      <c r="XEA915"/>
      <c r="XEB915"/>
      <c r="XEC915"/>
      <c r="XED915"/>
      <c r="XEE915"/>
      <c r="XEF915"/>
      <c r="XEG915"/>
      <c r="XEH915"/>
      <c r="XEI915"/>
      <c r="XEJ915"/>
      <c r="XEK915"/>
      <c r="XEL915"/>
      <c r="XEM915"/>
      <c r="XEN915"/>
      <c r="XEO915"/>
      <c r="XEP915"/>
      <c r="XEQ915"/>
      <c r="XER915"/>
      <c r="XES915"/>
      <c r="XET915"/>
      <c r="XEU915"/>
      <c r="XEV915"/>
      <c r="XEW915"/>
      <c r="XEX915"/>
      <c r="XEY915"/>
      <c r="XEZ915"/>
      <c r="XFA915"/>
      <c r="XFB915"/>
      <c r="XFC915"/>
      <c r="XFD915"/>
    </row>
    <row r="916" spans="1:20 16327:16384" s="26" customFormat="1" ht="29.1" customHeight="1" outlineLevel="3" x14ac:dyDescent="0.25">
      <c r="A916" s="42" t="s">
        <v>1558</v>
      </c>
      <c r="B916" s="43"/>
      <c r="C916" s="66" t="s">
        <v>1385</v>
      </c>
      <c r="D916" s="66"/>
      <c r="E916" s="43" t="s">
        <v>34</v>
      </c>
      <c r="F916" s="44"/>
      <c r="G916" s="43" t="s">
        <v>65</v>
      </c>
      <c r="H916" s="45">
        <v>1.012</v>
      </c>
      <c r="I916" s="46">
        <f>283.36</f>
        <v>283.36</v>
      </c>
      <c r="J916" s="23"/>
      <c r="K916" s="47"/>
      <c r="L916" s="48"/>
      <c r="M916" s="49"/>
      <c r="N916" s="49">
        <f t="shared" si="29"/>
        <v>0</v>
      </c>
      <c r="O916" s="49"/>
      <c r="P916" s="49"/>
      <c r="Q916" s="49"/>
      <c r="R916" s="23"/>
      <c r="XCY916"/>
      <c r="XCZ916"/>
      <c r="XDA916"/>
      <c r="XDB916"/>
      <c r="XDC916"/>
      <c r="XDD916"/>
      <c r="XDE916"/>
      <c r="XDF916"/>
      <c r="XDG916"/>
      <c r="XDH916"/>
      <c r="XDI916"/>
      <c r="XDJ916"/>
      <c r="XDK916"/>
      <c r="XDL916"/>
      <c r="XDM916"/>
      <c r="XDN916"/>
      <c r="XDO916"/>
      <c r="XDP916"/>
      <c r="XDQ916"/>
      <c r="XDR916"/>
      <c r="XDS916"/>
      <c r="XDT916"/>
      <c r="XDU916"/>
      <c r="XDV916"/>
      <c r="XDW916"/>
      <c r="XDX916"/>
      <c r="XDY916"/>
      <c r="XDZ916"/>
      <c r="XEA916"/>
      <c r="XEB916"/>
      <c r="XEC916"/>
      <c r="XED916"/>
      <c r="XEE916"/>
      <c r="XEF916"/>
      <c r="XEG916"/>
      <c r="XEH916"/>
      <c r="XEI916"/>
      <c r="XEJ916"/>
      <c r="XEK916"/>
      <c r="XEL916"/>
      <c r="XEM916"/>
      <c r="XEN916"/>
      <c r="XEO916"/>
      <c r="XEP916"/>
      <c r="XEQ916"/>
      <c r="XER916"/>
      <c r="XES916"/>
      <c r="XET916"/>
      <c r="XEU916"/>
      <c r="XEV916"/>
      <c r="XEW916"/>
      <c r="XEX916"/>
      <c r="XEY916"/>
      <c r="XEZ916"/>
      <c r="XFA916"/>
      <c r="XFB916"/>
      <c r="XFC916"/>
      <c r="XFD916"/>
    </row>
    <row r="917" spans="1:20 16327:16384" s="26" customFormat="1" ht="29.1" customHeight="1" outlineLevel="3" x14ac:dyDescent="0.25">
      <c r="A917" s="42" t="s">
        <v>1559</v>
      </c>
      <c r="B917" s="43"/>
      <c r="C917" s="66" t="s">
        <v>1560</v>
      </c>
      <c r="D917" s="66"/>
      <c r="E917" s="43" t="s">
        <v>34</v>
      </c>
      <c r="F917" s="44"/>
      <c r="G917" s="43" t="s">
        <v>31</v>
      </c>
      <c r="H917" s="45">
        <v>1</v>
      </c>
      <c r="I917" s="46">
        <f>200</f>
        <v>200</v>
      </c>
      <c r="J917" s="23"/>
      <c r="K917" s="47"/>
      <c r="L917" s="48"/>
      <c r="M917" s="49"/>
      <c r="N917" s="49">
        <f t="shared" si="29"/>
        <v>0</v>
      </c>
      <c r="O917" s="49"/>
      <c r="P917" s="49"/>
      <c r="Q917" s="49"/>
      <c r="R917" s="23"/>
      <c r="XCY917"/>
      <c r="XCZ917"/>
      <c r="XDA917"/>
      <c r="XDB917"/>
      <c r="XDC917"/>
      <c r="XDD917"/>
      <c r="XDE917"/>
      <c r="XDF917"/>
      <c r="XDG917"/>
      <c r="XDH917"/>
      <c r="XDI917"/>
      <c r="XDJ917"/>
      <c r="XDK917"/>
      <c r="XDL917"/>
      <c r="XDM917"/>
      <c r="XDN917"/>
      <c r="XDO917"/>
      <c r="XDP917"/>
      <c r="XDQ917"/>
      <c r="XDR917"/>
      <c r="XDS917"/>
      <c r="XDT917"/>
      <c r="XDU917"/>
      <c r="XDV917"/>
      <c r="XDW917"/>
      <c r="XDX917"/>
      <c r="XDY917"/>
      <c r="XDZ917"/>
      <c r="XEA917"/>
      <c r="XEB917"/>
      <c r="XEC917"/>
      <c r="XED917"/>
      <c r="XEE917"/>
      <c r="XEF917"/>
      <c r="XEG917"/>
      <c r="XEH917"/>
      <c r="XEI917"/>
      <c r="XEJ917"/>
      <c r="XEK917"/>
      <c r="XEL917"/>
      <c r="XEM917"/>
      <c r="XEN917"/>
      <c r="XEO917"/>
      <c r="XEP917"/>
      <c r="XEQ917"/>
      <c r="XER917"/>
      <c r="XES917"/>
      <c r="XET917"/>
      <c r="XEU917"/>
      <c r="XEV917"/>
      <c r="XEW917"/>
      <c r="XEX917"/>
      <c r="XEY917"/>
      <c r="XEZ917"/>
      <c r="XFA917"/>
      <c r="XFB917"/>
      <c r="XFC917"/>
      <c r="XFD917"/>
    </row>
    <row r="918" spans="1:20 16327:16384" s="26" customFormat="1" ht="27" customHeight="1" outlineLevel="2" x14ac:dyDescent="0.25">
      <c r="A918" s="34" t="s">
        <v>1561</v>
      </c>
      <c r="B918" s="35"/>
      <c r="C918" s="65" t="s">
        <v>1562</v>
      </c>
      <c r="D918" s="65"/>
      <c r="E918" s="35"/>
      <c r="F918" s="36"/>
      <c r="G918" s="35" t="s">
        <v>90</v>
      </c>
      <c r="H918" s="37">
        <v>1</v>
      </c>
      <c r="I918" s="38">
        <f>1</f>
        <v>1</v>
      </c>
      <c r="J918" s="23"/>
      <c r="K918" s="39"/>
      <c r="L918" s="40"/>
      <c r="M918" s="41">
        <f>K918+L918</f>
        <v>0</v>
      </c>
      <c r="N918" s="41">
        <f t="shared" si="29"/>
        <v>0</v>
      </c>
      <c r="O918" s="41">
        <f>ROUND((I918*L918),2)</f>
        <v>0</v>
      </c>
      <c r="P918" s="41">
        <f>ROUND((I918*M918),2)</f>
        <v>0</v>
      </c>
      <c r="Q918" s="41"/>
      <c r="R918" s="23"/>
      <c r="XCY918"/>
      <c r="XCZ918"/>
      <c r="XDA918"/>
      <c r="XDB918"/>
      <c r="XDC918"/>
      <c r="XDD918"/>
      <c r="XDE918"/>
      <c r="XDF918"/>
      <c r="XDG918"/>
      <c r="XDH918"/>
      <c r="XDI918"/>
      <c r="XDJ918"/>
      <c r="XDK918"/>
      <c r="XDL918"/>
      <c r="XDM918"/>
      <c r="XDN918"/>
      <c r="XDO918"/>
      <c r="XDP918"/>
      <c r="XDQ918"/>
      <c r="XDR918"/>
      <c r="XDS918"/>
      <c r="XDT918"/>
      <c r="XDU918"/>
      <c r="XDV918"/>
      <c r="XDW918"/>
      <c r="XDX918"/>
      <c r="XDY918"/>
      <c r="XDZ918"/>
      <c r="XEA918"/>
      <c r="XEB918"/>
      <c r="XEC918"/>
      <c r="XED918"/>
      <c r="XEE918"/>
      <c r="XEF918"/>
      <c r="XEG918"/>
      <c r="XEH918"/>
      <c r="XEI918"/>
      <c r="XEJ918"/>
      <c r="XEK918"/>
      <c r="XEL918"/>
      <c r="XEM918"/>
      <c r="XEN918"/>
      <c r="XEO918"/>
      <c r="XEP918"/>
      <c r="XEQ918"/>
      <c r="XER918"/>
      <c r="XES918"/>
      <c r="XET918"/>
      <c r="XEU918"/>
      <c r="XEV918"/>
      <c r="XEW918"/>
      <c r="XEX918"/>
      <c r="XEY918"/>
      <c r="XEZ918"/>
      <c r="XFA918"/>
      <c r="XFB918"/>
      <c r="XFC918"/>
      <c r="XFD918"/>
    </row>
    <row r="919" spans="1:20 16327:16384" ht="28.5" hidden="1" customHeight="1" x14ac:dyDescent="0.25">
      <c r="A919" s="67" t="s">
        <v>1563</v>
      </c>
      <c r="B919" s="67"/>
      <c r="C919" s="67"/>
      <c r="D919" s="67"/>
      <c r="E919" s="50"/>
      <c r="F919" s="50"/>
      <c r="G919" s="51"/>
      <c r="H919" s="52"/>
      <c r="I919" s="53"/>
      <c r="J919" s="6"/>
      <c r="K919" s="53"/>
      <c r="L919" s="53"/>
      <c r="M919" s="53"/>
      <c r="N919" s="53">
        <f>N15</f>
        <v>0</v>
      </c>
      <c r="O919" s="53">
        <f>O15</f>
        <v>0</v>
      </c>
      <c r="P919" s="53">
        <f>P15</f>
        <v>0</v>
      </c>
      <c r="Q919" s="53"/>
      <c r="R919" s="6"/>
    </row>
    <row r="920" spans="1:20 16327:16384" ht="35.25" hidden="1" customHeight="1" x14ac:dyDescent="0.25">
      <c r="A920" s="68" t="s">
        <v>1564</v>
      </c>
      <c r="B920" s="68"/>
      <c r="C920" s="68"/>
      <c r="D920" s="68"/>
      <c r="E920" s="54"/>
      <c r="F920" s="54"/>
      <c r="G920" s="55"/>
      <c r="H920" s="56"/>
      <c r="I920" s="57"/>
      <c r="J920" s="58"/>
      <c r="K920" s="57"/>
      <c r="L920" s="57"/>
      <c r="M920" s="57"/>
      <c r="N920" s="57">
        <v>16704314</v>
      </c>
      <c r="O920" s="57">
        <v>17810482.899999999</v>
      </c>
      <c r="P920" s="59">
        <v>34514796.899999999</v>
      </c>
      <c r="Q920" s="59"/>
      <c r="R920" s="6"/>
    </row>
    <row r="921" spans="1:20 16327:16384" ht="15.75" hidden="1" customHeight="1" x14ac:dyDescent="0.25">
      <c r="A921" s="68" t="s">
        <v>1565</v>
      </c>
      <c r="B921" s="68"/>
      <c r="C921" s="68"/>
      <c r="D921" s="68"/>
      <c r="E921" s="54"/>
      <c r="F921" s="54"/>
      <c r="G921" s="54"/>
      <c r="H921" s="54"/>
      <c r="I921" s="54"/>
      <c r="J921" s="58"/>
      <c r="K921" s="57"/>
      <c r="L921" s="57"/>
      <c r="M921" s="57"/>
      <c r="N921" s="57">
        <f>N919+-1*16704314</f>
        <v>-16704314</v>
      </c>
      <c r="O921" s="57">
        <f>O919+-1*17810482.9</f>
        <v>-17810482.899999999</v>
      </c>
      <c r="P921" s="59">
        <f>P919+-1*34514796.9</f>
        <v>-34514796.899999999</v>
      </c>
      <c r="Q921" s="59"/>
      <c r="R921" s="6"/>
    </row>
    <row r="922" spans="1:20 16327:16384" ht="15.75" x14ac:dyDescent="0.25">
      <c r="A922" s="60"/>
      <c r="B922" s="60"/>
      <c r="C922" s="60"/>
      <c r="D922" s="60"/>
      <c r="E922" s="60"/>
      <c r="F922" s="60"/>
      <c r="G922" s="6"/>
      <c r="H922" s="61"/>
      <c r="I922" s="62"/>
      <c r="J922" s="6"/>
      <c r="K922" s="62"/>
      <c r="L922" s="62"/>
      <c r="M922" s="62"/>
      <c r="N922" s="62"/>
      <c r="O922" s="62"/>
      <c r="P922" s="62"/>
      <c r="Q922" s="62"/>
      <c r="R922" s="6"/>
      <c r="S922" s="63"/>
      <c r="T922" s="63"/>
    </row>
  </sheetData>
  <autoFilter ref="A15:Q921" xr:uid="{00000000-0001-0000-0000-000000000000}">
    <filterColumn colId="2" showButton="0">
      <filters>
        <filter val="Прокладка кабеля слаботочных систем, в гофрированной трубе, сечением до 10 мм2 вкл.,"/>
        <filter val="Прокладка кабеля слаботочных систем, в гофрированной трубе, сечением от 10 мм2 до 50 мм2 вкл.,"/>
        <filter val="Прокладка кабеля слаботочных систем, в лотке, сечением до 10 мм2 вкл.,"/>
        <filter val="Прокладка кабеля слаботочных систем, в металлорукаве, сечением до 10 мм2 вкл.,"/>
        <filter val="Прокладка кабеля слаботочных систем, открытая проводка, сечением до 10 мм2 вкл.,"/>
        <filter val="Прокладка кабеля, в гофрированной трубе, сечением до 10 мм2 вкл.,"/>
        <filter val="Прокладка кабеля, в гофрированной трубе, сечением от 10 мм2 до 50 мм2 вкл.,"/>
        <filter val="Прокладка кабеля, в лотке, сечением до 10 мм2 вкл.,"/>
        <filter val="Прокладка кабеля, в лотке, сечением от 10 мм2 до 50 мм2 вкл.,"/>
        <filter val="Прокладка кабеля, в шкаф, сечением до 10 мм2 вкл.,"/>
      </filters>
    </filterColumn>
  </autoFilter>
  <mergeCells count="935">
    <mergeCell ref="A2:B2"/>
    <mergeCell ref="C2:D2"/>
    <mergeCell ref="A3:B3"/>
    <mergeCell ref="C3:D3"/>
    <mergeCell ref="A4:B4"/>
    <mergeCell ref="C4:D4"/>
    <mergeCell ref="A5:B5"/>
    <mergeCell ref="C5:D5"/>
    <mergeCell ref="A8:B8"/>
    <mergeCell ref="C8:D8"/>
    <mergeCell ref="A9:B9"/>
    <mergeCell ref="C9:D9"/>
    <mergeCell ref="G10:I10"/>
    <mergeCell ref="K10:Q10"/>
    <mergeCell ref="G11:I11"/>
    <mergeCell ref="K11:Q11"/>
    <mergeCell ref="G12:I12"/>
    <mergeCell ref="K12:Q12"/>
    <mergeCell ref="A13:A14"/>
    <mergeCell ref="B13:B14"/>
    <mergeCell ref="C13:D14"/>
    <mergeCell ref="E13:E14"/>
    <mergeCell ref="F13:F14"/>
    <mergeCell ref="G13:G14"/>
    <mergeCell ref="H13:H14"/>
    <mergeCell ref="I13:I14"/>
    <mergeCell ref="K13:M13"/>
    <mergeCell ref="N13:P13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C716:D716"/>
    <mergeCell ref="C717:D717"/>
    <mergeCell ref="C718:D718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C816:D816"/>
    <mergeCell ref="C817:D817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49:D849"/>
    <mergeCell ref="C850:D850"/>
    <mergeCell ref="C851:D851"/>
    <mergeCell ref="C852:D852"/>
    <mergeCell ref="C853:D853"/>
    <mergeCell ref="C854:D854"/>
    <mergeCell ref="C855:D855"/>
    <mergeCell ref="C856:D856"/>
    <mergeCell ref="C857:D857"/>
    <mergeCell ref="C858:D858"/>
    <mergeCell ref="C859:D859"/>
    <mergeCell ref="C860:D860"/>
    <mergeCell ref="C861:D861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C881:D881"/>
    <mergeCell ref="C882:D882"/>
    <mergeCell ref="C883:D883"/>
    <mergeCell ref="C884:D884"/>
    <mergeCell ref="C885:D885"/>
    <mergeCell ref="C886:D886"/>
    <mergeCell ref="C887:D887"/>
    <mergeCell ref="C888:D888"/>
    <mergeCell ref="C889:D889"/>
    <mergeCell ref="C890:D890"/>
    <mergeCell ref="C891:D891"/>
    <mergeCell ref="C892:D892"/>
    <mergeCell ref="C893:D893"/>
    <mergeCell ref="C894:D894"/>
    <mergeCell ref="C895:D895"/>
    <mergeCell ref="C896:D896"/>
    <mergeCell ref="C897:D897"/>
    <mergeCell ref="C898:D898"/>
    <mergeCell ref="C899:D899"/>
    <mergeCell ref="C900:D900"/>
    <mergeCell ref="C901:D901"/>
    <mergeCell ref="C902:D902"/>
    <mergeCell ref="C903:D903"/>
    <mergeCell ref="C904:D904"/>
    <mergeCell ref="C905:D905"/>
    <mergeCell ref="C915:D915"/>
    <mergeCell ref="C916:D916"/>
    <mergeCell ref="C917:D917"/>
    <mergeCell ref="C918:D918"/>
    <mergeCell ref="A919:D919"/>
    <mergeCell ref="A920:D920"/>
    <mergeCell ref="A921:D921"/>
    <mergeCell ref="C906:D906"/>
    <mergeCell ref="C907:D907"/>
    <mergeCell ref="C908:D908"/>
    <mergeCell ref="C909:D909"/>
    <mergeCell ref="C910:D910"/>
    <mergeCell ref="C911:D911"/>
    <mergeCell ref="C912:D912"/>
    <mergeCell ref="C913:D913"/>
    <mergeCell ref="C914:D914"/>
  </mergeCells>
  <pageMargins left="0.7" right="0.7" top="0.75" bottom="0.75" header="0.511811023622047" footer="0.511811023622047"/>
  <pageSetup paperSize="9" scale="21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2759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Certified Windows</dc:creator>
  <dc:description/>
  <cp:lastModifiedBy>Сергей</cp:lastModifiedBy>
  <cp:revision>368</cp:revision>
  <cp:lastPrinted>2026-07-24T08:11:17Z</cp:lastPrinted>
  <dcterms:created xsi:type="dcterms:W3CDTF">2020-05-28T09:43:20Z</dcterms:created>
  <dcterms:modified xsi:type="dcterms:W3CDTF">2026-08-12T15:32:38Z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commentColumnIndex">
    <vt:lpwstr>16</vt:lpwstr>
  </property>
  <property fmtid="{D5CDD505-2E9C-101B-9397-08002B2CF9AE}" pid="7" name="firstRowsToSkipMinusOneRowIndex">
    <vt:lpwstr>13</vt:lpwstr>
  </property>
  <property fmtid="{D5CDD505-2E9C-101B-9397-08002B2CF9AE}" pid="8" name="goodsPriceColumnIndex">
    <vt:lpwstr>10</vt:lpwstr>
  </property>
  <property fmtid="{D5CDD505-2E9C-101B-9397-08002B2CF9AE}" pid="9" name="lastRowsToSkipRowIndex">
    <vt:lpwstr>918</vt:lpwstr>
  </property>
  <property fmtid="{D5CDD505-2E9C-101B-9397-08002B2CF9AE}" pid="10" name="validityColumnIndex">
    <vt:lpwstr>0</vt:lpwstr>
  </property>
  <property fmtid="{D5CDD505-2E9C-101B-9397-08002B2CF9AE}" pid="11" name="worksPriceColumnIndex">
    <vt:lpwstr>11</vt:lpwstr>
  </property>
</Properties>
</file>